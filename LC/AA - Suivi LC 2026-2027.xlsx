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d.docs.live.net/b54b692c73c623f0/Dev/Apnee/site_apnee/Cadrage_v2/classeurs/"/>
    </mc:Choice>
  </mc:AlternateContent>
  <xr:revisionPtr revIDLastSave="1" documentId="11_DF1ECB7B6525E18F51F5CB24C0847B72BD8B6296" xr6:coauthVersionLast="47" xr6:coauthVersionMax="47" xr10:uidLastSave="{E46F54A3-431B-6545-BC3B-6C5C261B0037}"/>
  <bookViews>
    <workbookView xWindow="4440" yWindow="740" windowWidth="24960" windowHeight="18380" xr2:uid="{00000000-000D-0000-FFFF-FFFF00000000}"/>
  </bookViews>
  <sheets>
    <sheet name="Lisez-moi" sheetId="1" r:id="rId1"/>
    <sheet name="Synchro" sheetId="2" r:id="rId2"/>
    <sheet name="Referentiel" sheetId="3" r:id="rId3"/>
    <sheet name="Personnes" sheetId="4" r:id="rId4"/>
    <sheet name="Calendrier" sheetId="5" r:id="rId5"/>
    <sheet name="Presences" sheetId="6" r:id="rId6"/>
    <sheet name="Suivi_Objectifs" sheetId="7" r:id="rId7"/>
    <sheet name="Suivi_Competences" sheetId="8" r:id="rId8"/>
    <sheet name="Avis_Encadrants" sheetId="9" r:id="rId9"/>
    <sheet name="Evenements_Securite" sheetId="10" r:id="rId10"/>
    <sheet name="Zones_Physiologiques" sheetId="11" r:id="rId11"/>
    <sheet name="Tableau_de_bord" sheetId="12" r:id="rId12"/>
    <sheet name="Selection" sheetId="13" r:id="rId13"/>
    <sheet name="Listes" sheetId="14"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12" l="1"/>
  <c r="B11" i="12"/>
  <c r="B10" i="12"/>
  <c r="B9" i="12"/>
  <c r="B7" i="12"/>
  <c r="B6" i="12"/>
  <c r="B5" i="12"/>
  <c r="K5" i="11"/>
  <c r="B5" i="11"/>
  <c r="D5" i="11" s="1"/>
  <c r="O104" i="10"/>
  <c r="M104" i="10"/>
  <c r="N104" i="10" s="1"/>
  <c r="E104" i="10"/>
  <c r="P103" i="10"/>
  <c r="O103" i="10"/>
  <c r="N103" i="10"/>
  <c r="M103" i="10"/>
  <c r="F103" i="10"/>
  <c r="E103" i="10"/>
  <c r="G103" i="10" s="1"/>
  <c r="O102" i="10"/>
  <c r="M102" i="10"/>
  <c r="N102" i="10" s="1"/>
  <c r="E102" i="10"/>
  <c r="P101" i="10"/>
  <c r="O101" i="10"/>
  <c r="N101" i="10"/>
  <c r="M101" i="10"/>
  <c r="G101" i="10"/>
  <c r="E101" i="10"/>
  <c r="F101" i="10" s="1"/>
  <c r="P100" i="10"/>
  <c r="O100" i="10"/>
  <c r="N100" i="10"/>
  <c r="M100" i="10"/>
  <c r="G100" i="10"/>
  <c r="F100" i="10"/>
  <c r="E100" i="10"/>
  <c r="O99" i="10"/>
  <c r="N99" i="10"/>
  <c r="M99" i="10"/>
  <c r="G99" i="10"/>
  <c r="E99" i="10"/>
  <c r="N98" i="10"/>
  <c r="M98" i="10"/>
  <c r="O98" i="10" s="1"/>
  <c r="G98" i="10"/>
  <c r="F98" i="10"/>
  <c r="E98" i="10"/>
  <c r="P98" i="10" s="1"/>
  <c r="P97" i="10"/>
  <c r="M97" i="10"/>
  <c r="G97" i="10"/>
  <c r="F97" i="10"/>
  <c r="E97" i="10"/>
  <c r="O96" i="10"/>
  <c r="M96" i="10"/>
  <c r="N96" i="10" s="1"/>
  <c r="G96" i="10"/>
  <c r="E96" i="10"/>
  <c r="P96" i="10" s="1"/>
  <c r="O95" i="10"/>
  <c r="N95" i="10"/>
  <c r="M95" i="10"/>
  <c r="E95" i="10"/>
  <c r="P94" i="10"/>
  <c r="O94" i="10"/>
  <c r="M94" i="10"/>
  <c r="N94" i="10" s="1"/>
  <c r="E94" i="10"/>
  <c r="P93" i="10"/>
  <c r="M93" i="10"/>
  <c r="G93" i="10"/>
  <c r="E93" i="10"/>
  <c r="F93" i="10" s="1"/>
  <c r="P92" i="10"/>
  <c r="M92" i="10"/>
  <c r="G92" i="10"/>
  <c r="F92" i="10"/>
  <c r="E92" i="10"/>
  <c r="O91" i="10"/>
  <c r="N91" i="10"/>
  <c r="M91" i="10"/>
  <c r="F91" i="10"/>
  <c r="E91" i="10"/>
  <c r="M90" i="10"/>
  <c r="O90" i="10" s="1"/>
  <c r="G90" i="10"/>
  <c r="F90" i="10"/>
  <c r="E90" i="10"/>
  <c r="P90" i="10" s="1"/>
  <c r="M89" i="10"/>
  <c r="G89" i="10"/>
  <c r="F89" i="10"/>
  <c r="E89" i="10"/>
  <c r="P89" i="10" s="1"/>
  <c r="O88" i="10"/>
  <c r="M88" i="10"/>
  <c r="N88" i="10" s="1"/>
  <c r="E88" i="10"/>
  <c r="P87" i="10"/>
  <c r="O87" i="10"/>
  <c r="N87" i="10"/>
  <c r="M87" i="10"/>
  <c r="E87" i="10"/>
  <c r="G87" i="10" s="1"/>
  <c r="P86" i="10"/>
  <c r="M86" i="10"/>
  <c r="E86" i="10"/>
  <c r="P85" i="10"/>
  <c r="M85" i="10"/>
  <c r="G85" i="10"/>
  <c r="E85" i="10"/>
  <c r="F85" i="10" s="1"/>
  <c r="P84" i="10"/>
  <c r="O84" i="10"/>
  <c r="N84" i="10"/>
  <c r="M84" i="10"/>
  <c r="G84" i="10"/>
  <c r="F84" i="10"/>
  <c r="E84" i="10"/>
  <c r="O83" i="10"/>
  <c r="N83" i="10"/>
  <c r="M83" i="10"/>
  <c r="G83" i="10"/>
  <c r="E83" i="10"/>
  <c r="P83" i="10" s="1"/>
  <c r="N82" i="10"/>
  <c r="M82" i="10"/>
  <c r="O82" i="10" s="1"/>
  <c r="G82" i="10"/>
  <c r="F82" i="10"/>
  <c r="E82" i="10"/>
  <c r="P82" i="10" s="1"/>
  <c r="M81" i="10"/>
  <c r="E81" i="10"/>
  <c r="P80" i="10"/>
  <c r="O80" i="10"/>
  <c r="M80" i="10"/>
  <c r="N80" i="10" s="1"/>
  <c r="G80" i="10"/>
  <c r="E80" i="10"/>
  <c r="F80" i="10" s="1"/>
  <c r="P79" i="10"/>
  <c r="O79" i="10"/>
  <c r="N79" i="10"/>
  <c r="M79" i="10"/>
  <c r="E79" i="10"/>
  <c r="G79" i="10" s="1"/>
  <c r="M78" i="10"/>
  <c r="O78" i="10" s="1"/>
  <c r="E78" i="10"/>
  <c r="P77" i="10"/>
  <c r="O77" i="10"/>
  <c r="N77" i="10"/>
  <c r="M77" i="10"/>
  <c r="G77" i="10"/>
  <c r="E77" i="10"/>
  <c r="F77" i="10" s="1"/>
  <c r="P76" i="10"/>
  <c r="O76" i="10"/>
  <c r="N76" i="10"/>
  <c r="M76" i="10"/>
  <c r="G76" i="10"/>
  <c r="F76" i="10"/>
  <c r="E76" i="10"/>
  <c r="M75" i="10"/>
  <c r="G75" i="10"/>
  <c r="E75" i="10"/>
  <c r="P75" i="10" s="1"/>
  <c r="M74" i="10"/>
  <c r="O74" i="10" s="1"/>
  <c r="E74" i="10"/>
  <c r="P74" i="10" s="1"/>
  <c r="P73" i="10"/>
  <c r="M73" i="10"/>
  <c r="G73" i="10"/>
  <c r="E73" i="10"/>
  <c r="F73" i="10" s="1"/>
  <c r="P72" i="10"/>
  <c r="O72" i="10"/>
  <c r="M72" i="10"/>
  <c r="N72" i="10" s="1"/>
  <c r="E72" i="10"/>
  <c r="F72" i="10" s="1"/>
  <c r="O71" i="10"/>
  <c r="N71" i="10"/>
  <c r="M71" i="10"/>
  <c r="F71" i="10"/>
  <c r="E71" i="10"/>
  <c r="O70" i="10"/>
  <c r="M70" i="10"/>
  <c r="N70" i="10" s="1"/>
  <c r="E70" i="10"/>
  <c r="P69" i="10"/>
  <c r="O69" i="10"/>
  <c r="N69" i="10"/>
  <c r="M69" i="10"/>
  <c r="G69" i="10"/>
  <c r="E69" i="10"/>
  <c r="F69" i="10" s="1"/>
  <c r="P68" i="10"/>
  <c r="M68" i="10"/>
  <c r="G68" i="10"/>
  <c r="F68" i="10"/>
  <c r="E68" i="10"/>
  <c r="M67" i="10"/>
  <c r="E67" i="10"/>
  <c r="M66" i="10"/>
  <c r="E66" i="10"/>
  <c r="P65" i="10"/>
  <c r="M65" i="10"/>
  <c r="E65" i="10"/>
  <c r="F65" i="10" s="1"/>
  <c r="O64" i="10"/>
  <c r="M64" i="10"/>
  <c r="N64" i="10" s="1"/>
  <c r="E64" i="10"/>
  <c r="P64" i="10" s="1"/>
  <c r="O63" i="10"/>
  <c r="N63" i="10"/>
  <c r="M63" i="10"/>
  <c r="E63" i="10"/>
  <c r="P62" i="10"/>
  <c r="M62" i="10"/>
  <c r="N62" i="10" s="1"/>
  <c r="E62" i="10"/>
  <c r="P61" i="10"/>
  <c r="M61" i="10"/>
  <c r="G61" i="10"/>
  <c r="E61" i="10"/>
  <c r="F61" i="10" s="1"/>
  <c r="P60" i="10"/>
  <c r="M60" i="10"/>
  <c r="G60" i="10"/>
  <c r="F60" i="10"/>
  <c r="E60" i="10"/>
  <c r="O59" i="10"/>
  <c r="N59" i="10"/>
  <c r="M59" i="10"/>
  <c r="F59" i="10"/>
  <c r="E59" i="10"/>
  <c r="M58" i="10"/>
  <c r="O58" i="10" s="1"/>
  <c r="G58" i="10"/>
  <c r="F58" i="10"/>
  <c r="E58" i="10"/>
  <c r="P58" i="10" s="1"/>
  <c r="M57" i="10"/>
  <c r="G57" i="10"/>
  <c r="E57" i="10"/>
  <c r="P57" i="10" s="1"/>
  <c r="O56" i="10"/>
  <c r="M56" i="10"/>
  <c r="N56" i="10" s="1"/>
  <c r="E56" i="10"/>
  <c r="P55" i="10"/>
  <c r="O55" i="10"/>
  <c r="N55" i="10"/>
  <c r="M55" i="10"/>
  <c r="E55" i="10"/>
  <c r="G55" i="10" s="1"/>
  <c r="P54" i="10"/>
  <c r="N54" i="10"/>
  <c r="M54" i="10"/>
  <c r="O54" i="10" s="1"/>
  <c r="E54" i="10"/>
  <c r="P53" i="10"/>
  <c r="M53" i="10"/>
  <c r="G53" i="10"/>
  <c r="E53" i="10"/>
  <c r="F53" i="10" s="1"/>
  <c r="P52" i="10"/>
  <c r="O52" i="10"/>
  <c r="N52" i="10"/>
  <c r="M52" i="10"/>
  <c r="G52" i="10"/>
  <c r="F52" i="10"/>
  <c r="E52" i="10"/>
  <c r="O51" i="10"/>
  <c r="N51" i="10"/>
  <c r="M51" i="10"/>
  <c r="G51" i="10"/>
  <c r="E51" i="10"/>
  <c r="P51" i="10" s="1"/>
  <c r="M50" i="10"/>
  <c r="O50" i="10" s="1"/>
  <c r="G50" i="10"/>
  <c r="F50" i="10"/>
  <c r="E50" i="10"/>
  <c r="P50" i="10" s="1"/>
  <c r="P49" i="10"/>
  <c r="M49" i="10"/>
  <c r="F49" i="10"/>
  <c r="E49" i="10"/>
  <c r="G49" i="10" s="1"/>
  <c r="P48" i="10"/>
  <c r="O48" i="10"/>
  <c r="M48" i="10"/>
  <c r="N48" i="10" s="1"/>
  <c r="G48" i="10"/>
  <c r="E48" i="10"/>
  <c r="F48" i="10" s="1"/>
  <c r="P47" i="10"/>
  <c r="O47" i="10"/>
  <c r="N47" i="10"/>
  <c r="M47" i="10"/>
  <c r="F47" i="10"/>
  <c r="E47" i="10"/>
  <c r="G47" i="10" s="1"/>
  <c r="M46" i="10"/>
  <c r="O46" i="10" s="1"/>
  <c r="E46" i="10"/>
  <c r="P45" i="10"/>
  <c r="O45" i="10"/>
  <c r="N45" i="10"/>
  <c r="M45" i="10"/>
  <c r="G45" i="10"/>
  <c r="E45" i="10"/>
  <c r="F45" i="10" s="1"/>
  <c r="P44" i="10"/>
  <c r="O44" i="10"/>
  <c r="N44" i="10"/>
  <c r="M44" i="10"/>
  <c r="G44" i="10"/>
  <c r="F44" i="10"/>
  <c r="E44" i="10"/>
  <c r="M43" i="10"/>
  <c r="G43" i="10"/>
  <c r="E43" i="10"/>
  <c r="P43" i="10" s="1"/>
  <c r="M42" i="10"/>
  <c r="O42" i="10" s="1"/>
  <c r="E42" i="10"/>
  <c r="P41" i="10"/>
  <c r="M41" i="10"/>
  <c r="G41" i="10"/>
  <c r="E41" i="10"/>
  <c r="F41" i="10" s="1"/>
  <c r="O40" i="10"/>
  <c r="M40" i="10"/>
  <c r="N40" i="10" s="1"/>
  <c r="E40" i="10"/>
  <c r="P40" i="10" s="1"/>
  <c r="O39" i="10"/>
  <c r="N39" i="10"/>
  <c r="M39" i="10"/>
  <c r="F39" i="10"/>
  <c r="E39" i="10"/>
  <c r="P38" i="10"/>
  <c r="M38" i="10"/>
  <c r="E38" i="10"/>
  <c r="G38" i="10" s="1"/>
  <c r="O37" i="10"/>
  <c r="N37" i="10"/>
  <c r="M37" i="10"/>
  <c r="E37" i="10"/>
  <c r="P36" i="10"/>
  <c r="M36" i="10"/>
  <c r="O36" i="10" s="1"/>
  <c r="G36" i="10"/>
  <c r="F36" i="10"/>
  <c r="E36" i="10"/>
  <c r="P35" i="10"/>
  <c r="O35" i="10"/>
  <c r="M35" i="10"/>
  <c r="N35" i="10" s="1"/>
  <c r="G35" i="10"/>
  <c r="F35" i="10"/>
  <c r="E35" i="10"/>
  <c r="M34" i="10"/>
  <c r="O34" i="10" s="1"/>
  <c r="G34" i="10"/>
  <c r="E34" i="10"/>
  <c r="P34" i="10" s="1"/>
  <c r="M33" i="10"/>
  <c r="O33" i="10" s="1"/>
  <c r="G33" i="10"/>
  <c r="F33" i="10"/>
  <c r="E33" i="10"/>
  <c r="P33" i="10" s="1"/>
  <c r="P32" i="10"/>
  <c r="M32" i="10"/>
  <c r="N32" i="10" s="1"/>
  <c r="E32" i="10"/>
  <c r="P31" i="10"/>
  <c r="O31" i="10"/>
  <c r="N31" i="10"/>
  <c r="M31" i="10"/>
  <c r="G31" i="10"/>
  <c r="E31" i="10"/>
  <c r="F31" i="10" s="1"/>
  <c r="M30" i="10"/>
  <c r="F30" i="10"/>
  <c r="E30" i="10"/>
  <c r="N29" i="10"/>
  <c r="M29" i="10"/>
  <c r="O29" i="10" s="1"/>
  <c r="G29" i="10"/>
  <c r="E29" i="10"/>
  <c r="P28" i="10"/>
  <c r="O28" i="10"/>
  <c r="M28" i="10"/>
  <c r="N28" i="10" s="1"/>
  <c r="G28" i="10"/>
  <c r="F28" i="10"/>
  <c r="E28" i="10"/>
  <c r="O27" i="10"/>
  <c r="N27" i="10"/>
  <c r="M27" i="10"/>
  <c r="F27" i="10"/>
  <c r="E27" i="10"/>
  <c r="O26" i="10"/>
  <c r="M26" i="10"/>
  <c r="N26" i="10" s="1"/>
  <c r="G26" i="10"/>
  <c r="E26" i="10"/>
  <c r="P26" i="10" s="1"/>
  <c r="P25" i="10"/>
  <c r="M25" i="10"/>
  <c r="G25" i="10"/>
  <c r="E25" i="10"/>
  <c r="F25" i="10" s="1"/>
  <c r="M24" i="10"/>
  <c r="F24" i="10"/>
  <c r="E24" i="10"/>
  <c r="O23" i="10"/>
  <c r="N23" i="10"/>
  <c r="M23" i="10"/>
  <c r="E23" i="10"/>
  <c r="P22" i="10"/>
  <c r="O22" i="10"/>
  <c r="N22" i="10"/>
  <c r="M22" i="10"/>
  <c r="E22" i="10"/>
  <c r="P21" i="10"/>
  <c r="M21" i="10"/>
  <c r="G21" i="10"/>
  <c r="E21" i="10"/>
  <c r="F21" i="10" s="1"/>
  <c r="P20" i="10"/>
  <c r="N20" i="10"/>
  <c r="M20" i="10"/>
  <c r="O20" i="10" s="1"/>
  <c r="G20" i="10"/>
  <c r="F20" i="10"/>
  <c r="E20" i="10"/>
  <c r="O19" i="10"/>
  <c r="M19" i="10"/>
  <c r="N19" i="10" s="1"/>
  <c r="E19" i="10"/>
  <c r="M18" i="10"/>
  <c r="N18" i="10" s="1"/>
  <c r="G18" i="10"/>
  <c r="E18" i="10"/>
  <c r="P18" i="10" s="1"/>
  <c r="M17" i="10"/>
  <c r="F17" i="10"/>
  <c r="E17" i="10"/>
  <c r="P16" i="10"/>
  <c r="M16" i="10"/>
  <c r="N16" i="10" s="1"/>
  <c r="G16" i="10"/>
  <c r="F16" i="10"/>
  <c r="E16" i="10"/>
  <c r="P15" i="10"/>
  <c r="O15" i="10"/>
  <c r="N15" i="10"/>
  <c r="M15" i="10"/>
  <c r="G15" i="10"/>
  <c r="F15" i="10"/>
  <c r="E15" i="10"/>
  <c r="M14" i="10"/>
  <c r="O14" i="10" s="1"/>
  <c r="F14" i="10"/>
  <c r="E14" i="10"/>
  <c r="O13" i="10"/>
  <c r="M13" i="10"/>
  <c r="N13" i="10" s="1"/>
  <c r="E13" i="10"/>
  <c r="P12" i="10"/>
  <c r="O12" i="10"/>
  <c r="M12" i="10"/>
  <c r="N12" i="10" s="1"/>
  <c r="G12" i="10"/>
  <c r="F12" i="10"/>
  <c r="E12" i="10"/>
  <c r="P11" i="10"/>
  <c r="O11" i="10"/>
  <c r="N11" i="10"/>
  <c r="M11" i="10"/>
  <c r="E11" i="10"/>
  <c r="F11" i="10" s="1"/>
  <c r="N10" i="10"/>
  <c r="M10" i="10"/>
  <c r="O10" i="10" s="1"/>
  <c r="G10" i="10"/>
  <c r="F10" i="10"/>
  <c r="E10" i="10"/>
  <c r="P10" i="10" s="1"/>
  <c r="M9" i="10"/>
  <c r="O9" i="10" s="1"/>
  <c r="F9" i="10"/>
  <c r="E9" i="10"/>
  <c r="P8" i="10"/>
  <c r="O8" i="10"/>
  <c r="M8" i="10"/>
  <c r="N8" i="10" s="1"/>
  <c r="F8" i="10"/>
  <c r="E8" i="10"/>
  <c r="G8" i="10" s="1"/>
  <c r="P7" i="10"/>
  <c r="O7" i="10"/>
  <c r="N7" i="10"/>
  <c r="M7" i="10"/>
  <c r="E7" i="10"/>
  <c r="G7" i="10" s="1"/>
  <c r="P6" i="10"/>
  <c r="M6" i="10"/>
  <c r="F6" i="10"/>
  <c r="E6" i="10"/>
  <c r="G6" i="10" s="1"/>
  <c r="M5" i="10"/>
  <c r="E5" i="10"/>
  <c r="Q8" i="9"/>
  <c r="E8" i="9"/>
  <c r="P7" i="9"/>
  <c r="O7" i="9"/>
  <c r="M7" i="9"/>
  <c r="G7" i="9"/>
  <c r="F7" i="9"/>
  <c r="E7" i="9"/>
  <c r="Q6" i="9"/>
  <c r="Q7" i="9" s="1"/>
  <c r="P6" i="9"/>
  <c r="P8" i="9" s="1"/>
  <c r="O6" i="9"/>
  <c r="O8" i="9" s="1"/>
  <c r="N6" i="9"/>
  <c r="N8" i="9" s="1"/>
  <c r="M6" i="9"/>
  <c r="M8" i="9" s="1"/>
  <c r="L6" i="9"/>
  <c r="J6" i="9"/>
  <c r="I6" i="9"/>
  <c r="I7" i="9" s="1"/>
  <c r="H6" i="9"/>
  <c r="H7" i="9" s="1"/>
  <c r="G6" i="9"/>
  <c r="G8" i="9" s="1"/>
  <c r="F6" i="9"/>
  <c r="F8" i="9" s="1"/>
  <c r="E6" i="9"/>
  <c r="L4" i="8"/>
  <c r="K4" i="8"/>
  <c r="J4" i="8"/>
  <c r="I4" i="8"/>
  <c r="H4" i="8"/>
  <c r="G4" i="8"/>
  <c r="F4" i="8"/>
  <c r="E4" i="8"/>
  <c r="N107" i="7"/>
  <c r="L107" i="7"/>
  <c r="J107" i="7"/>
  <c r="H107" i="7"/>
  <c r="F107" i="7"/>
  <c r="N106" i="7"/>
  <c r="L106" i="7"/>
  <c r="J106" i="7"/>
  <c r="H106" i="7"/>
  <c r="F106" i="7"/>
  <c r="N105" i="7"/>
  <c r="L105" i="7"/>
  <c r="J105" i="7"/>
  <c r="H105" i="7"/>
  <c r="F105" i="7"/>
  <c r="N104" i="7"/>
  <c r="L104" i="7"/>
  <c r="J104" i="7"/>
  <c r="H104" i="7"/>
  <c r="F104" i="7"/>
  <c r="N103" i="7"/>
  <c r="L103" i="7"/>
  <c r="J103" i="7"/>
  <c r="H103" i="7"/>
  <c r="F103" i="7"/>
  <c r="N102" i="7"/>
  <c r="L102" i="7"/>
  <c r="J102" i="7"/>
  <c r="H102" i="7"/>
  <c r="F102" i="7"/>
  <c r="N101" i="7"/>
  <c r="L101" i="7"/>
  <c r="J101" i="7"/>
  <c r="H101" i="7"/>
  <c r="F101" i="7"/>
  <c r="N100" i="7"/>
  <c r="L100" i="7"/>
  <c r="J100" i="7"/>
  <c r="H100" i="7"/>
  <c r="F100" i="7"/>
  <c r="N99" i="7"/>
  <c r="L99" i="7"/>
  <c r="J99" i="7"/>
  <c r="H99" i="7"/>
  <c r="F99" i="7"/>
  <c r="N98" i="7"/>
  <c r="L98" i="7"/>
  <c r="J98" i="7"/>
  <c r="H98" i="7"/>
  <c r="F98" i="7"/>
  <c r="N97" i="7"/>
  <c r="L97" i="7"/>
  <c r="J97" i="7"/>
  <c r="H97" i="7"/>
  <c r="F97" i="7"/>
  <c r="N96" i="7"/>
  <c r="L96" i="7"/>
  <c r="J96" i="7"/>
  <c r="H96" i="7"/>
  <c r="F96" i="7"/>
  <c r="N95" i="7"/>
  <c r="L95" i="7"/>
  <c r="J95" i="7"/>
  <c r="H95" i="7"/>
  <c r="F95" i="7"/>
  <c r="N94" i="7"/>
  <c r="L94" i="7"/>
  <c r="J94" i="7"/>
  <c r="H94" i="7"/>
  <c r="F94" i="7"/>
  <c r="N93" i="7"/>
  <c r="L93" i="7"/>
  <c r="J93" i="7"/>
  <c r="H93" i="7"/>
  <c r="F93" i="7"/>
  <c r="N92" i="7"/>
  <c r="L92" i="7"/>
  <c r="J92" i="7"/>
  <c r="H92" i="7"/>
  <c r="F92" i="7"/>
  <c r="N91" i="7"/>
  <c r="L91" i="7"/>
  <c r="J91" i="7"/>
  <c r="H91" i="7"/>
  <c r="F91" i="7"/>
  <c r="N90" i="7"/>
  <c r="L90" i="7"/>
  <c r="J90" i="7"/>
  <c r="H90" i="7"/>
  <c r="F90" i="7"/>
  <c r="N89" i="7"/>
  <c r="L89" i="7"/>
  <c r="J89" i="7"/>
  <c r="H89" i="7"/>
  <c r="F89" i="7"/>
  <c r="N88" i="7"/>
  <c r="L88" i="7"/>
  <c r="J88" i="7"/>
  <c r="H88" i="7"/>
  <c r="F88" i="7"/>
  <c r="N87" i="7"/>
  <c r="L87" i="7"/>
  <c r="J87" i="7"/>
  <c r="H87" i="7"/>
  <c r="F87" i="7"/>
  <c r="N86" i="7"/>
  <c r="L86" i="7"/>
  <c r="J86" i="7"/>
  <c r="H86" i="7"/>
  <c r="F86" i="7"/>
  <c r="N85" i="7"/>
  <c r="L85" i="7"/>
  <c r="J85" i="7"/>
  <c r="H85" i="7"/>
  <c r="F85" i="7"/>
  <c r="N84" i="7"/>
  <c r="L84" i="7"/>
  <c r="J84" i="7"/>
  <c r="H84" i="7"/>
  <c r="F84" i="7"/>
  <c r="N83" i="7"/>
  <c r="L83" i="7"/>
  <c r="J83" i="7"/>
  <c r="H83" i="7"/>
  <c r="F83" i="7"/>
  <c r="N82" i="7"/>
  <c r="L82" i="7"/>
  <c r="J82" i="7"/>
  <c r="H82" i="7"/>
  <c r="F82" i="7"/>
  <c r="N81" i="7"/>
  <c r="L81" i="7"/>
  <c r="J81" i="7"/>
  <c r="H81" i="7"/>
  <c r="F81" i="7"/>
  <c r="N80" i="7"/>
  <c r="L80" i="7"/>
  <c r="J80" i="7"/>
  <c r="H80" i="7"/>
  <c r="F80" i="7"/>
  <c r="N79" i="7"/>
  <c r="L79" i="7"/>
  <c r="J79" i="7"/>
  <c r="H79" i="7"/>
  <c r="F79" i="7"/>
  <c r="N78" i="7"/>
  <c r="L78" i="7"/>
  <c r="J78" i="7"/>
  <c r="H78" i="7"/>
  <c r="F78" i="7"/>
  <c r="N77" i="7"/>
  <c r="L77" i="7"/>
  <c r="J77" i="7"/>
  <c r="H77" i="7"/>
  <c r="F77" i="7"/>
  <c r="N76" i="7"/>
  <c r="L76" i="7"/>
  <c r="J76" i="7"/>
  <c r="H76" i="7"/>
  <c r="F76" i="7"/>
  <c r="N75" i="7"/>
  <c r="L75" i="7"/>
  <c r="J75" i="7"/>
  <c r="H75" i="7"/>
  <c r="F75" i="7"/>
  <c r="N74" i="7"/>
  <c r="L74" i="7"/>
  <c r="J74" i="7"/>
  <c r="H74" i="7"/>
  <c r="F74" i="7"/>
  <c r="N73" i="7"/>
  <c r="L73" i="7"/>
  <c r="J73" i="7"/>
  <c r="H73" i="7"/>
  <c r="F73" i="7"/>
  <c r="N72" i="7"/>
  <c r="L72" i="7"/>
  <c r="J72" i="7"/>
  <c r="H72" i="7"/>
  <c r="F72" i="7"/>
  <c r="N71" i="7"/>
  <c r="L71" i="7"/>
  <c r="J71" i="7"/>
  <c r="H71" i="7"/>
  <c r="F71" i="7"/>
  <c r="N70" i="7"/>
  <c r="L70" i="7"/>
  <c r="J70" i="7"/>
  <c r="H70" i="7"/>
  <c r="F70" i="7"/>
  <c r="N69" i="7"/>
  <c r="L69" i="7"/>
  <c r="J69" i="7"/>
  <c r="H69" i="7"/>
  <c r="F69" i="7"/>
  <c r="N68" i="7"/>
  <c r="L68" i="7"/>
  <c r="J68" i="7"/>
  <c r="H68" i="7"/>
  <c r="F68" i="7"/>
  <c r="N67" i="7"/>
  <c r="L67" i="7"/>
  <c r="J67" i="7"/>
  <c r="H67" i="7"/>
  <c r="F67" i="7"/>
  <c r="N66" i="7"/>
  <c r="L66" i="7"/>
  <c r="J66" i="7"/>
  <c r="H66" i="7"/>
  <c r="F66" i="7"/>
  <c r="N65" i="7"/>
  <c r="L65" i="7"/>
  <c r="J65" i="7"/>
  <c r="H65" i="7"/>
  <c r="F65" i="7"/>
  <c r="N64" i="7"/>
  <c r="L64" i="7"/>
  <c r="J64" i="7"/>
  <c r="H64" i="7"/>
  <c r="F64" i="7"/>
  <c r="N63" i="7"/>
  <c r="L63" i="7"/>
  <c r="J63" i="7"/>
  <c r="H63" i="7"/>
  <c r="F63" i="7"/>
  <c r="N62" i="7"/>
  <c r="L62" i="7"/>
  <c r="J62" i="7"/>
  <c r="H62" i="7"/>
  <c r="F62" i="7"/>
  <c r="N61" i="7"/>
  <c r="L61" i="7"/>
  <c r="J61" i="7"/>
  <c r="H61" i="7"/>
  <c r="F61" i="7"/>
  <c r="N60" i="7"/>
  <c r="L60" i="7"/>
  <c r="J60" i="7"/>
  <c r="H60" i="7"/>
  <c r="F60" i="7"/>
  <c r="N59" i="7"/>
  <c r="L59" i="7"/>
  <c r="J59" i="7"/>
  <c r="H59" i="7"/>
  <c r="F59" i="7"/>
  <c r="N58" i="7"/>
  <c r="L58" i="7"/>
  <c r="J58" i="7"/>
  <c r="H58" i="7"/>
  <c r="F58" i="7"/>
  <c r="N57" i="7"/>
  <c r="L57" i="7"/>
  <c r="J57" i="7"/>
  <c r="H57" i="7"/>
  <c r="F57" i="7"/>
  <c r="N56" i="7"/>
  <c r="L56" i="7"/>
  <c r="J56" i="7"/>
  <c r="H56" i="7"/>
  <c r="F56" i="7"/>
  <c r="N55" i="7"/>
  <c r="L55" i="7"/>
  <c r="J55" i="7"/>
  <c r="H55" i="7"/>
  <c r="F55" i="7"/>
  <c r="N54" i="7"/>
  <c r="L54" i="7"/>
  <c r="J54" i="7"/>
  <c r="H54" i="7"/>
  <c r="F54" i="7"/>
  <c r="N53" i="7"/>
  <c r="L53" i="7"/>
  <c r="J53" i="7"/>
  <c r="H53" i="7"/>
  <c r="F53" i="7"/>
  <c r="N52" i="7"/>
  <c r="L52" i="7"/>
  <c r="J52" i="7"/>
  <c r="H52" i="7"/>
  <c r="F52" i="7"/>
  <c r="N51" i="7"/>
  <c r="L51" i="7"/>
  <c r="J51" i="7"/>
  <c r="H51" i="7"/>
  <c r="F51" i="7"/>
  <c r="N50" i="7"/>
  <c r="L50" i="7"/>
  <c r="J50" i="7"/>
  <c r="H50" i="7"/>
  <c r="F50" i="7"/>
  <c r="N49" i="7"/>
  <c r="L49" i="7"/>
  <c r="J49" i="7"/>
  <c r="H49" i="7"/>
  <c r="F49" i="7"/>
  <c r="N48" i="7"/>
  <c r="L48" i="7"/>
  <c r="J48" i="7"/>
  <c r="H48" i="7"/>
  <c r="F48" i="7"/>
  <c r="N47" i="7"/>
  <c r="L47" i="7"/>
  <c r="J47" i="7"/>
  <c r="H47" i="7"/>
  <c r="F47" i="7"/>
  <c r="N46" i="7"/>
  <c r="L46" i="7"/>
  <c r="J46" i="7"/>
  <c r="H46" i="7"/>
  <c r="F46" i="7"/>
  <c r="N45" i="7"/>
  <c r="L45" i="7"/>
  <c r="J45" i="7"/>
  <c r="H45" i="7"/>
  <c r="F45" i="7"/>
  <c r="N44" i="7"/>
  <c r="L44" i="7"/>
  <c r="J44" i="7"/>
  <c r="H44" i="7"/>
  <c r="F44" i="7"/>
  <c r="N43" i="7"/>
  <c r="L43" i="7"/>
  <c r="J43" i="7"/>
  <c r="H43" i="7"/>
  <c r="F43" i="7"/>
  <c r="N42" i="7"/>
  <c r="L42" i="7"/>
  <c r="J42" i="7"/>
  <c r="H42" i="7"/>
  <c r="F42" i="7"/>
  <c r="N41" i="7"/>
  <c r="L41" i="7"/>
  <c r="J41" i="7"/>
  <c r="H41" i="7"/>
  <c r="F41" i="7"/>
  <c r="N40" i="7"/>
  <c r="L40" i="7"/>
  <c r="J40" i="7"/>
  <c r="H40" i="7"/>
  <c r="F40" i="7"/>
  <c r="N39" i="7"/>
  <c r="L39" i="7"/>
  <c r="J39" i="7"/>
  <c r="H39" i="7"/>
  <c r="F39" i="7"/>
  <c r="N38" i="7"/>
  <c r="L38" i="7"/>
  <c r="J38" i="7"/>
  <c r="H38" i="7"/>
  <c r="F38" i="7"/>
  <c r="N37" i="7"/>
  <c r="L37" i="7"/>
  <c r="J37" i="7"/>
  <c r="H37" i="7"/>
  <c r="F37" i="7"/>
  <c r="N36" i="7"/>
  <c r="L36" i="7"/>
  <c r="J36" i="7"/>
  <c r="H36" i="7"/>
  <c r="F36" i="7"/>
  <c r="N35" i="7"/>
  <c r="L35" i="7"/>
  <c r="J35" i="7"/>
  <c r="H35" i="7"/>
  <c r="F35" i="7"/>
  <c r="N34" i="7"/>
  <c r="L34" i="7"/>
  <c r="J34" i="7"/>
  <c r="H34" i="7"/>
  <c r="F34" i="7"/>
  <c r="N33" i="7"/>
  <c r="L33" i="7"/>
  <c r="J33" i="7"/>
  <c r="H33" i="7"/>
  <c r="F33" i="7"/>
  <c r="N32" i="7"/>
  <c r="L32" i="7"/>
  <c r="J32" i="7"/>
  <c r="H32" i="7"/>
  <c r="F32" i="7"/>
  <c r="N31" i="7"/>
  <c r="L31" i="7"/>
  <c r="J31" i="7"/>
  <c r="H31" i="7"/>
  <c r="F31" i="7"/>
  <c r="N30" i="7"/>
  <c r="L30" i="7"/>
  <c r="J30" i="7"/>
  <c r="H30" i="7"/>
  <c r="F30" i="7"/>
  <c r="N29" i="7"/>
  <c r="L29" i="7"/>
  <c r="J29" i="7"/>
  <c r="H29" i="7"/>
  <c r="F29" i="7"/>
  <c r="N28" i="7"/>
  <c r="L28" i="7"/>
  <c r="J28" i="7"/>
  <c r="H28" i="7"/>
  <c r="F28" i="7"/>
  <c r="N27" i="7"/>
  <c r="L27" i="7"/>
  <c r="J27" i="7"/>
  <c r="H27" i="7"/>
  <c r="F27" i="7"/>
  <c r="N26" i="7"/>
  <c r="L26" i="7"/>
  <c r="J26" i="7"/>
  <c r="H26" i="7"/>
  <c r="F26" i="7"/>
  <c r="N25" i="7"/>
  <c r="L25" i="7"/>
  <c r="J25" i="7"/>
  <c r="H25" i="7"/>
  <c r="F25" i="7"/>
  <c r="N24" i="7"/>
  <c r="L24" i="7"/>
  <c r="J24" i="7"/>
  <c r="H24" i="7"/>
  <c r="F24" i="7"/>
  <c r="N23" i="7"/>
  <c r="L23" i="7"/>
  <c r="J23" i="7"/>
  <c r="H23" i="7"/>
  <c r="F23" i="7"/>
  <c r="N22" i="7"/>
  <c r="L22" i="7"/>
  <c r="J22" i="7"/>
  <c r="H22" i="7"/>
  <c r="F22" i="7"/>
  <c r="N21" i="7"/>
  <c r="L21" i="7"/>
  <c r="J21" i="7"/>
  <c r="H21" i="7"/>
  <c r="F21" i="7"/>
  <c r="N20" i="7"/>
  <c r="L20" i="7"/>
  <c r="J20" i="7"/>
  <c r="H20" i="7"/>
  <c r="F20" i="7"/>
  <c r="N19" i="7"/>
  <c r="L19" i="7"/>
  <c r="J19" i="7"/>
  <c r="H19" i="7"/>
  <c r="F19" i="7"/>
  <c r="N18" i="7"/>
  <c r="L18" i="7"/>
  <c r="J18" i="7"/>
  <c r="H18" i="7"/>
  <c r="F18" i="7"/>
  <c r="N17" i="7"/>
  <c r="L17" i="7"/>
  <c r="J17" i="7"/>
  <c r="H17" i="7"/>
  <c r="F17" i="7"/>
  <c r="N16" i="7"/>
  <c r="L16" i="7"/>
  <c r="J16" i="7"/>
  <c r="H16" i="7"/>
  <c r="F16" i="7"/>
  <c r="N15" i="7"/>
  <c r="L15" i="7"/>
  <c r="J15" i="7"/>
  <c r="H15" i="7"/>
  <c r="F15" i="7"/>
  <c r="N14" i="7"/>
  <c r="L14" i="7"/>
  <c r="J14" i="7"/>
  <c r="H14" i="7"/>
  <c r="F14" i="7"/>
  <c r="N13" i="7"/>
  <c r="L13" i="7"/>
  <c r="J13" i="7"/>
  <c r="H13" i="7"/>
  <c r="F13" i="7"/>
  <c r="N12" i="7"/>
  <c r="L12" i="7"/>
  <c r="J12" i="7"/>
  <c r="H12" i="7"/>
  <c r="F12" i="7"/>
  <c r="N11" i="7"/>
  <c r="L11" i="7"/>
  <c r="J11" i="7"/>
  <c r="H11" i="7"/>
  <c r="F11" i="7"/>
  <c r="N10" i="7"/>
  <c r="L10" i="7"/>
  <c r="J10" i="7"/>
  <c r="H10" i="7"/>
  <c r="F10" i="7"/>
  <c r="N9" i="7"/>
  <c r="L9" i="7"/>
  <c r="J9" i="7"/>
  <c r="H9" i="7"/>
  <c r="F9" i="7"/>
  <c r="N8" i="7"/>
  <c r="L8" i="7"/>
  <c r="J8" i="7"/>
  <c r="H8" i="7"/>
  <c r="F8" i="7"/>
  <c r="M6" i="7"/>
  <c r="K6" i="7"/>
  <c r="I6" i="7"/>
  <c r="G6" i="7"/>
  <c r="E6" i="7"/>
  <c r="H504" i="6"/>
  <c r="C504" i="6"/>
  <c r="E504" i="6" s="1"/>
  <c r="H503" i="6"/>
  <c r="C503" i="6"/>
  <c r="H502" i="6"/>
  <c r="E502" i="6"/>
  <c r="C502" i="6"/>
  <c r="D502" i="6" s="1"/>
  <c r="H501" i="6"/>
  <c r="C501" i="6"/>
  <c r="E501" i="6" s="1"/>
  <c r="H500" i="6"/>
  <c r="E500" i="6"/>
  <c r="D500" i="6"/>
  <c r="C500" i="6"/>
  <c r="H499" i="6"/>
  <c r="C499" i="6"/>
  <c r="E499" i="6" s="1"/>
  <c r="H498" i="6"/>
  <c r="E498" i="6"/>
  <c r="D498" i="6"/>
  <c r="C498" i="6"/>
  <c r="H497" i="6"/>
  <c r="C497" i="6"/>
  <c r="E497" i="6" s="1"/>
  <c r="H496" i="6"/>
  <c r="E496" i="6"/>
  <c r="D496" i="6"/>
  <c r="C496" i="6"/>
  <c r="H495" i="6"/>
  <c r="C495" i="6"/>
  <c r="E495" i="6" s="1"/>
  <c r="H494" i="6"/>
  <c r="C494" i="6"/>
  <c r="H493" i="6"/>
  <c r="D493" i="6"/>
  <c r="C493" i="6"/>
  <c r="E493" i="6" s="1"/>
  <c r="H492" i="6"/>
  <c r="C492" i="6"/>
  <c r="E492" i="6" s="1"/>
  <c r="H491" i="6"/>
  <c r="D491" i="6"/>
  <c r="C491" i="6"/>
  <c r="E491" i="6" s="1"/>
  <c r="H490" i="6"/>
  <c r="C490" i="6"/>
  <c r="E490" i="6" s="1"/>
  <c r="H489" i="6"/>
  <c r="D489" i="6"/>
  <c r="C489" i="6"/>
  <c r="E489" i="6" s="1"/>
  <c r="H488" i="6"/>
  <c r="C488" i="6"/>
  <c r="E488" i="6" s="1"/>
  <c r="H487" i="6"/>
  <c r="C487" i="6"/>
  <c r="H486" i="6"/>
  <c r="E486" i="6"/>
  <c r="C486" i="6"/>
  <c r="D486" i="6" s="1"/>
  <c r="H485" i="6"/>
  <c r="C485" i="6"/>
  <c r="E485" i="6" s="1"/>
  <c r="H484" i="6"/>
  <c r="E484" i="6"/>
  <c r="D484" i="6"/>
  <c r="C484" i="6"/>
  <c r="H483" i="6"/>
  <c r="C483" i="6"/>
  <c r="E483" i="6" s="1"/>
  <c r="H482" i="6"/>
  <c r="E482" i="6"/>
  <c r="D482" i="6"/>
  <c r="C482" i="6"/>
  <c r="H481" i="6"/>
  <c r="C481" i="6"/>
  <c r="E481" i="6" s="1"/>
  <c r="H480" i="6"/>
  <c r="E480" i="6"/>
  <c r="D480" i="6"/>
  <c r="C480" i="6"/>
  <c r="H479" i="6"/>
  <c r="C479" i="6"/>
  <c r="E479" i="6" s="1"/>
  <c r="H478" i="6"/>
  <c r="C478" i="6"/>
  <c r="E478" i="6" s="1"/>
  <c r="H477" i="6"/>
  <c r="D477" i="6"/>
  <c r="C477" i="6"/>
  <c r="E477" i="6" s="1"/>
  <c r="H476" i="6"/>
  <c r="C476" i="6"/>
  <c r="H475" i="6"/>
  <c r="D475" i="6"/>
  <c r="C475" i="6"/>
  <c r="E475" i="6" s="1"/>
  <c r="H474" i="6"/>
  <c r="C474" i="6"/>
  <c r="E474" i="6" s="1"/>
  <c r="H473" i="6"/>
  <c r="D473" i="6"/>
  <c r="C473" i="6"/>
  <c r="E473" i="6" s="1"/>
  <c r="H472" i="6"/>
  <c r="C472" i="6"/>
  <c r="E472" i="6" s="1"/>
  <c r="H471" i="6"/>
  <c r="D471" i="6"/>
  <c r="C471" i="6"/>
  <c r="E471" i="6" s="1"/>
  <c r="H470" i="6"/>
  <c r="E470" i="6"/>
  <c r="C470" i="6"/>
  <c r="D470" i="6" s="1"/>
  <c r="H469" i="6"/>
  <c r="C469" i="6"/>
  <c r="H468" i="6"/>
  <c r="E468" i="6"/>
  <c r="D468" i="6"/>
  <c r="C468" i="6"/>
  <c r="H467" i="6"/>
  <c r="C467" i="6"/>
  <c r="E467" i="6" s="1"/>
  <c r="H466" i="6"/>
  <c r="E466" i="6"/>
  <c r="D466" i="6"/>
  <c r="C466" i="6"/>
  <c r="H465" i="6"/>
  <c r="C465" i="6"/>
  <c r="E465" i="6" s="1"/>
  <c r="H464" i="6"/>
  <c r="E464" i="6"/>
  <c r="D464" i="6"/>
  <c r="C464" i="6"/>
  <c r="H463" i="6"/>
  <c r="C463" i="6"/>
  <c r="E463" i="6" s="1"/>
  <c r="H462" i="6"/>
  <c r="C462" i="6"/>
  <c r="H461" i="6"/>
  <c r="D461" i="6"/>
  <c r="C461" i="6"/>
  <c r="E461" i="6" s="1"/>
  <c r="H460" i="6"/>
  <c r="C460" i="6"/>
  <c r="H459" i="6"/>
  <c r="D459" i="6"/>
  <c r="C459" i="6"/>
  <c r="E459" i="6" s="1"/>
  <c r="H458" i="6"/>
  <c r="C458" i="6"/>
  <c r="E458" i="6" s="1"/>
  <c r="H457" i="6"/>
  <c r="D457" i="6"/>
  <c r="C457" i="6"/>
  <c r="E457" i="6" s="1"/>
  <c r="H456" i="6"/>
  <c r="C456" i="6"/>
  <c r="E456" i="6" s="1"/>
  <c r="H455" i="6"/>
  <c r="D455" i="6"/>
  <c r="C455" i="6"/>
  <c r="E455" i="6" s="1"/>
  <c r="H454" i="6"/>
  <c r="E454" i="6"/>
  <c r="C454" i="6"/>
  <c r="D454" i="6" s="1"/>
  <c r="H453" i="6"/>
  <c r="C453" i="6"/>
  <c r="H452" i="6"/>
  <c r="E452" i="6"/>
  <c r="D452" i="6"/>
  <c r="C452" i="6"/>
  <c r="H451" i="6"/>
  <c r="C451" i="6"/>
  <c r="H450" i="6"/>
  <c r="E450" i="6"/>
  <c r="D450" i="6"/>
  <c r="C450" i="6"/>
  <c r="H449" i="6"/>
  <c r="C449" i="6"/>
  <c r="H448" i="6"/>
  <c r="E448" i="6"/>
  <c r="D448" i="6"/>
  <c r="C448" i="6"/>
  <c r="H447" i="6"/>
  <c r="C447" i="6"/>
  <c r="H446" i="6"/>
  <c r="E446" i="6"/>
  <c r="D446" i="6"/>
  <c r="C446" i="6"/>
  <c r="H445" i="6"/>
  <c r="C445" i="6"/>
  <c r="H444" i="6"/>
  <c r="E444" i="6"/>
  <c r="D444" i="6"/>
  <c r="C444" i="6"/>
  <c r="H443" i="6"/>
  <c r="C443" i="6"/>
  <c r="H442" i="6"/>
  <c r="E442" i="6"/>
  <c r="D442" i="6"/>
  <c r="C442" i="6"/>
  <c r="H441" i="6"/>
  <c r="C441" i="6"/>
  <c r="H440" i="6"/>
  <c r="E440" i="6"/>
  <c r="D440" i="6"/>
  <c r="C440" i="6"/>
  <c r="H439" i="6"/>
  <c r="C439" i="6"/>
  <c r="H438" i="6"/>
  <c r="E438" i="6"/>
  <c r="D438" i="6"/>
  <c r="C438" i="6"/>
  <c r="H437" i="6"/>
  <c r="C437" i="6"/>
  <c r="H436" i="6"/>
  <c r="E436" i="6"/>
  <c r="D436" i="6"/>
  <c r="C436" i="6"/>
  <c r="H435" i="6"/>
  <c r="C435" i="6"/>
  <c r="H434" i="6"/>
  <c r="E434" i="6"/>
  <c r="D434" i="6"/>
  <c r="C434" i="6"/>
  <c r="H433" i="6"/>
  <c r="C433" i="6"/>
  <c r="H432" i="6"/>
  <c r="E432" i="6"/>
  <c r="D432" i="6"/>
  <c r="C432" i="6"/>
  <c r="H431" i="6"/>
  <c r="C431" i="6"/>
  <c r="H430" i="6"/>
  <c r="E430" i="6"/>
  <c r="D430" i="6"/>
  <c r="C430" i="6"/>
  <c r="H429" i="6"/>
  <c r="C429" i="6"/>
  <c r="H428" i="6"/>
  <c r="E428" i="6"/>
  <c r="D428" i="6"/>
  <c r="C428" i="6"/>
  <c r="H427" i="6"/>
  <c r="C427" i="6"/>
  <c r="H426" i="6"/>
  <c r="E426" i="6"/>
  <c r="D426" i="6"/>
  <c r="C426" i="6"/>
  <c r="H425" i="6"/>
  <c r="C425" i="6"/>
  <c r="H424" i="6"/>
  <c r="E424" i="6"/>
  <c r="D424" i="6"/>
  <c r="C424" i="6"/>
  <c r="H423" i="6"/>
  <c r="C423" i="6"/>
  <c r="H422" i="6"/>
  <c r="E422" i="6"/>
  <c r="D422" i="6"/>
  <c r="C422" i="6"/>
  <c r="H421" i="6"/>
  <c r="C421" i="6"/>
  <c r="H420" i="6"/>
  <c r="E420" i="6"/>
  <c r="D420" i="6"/>
  <c r="C420" i="6"/>
  <c r="H419" i="6"/>
  <c r="C419" i="6"/>
  <c r="H418" i="6"/>
  <c r="E418" i="6"/>
  <c r="D418" i="6"/>
  <c r="C418" i="6"/>
  <c r="H417" i="6"/>
  <c r="C417" i="6"/>
  <c r="H416" i="6"/>
  <c r="E416" i="6"/>
  <c r="D416" i="6"/>
  <c r="C416" i="6"/>
  <c r="H415" i="6"/>
  <c r="C415" i="6"/>
  <c r="H414" i="6"/>
  <c r="E414" i="6"/>
  <c r="D414" i="6"/>
  <c r="C414" i="6"/>
  <c r="H413" i="6"/>
  <c r="C413" i="6"/>
  <c r="H412" i="6"/>
  <c r="E412" i="6"/>
  <c r="D412" i="6"/>
  <c r="C412" i="6"/>
  <c r="H411" i="6"/>
  <c r="C411" i="6"/>
  <c r="H410" i="6"/>
  <c r="E410" i="6"/>
  <c r="D410" i="6"/>
  <c r="C410" i="6"/>
  <c r="H409" i="6"/>
  <c r="C409" i="6"/>
  <c r="H408" i="6"/>
  <c r="E408" i="6"/>
  <c r="D408" i="6"/>
  <c r="C408" i="6"/>
  <c r="H407" i="6"/>
  <c r="C407" i="6"/>
  <c r="H406" i="6"/>
  <c r="E406" i="6"/>
  <c r="D406" i="6"/>
  <c r="C406" i="6"/>
  <c r="H405" i="6"/>
  <c r="C405" i="6"/>
  <c r="H404" i="6"/>
  <c r="E404" i="6"/>
  <c r="D404" i="6"/>
  <c r="C404" i="6"/>
  <c r="H403" i="6"/>
  <c r="C403" i="6"/>
  <c r="H402" i="6"/>
  <c r="E402" i="6"/>
  <c r="D402" i="6"/>
  <c r="C402" i="6"/>
  <c r="H401" i="6"/>
  <c r="C401" i="6"/>
  <c r="H400" i="6"/>
  <c r="E400" i="6"/>
  <c r="D400" i="6"/>
  <c r="C400" i="6"/>
  <c r="H399" i="6"/>
  <c r="C399" i="6"/>
  <c r="H398" i="6"/>
  <c r="E398" i="6"/>
  <c r="D398" i="6"/>
  <c r="C398" i="6"/>
  <c r="H397" i="6"/>
  <c r="C397" i="6"/>
  <c r="H396" i="6"/>
  <c r="E396" i="6"/>
  <c r="D396" i="6"/>
  <c r="C396" i="6"/>
  <c r="H395" i="6"/>
  <c r="C395" i="6"/>
  <c r="H394" i="6"/>
  <c r="E394" i="6"/>
  <c r="D394" i="6"/>
  <c r="C394" i="6"/>
  <c r="H393" i="6"/>
  <c r="C393" i="6"/>
  <c r="H392" i="6"/>
  <c r="E392" i="6"/>
  <c r="D392" i="6"/>
  <c r="C392" i="6"/>
  <c r="H391" i="6"/>
  <c r="C391" i="6"/>
  <c r="H390" i="6"/>
  <c r="E390" i="6"/>
  <c r="D390" i="6"/>
  <c r="C390" i="6"/>
  <c r="H389" i="6"/>
  <c r="C389" i="6"/>
  <c r="H388" i="6"/>
  <c r="E388" i="6"/>
  <c r="D388" i="6"/>
  <c r="C388" i="6"/>
  <c r="H387" i="6"/>
  <c r="C387" i="6"/>
  <c r="H386" i="6"/>
  <c r="E386" i="6"/>
  <c r="D386" i="6"/>
  <c r="C386" i="6"/>
  <c r="H385" i="6"/>
  <c r="C385" i="6"/>
  <c r="H384" i="6"/>
  <c r="E384" i="6"/>
  <c r="D384" i="6"/>
  <c r="C384" i="6"/>
  <c r="H383" i="6"/>
  <c r="C383" i="6"/>
  <c r="H382" i="6"/>
  <c r="E382" i="6"/>
  <c r="D382" i="6"/>
  <c r="C382" i="6"/>
  <c r="H381" i="6"/>
  <c r="C381" i="6"/>
  <c r="H380" i="6"/>
  <c r="E380" i="6"/>
  <c r="D380" i="6"/>
  <c r="C380" i="6"/>
  <c r="H379" i="6"/>
  <c r="C379" i="6"/>
  <c r="H378" i="6"/>
  <c r="E378" i="6"/>
  <c r="D378" i="6"/>
  <c r="C378" i="6"/>
  <c r="H377" i="6"/>
  <c r="C377" i="6"/>
  <c r="H376" i="6"/>
  <c r="E376" i="6"/>
  <c r="D376" i="6"/>
  <c r="C376" i="6"/>
  <c r="H375" i="6"/>
  <c r="C375" i="6"/>
  <c r="H374" i="6"/>
  <c r="E374" i="6"/>
  <c r="D374" i="6"/>
  <c r="C374" i="6"/>
  <c r="H373" i="6"/>
  <c r="C373" i="6"/>
  <c r="H372" i="6"/>
  <c r="E372" i="6"/>
  <c r="D372" i="6"/>
  <c r="C372" i="6"/>
  <c r="H371" i="6"/>
  <c r="C371" i="6"/>
  <c r="H370" i="6"/>
  <c r="E370" i="6"/>
  <c r="D370" i="6"/>
  <c r="C370" i="6"/>
  <c r="H369" i="6"/>
  <c r="C369" i="6"/>
  <c r="H368" i="6"/>
  <c r="E368" i="6"/>
  <c r="D368" i="6"/>
  <c r="C368" i="6"/>
  <c r="H367" i="6"/>
  <c r="C367" i="6"/>
  <c r="H366" i="6"/>
  <c r="E366" i="6"/>
  <c r="D366" i="6"/>
  <c r="C366" i="6"/>
  <c r="H365" i="6"/>
  <c r="C365" i="6"/>
  <c r="H364" i="6"/>
  <c r="E364" i="6"/>
  <c r="D364" i="6"/>
  <c r="C364" i="6"/>
  <c r="H363" i="6"/>
  <c r="C363" i="6"/>
  <c r="H362" i="6"/>
  <c r="E362" i="6"/>
  <c r="D362" i="6"/>
  <c r="C362" i="6"/>
  <c r="H361" i="6"/>
  <c r="C361" i="6"/>
  <c r="H360" i="6"/>
  <c r="E360" i="6"/>
  <c r="D360" i="6"/>
  <c r="C360" i="6"/>
  <c r="H359" i="6"/>
  <c r="C359" i="6"/>
  <c r="H358" i="6"/>
  <c r="E358" i="6"/>
  <c r="D358" i="6"/>
  <c r="C358" i="6"/>
  <c r="H357" i="6"/>
  <c r="C357" i="6"/>
  <c r="H356" i="6"/>
  <c r="E356" i="6"/>
  <c r="D356" i="6"/>
  <c r="C356" i="6"/>
  <c r="H355" i="6"/>
  <c r="D355" i="6"/>
  <c r="C355" i="6"/>
  <c r="E355" i="6" s="1"/>
  <c r="H354" i="6"/>
  <c r="E354" i="6"/>
  <c r="D354" i="6"/>
  <c r="C354" i="6"/>
  <c r="H353" i="6"/>
  <c r="C353" i="6"/>
  <c r="E353" i="6" s="1"/>
  <c r="H352" i="6"/>
  <c r="E352" i="6"/>
  <c r="D352" i="6"/>
  <c r="C352" i="6"/>
  <c r="H351" i="6"/>
  <c r="C351" i="6"/>
  <c r="E351" i="6" s="1"/>
  <c r="H350" i="6"/>
  <c r="E350" i="6"/>
  <c r="D350" i="6"/>
  <c r="C350" i="6"/>
  <c r="H349" i="6"/>
  <c r="C349" i="6"/>
  <c r="H348" i="6"/>
  <c r="E348" i="6"/>
  <c r="D348" i="6"/>
  <c r="C348" i="6"/>
  <c r="H347" i="6"/>
  <c r="C347" i="6"/>
  <c r="E347" i="6" s="1"/>
  <c r="H346" i="6"/>
  <c r="E346" i="6"/>
  <c r="D346" i="6"/>
  <c r="C346" i="6"/>
  <c r="H345" i="6"/>
  <c r="D345" i="6"/>
  <c r="C345" i="6"/>
  <c r="E345" i="6" s="1"/>
  <c r="H344" i="6"/>
  <c r="E344" i="6"/>
  <c r="D344" i="6"/>
  <c r="C344" i="6"/>
  <c r="H343" i="6"/>
  <c r="C343" i="6"/>
  <c r="H342" i="6"/>
  <c r="E342" i="6"/>
  <c r="D342" i="6"/>
  <c r="C342" i="6"/>
  <c r="H341" i="6"/>
  <c r="D341" i="6"/>
  <c r="C341" i="6"/>
  <c r="E341" i="6" s="1"/>
  <c r="H340" i="6"/>
  <c r="E340" i="6"/>
  <c r="D340" i="6"/>
  <c r="C340" i="6"/>
  <c r="H339" i="6"/>
  <c r="D339" i="6"/>
  <c r="C339" i="6"/>
  <c r="E339" i="6" s="1"/>
  <c r="H338" i="6"/>
  <c r="E338" i="6"/>
  <c r="D338" i="6"/>
  <c r="C338" i="6"/>
  <c r="H337" i="6"/>
  <c r="D337" i="6"/>
  <c r="C337" i="6"/>
  <c r="E337" i="6" s="1"/>
  <c r="H336" i="6"/>
  <c r="E336" i="6"/>
  <c r="D336" i="6"/>
  <c r="C336" i="6"/>
  <c r="H335" i="6"/>
  <c r="C335" i="6"/>
  <c r="E335" i="6" s="1"/>
  <c r="H334" i="6"/>
  <c r="E334" i="6"/>
  <c r="D334" i="6"/>
  <c r="C334" i="6"/>
  <c r="H333" i="6"/>
  <c r="C333" i="6"/>
  <c r="H332" i="6"/>
  <c r="E332" i="6"/>
  <c r="D332" i="6"/>
  <c r="C332" i="6"/>
  <c r="H331" i="6"/>
  <c r="D331" i="6"/>
  <c r="C331" i="6"/>
  <c r="E331" i="6" s="1"/>
  <c r="H330" i="6"/>
  <c r="E330" i="6"/>
  <c r="D330" i="6"/>
  <c r="C330" i="6"/>
  <c r="H329" i="6"/>
  <c r="D329" i="6"/>
  <c r="C329" i="6"/>
  <c r="E329" i="6" s="1"/>
  <c r="H328" i="6"/>
  <c r="E328" i="6"/>
  <c r="D328" i="6"/>
  <c r="C328" i="6"/>
  <c r="H327" i="6"/>
  <c r="C327" i="6"/>
  <c r="H326" i="6"/>
  <c r="E326" i="6"/>
  <c r="D326" i="6"/>
  <c r="C326" i="6"/>
  <c r="H325" i="6"/>
  <c r="D325" i="6"/>
  <c r="C325" i="6"/>
  <c r="E325" i="6" s="1"/>
  <c r="H324" i="6"/>
  <c r="E324" i="6"/>
  <c r="D324" i="6"/>
  <c r="C324" i="6"/>
  <c r="H323" i="6"/>
  <c r="D323" i="6"/>
  <c r="C323" i="6"/>
  <c r="E323" i="6" s="1"/>
  <c r="H322" i="6"/>
  <c r="E322" i="6"/>
  <c r="D322" i="6"/>
  <c r="C322" i="6"/>
  <c r="H321" i="6"/>
  <c r="C321" i="6"/>
  <c r="E321" i="6" s="1"/>
  <c r="H320" i="6"/>
  <c r="E320" i="6"/>
  <c r="D320" i="6"/>
  <c r="C320" i="6"/>
  <c r="H319" i="6"/>
  <c r="D319" i="6"/>
  <c r="C319" i="6"/>
  <c r="E319" i="6" s="1"/>
  <c r="H318" i="6"/>
  <c r="E318" i="6"/>
  <c r="D318" i="6"/>
  <c r="C318" i="6"/>
  <c r="H317" i="6"/>
  <c r="C317" i="6"/>
  <c r="H316" i="6"/>
  <c r="E316" i="6"/>
  <c r="D316" i="6"/>
  <c r="C316" i="6"/>
  <c r="H315" i="6"/>
  <c r="D315" i="6"/>
  <c r="C315" i="6"/>
  <c r="E315" i="6" s="1"/>
  <c r="H314" i="6"/>
  <c r="E314" i="6"/>
  <c r="D314" i="6"/>
  <c r="C314" i="6"/>
  <c r="H313" i="6"/>
  <c r="D313" i="6"/>
  <c r="C313" i="6"/>
  <c r="E313" i="6" s="1"/>
  <c r="H312" i="6"/>
  <c r="E312" i="6"/>
  <c r="D312" i="6"/>
  <c r="C312" i="6"/>
  <c r="H311" i="6"/>
  <c r="C311" i="6"/>
  <c r="H310" i="6"/>
  <c r="E310" i="6"/>
  <c r="D310" i="6"/>
  <c r="C310" i="6"/>
  <c r="H309" i="6"/>
  <c r="D309" i="6"/>
  <c r="C309" i="6"/>
  <c r="E309" i="6" s="1"/>
  <c r="H308" i="6"/>
  <c r="E308" i="6"/>
  <c r="D308" i="6"/>
  <c r="C308" i="6"/>
  <c r="H307" i="6"/>
  <c r="D307" i="6"/>
  <c r="C307" i="6"/>
  <c r="E307" i="6" s="1"/>
  <c r="H306" i="6"/>
  <c r="E306" i="6"/>
  <c r="D306" i="6"/>
  <c r="C306" i="6"/>
  <c r="H305" i="6"/>
  <c r="D305" i="6"/>
  <c r="C305" i="6"/>
  <c r="E305" i="6" s="1"/>
  <c r="H304" i="6"/>
  <c r="E304" i="6"/>
  <c r="D304" i="6"/>
  <c r="C304" i="6"/>
  <c r="H303" i="6"/>
  <c r="C303" i="6"/>
  <c r="E303" i="6" s="1"/>
  <c r="H302" i="6"/>
  <c r="E302" i="6"/>
  <c r="D302" i="6"/>
  <c r="C302" i="6"/>
  <c r="H301" i="6"/>
  <c r="C301" i="6"/>
  <c r="H300" i="6"/>
  <c r="E300" i="6"/>
  <c r="D300" i="6"/>
  <c r="C300" i="6"/>
  <c r="H299" i="6"/>
  <c r="D299" i="6"/>
  <c r="C299" i="6"/>
  <c r="E299" i="6" s="1"/>
  <c r="H298" i="6"/>
  <c r="E298" i="6"/>
  <c r="D298" i="6"/>
  <c r="C298" i="6"/>
  <c r="H297" i="6"/>
  <c r="D297" i="6"/>
  <c r="C297" i="6"/>
  <c r="E297" i="6" s="1"/>
  <c r="H296" i="6"/>
  <c r="E296" i="6"/>
  <c r="D296" i="6"/>
  <c r="C296" i="6"/>
  <c r="H295" i="6"/>
  <c r="C295" i="6"/>
  <c r="H294" i="6"/>
  <c r="E294" i="6"/>
  <c r="D294" i="6"/>
  <c r="C294" i="6"/>
  <c r="H293" i="6"/>
  <c r="D293" i="6"/>
  <c r="C293" i="6"/>
  <c r="E293" i="6" s="1"/>
  <c r="H292" i="6"/>
  <c r="E292" i="6"/>
  <c r="D292" i="6"/>
  <c r="C292" i="6"/>
  <c r="H291" i="6"/>
  <c r="D291" i="6"/>
  <c r="C291" i="6"/>
  <c r="E291" i="6" s="1"/>
  <c r="H290" i="6"/>
  <c r="E290" i="6"/>
  <c r="D290" i="6"/>
  <c r="C290" i="6"/>
  <c r="H289" i="6"/>
  <c r="C289" i="6"/>
  <c r="E289" i="6" s="1"/>
  <c r="H288" i="6"/>
  <c r="E288" i="6"/>
  <c r="D288" i="6"/>
  <c r="C288" i="6"/>
  <c r="H287" i="6"/>
  <c r="C287" i="6"/>
  <c r="E287" i="6" s="1"/>
  <c r="H286" i="6"/>
  <c r="E286" i="6"/>
  <c r="D286" i="6"/>
  <c r="C286" i="6"/>
  <c r="H285" i="6"/>
  <c r="C285" i="6"/>
  <c r="H284" i="6"/>
  <c r="E284" i="6"/>
  <c r="D284" i="6"/>
  <c r="C284" i="6"/>
  <c r="H283" i="6"/>
  <c r="D283" i="6"/>
  <c r="C283" i="6"/>
  <c r="E283" i="6" s="1"/>
  <c r="H282" i="6"/>
  <c r="E282" i="6"/>
  <c r="D282" i="6"/>
  <c r="C282" i="6"/>
  <c r="H281" i="6"/>
  <c r="D281" i="6"/>
  <c r="C281" i="6"/>
  <c r="E281" i="6" s="1"/>
  <c r="H280" i="6"/>
  <c r="E280" i="6"/>
  <c r="D280" i="6"/>
  <c r="C280" i="6"/>
  <c r="H279" i="6"/>
  <c r="C279" i="6"/>
  <c r="H278" i="6"/>
  <c r="E278" i="6"/>
  <c r="D278" i="6"/>
  <c r="C278" i="6"/>
  <c r="H277" i="6"/>
  <c r="D277" i="6"/>
  <c r="C277" i="6"/>
  <c r="E277" i="6" s="1"/>
  <c r="H276" i="6"/>
  <c r="E276" i="6"/>
  <c r="D276" i="6"/>
  <c r="C276" i="6"/>
  <c r="H275" i="6"/>
  <c r="D275" i="6"/>
  <c r="C275" i="6"/>
  <c r="E275" i="6" s="1"/>
  <c r="H274" i="6"/>
  <c r="E274" i="6"/>
  <c r="D274" i="6"/>
  <c r="C274" i="6"/>
  <c r="H273" i="6"/>
  <c r="C273" i="6"/>
  <c r="E273" i="6" s="1"/>
  <c r="H272" i="6"/>
  <c r="E272" i="6"/>
  <c r="D272" i="6"/>
  <c r="C272" i="6"/>
  <c r="H271" i="6"/>
  <c r="D271" i="6"/>
  <c r="C271" i="6"/>
  <c r="E271" i="6" s="1"/>
  <c r="H270" i="6"/>
  <c r="E270" i="6"/>
  <c r="D270" i="6"/>
  <c r="C270" i="6"/>
  <c r="H269" i="6"/>
  <c r="C269" i="6"/>
  <c r="H268" i="6"/>
  <c r="E268" i="6"/>
  <c r="D268" i="6"/>
  <c r="C268" i="6"/>
  <c r="H267" i="6"/>
  <c r="D267" i="6"/>
  <c r="C267" i="6"/>
  <c r="E267" i="6" s="1"/>
  <c r="H266" i="6"/>
  <c r="E266" i="6"/>
  <c r="D266" i="6"/>
  <c r="C266" i="6"/>
  <c r="H265" i="6"/>
  <c r="D265" i="6"/>
  <c r="C265" i="6"/>
  <c r="E265" i="6" s="1"/>
  <c r="H264" i="6"/>
  <c r="E264" i="6"/>
  <c r="D264" i="6"/>
  <c r="C264" i="6"/>
  <c r="H263" i="6"/>
  <c r="C263" i="6"/>
  <c r="H262" i="6"/>
  <c r="E262" i="6"/>
  <c r="D262" i="6"/>
  <c r="C262" i="6"/>
  <c r="H261" i="6"/>
  <c r="D261" i="6"/>
  <c r="C261" i="6"/>
  <c r="E261" i="6" s="1"/>
  <c r="H260" i="6"/>
  <c r="E260" i="6"/>
  <c r="D260" i="6"/>
  <c r="C260" i="6"/>
  <c r="H259" i="6"/>
  <c r="D259" i="6"/>
  <c r="C259" i="6"/>
  <c r="E259" i="6" s="1"/>
  <c r="H258" i="6"/>
  <c r="E258" i="6"/>
  <c r="D258" i="6"/>
  <c r="C258" i="6"/>
  <c r="H257" i="6"/>
  <c r="C257" i="6"/>
  <c r="E257" i="6" s="1"/>
  <c r="H256" i="6"/>
  <c r="E256" i="6"/>
  <c r="D256" i="6"/>
  <c r="C256" i="6"/>
  <c r="H255" i="6"/>
  <c r="D255" i="6"/>
  <c r="C255" i="6"/>
  <c r="E255" i="6" s="1"/>
  <c r="H254" i="6"/>
  <c r="E254" i="6"/>
  <c r="D254" i="6"/>
  <c r="C254" i="6"/>
  <c r="H253" i="6"/>
  <c r="C253" i="6"/>
  <c r="H252" i="6"/>
  <c r="E252" i="6"/>
  <c r="D252" i="6"/>
  <c r="C252" i="6"/>
  <c r="H251" i="6"/>
  <c r="D251" i="6"/>
  <c r="C251" i="6"/>
  <c r="E251" i="6" s="1"/>
  <c r="H250" i="6"/>
  <c r="E250" i="6"/>
  <c r="D250" i="6"/>
  <c r="C250" i="6"/>
  <c r="H249" i="6"/>
  <c r="D249" i="6"/>
  <c r="C249" i="6"/>
  <c r="E249" i="6" s="1"/>
  <c r="H248" i="6"/>
  <c r="E248" i="6"/>
  <c r="D248" i="6"/>
  <c r="C248" i="6"/>
  <c r="H247" i="6"/>
  <c r="C247" i="6"/>
  <c r="H246" i="6"/>
  <c r="E246" i="6"/>
  <c r="D246" i="6"/>
  <c r="C246" i="6"/>
  <c r="H245" i="6"/>
  <c r="C245" i="6"/>
  <c r="H244" i="6"/>
  <c r="E244" i="6"/>
  <c r="D244" i="6"/>
  <c r="C244" i="6"/>
  <c r="H243" i="6"/>
  <c r="C243" i="6"/>
  <c r="H242" i="6"/>
  <c r="E242" i="6"/>
  <c r="D242" i="6"/>
  <c r="C242" i="6"/>
  <c r="H241" i="6"/>
  <c r="C241" i="6"/>
  <c r="H240" i="6"/>
  <c r="E240" i="6"/>
  <c r="D240" i="6"/>
  <c r="C240" i="6"/>
  <c r="H239" i="6"/>
  <c r="C239" i="6"/>
  <c r="H238" i="6"/>
  <c r="E238" i="6"/>
  <c r="D238" i="6"/>
  <c r="C238" i="6"/>
  <c r="H237" i="6"/>
  <c r="C237" i="6"/>
  <c r="H236" i="6"/>
  <c r="E236" i="6"/>
  <c r="D236" i="6"/>
  <c r="C236" i="6"/>
  <c r="H235" i="6"/>
  <c r="C235" i="6"/>
  <c r="H234" i="6"/>
  <c r="E234" i="6"/>
  <c r="D234" i="6"/>
  <c r="C234" i="6"/>
  <c r="H233" i="6"/>
  <c r="C233" i="6"/>
  <c r="H232" i="6"/>
  <c r="E232" i="6"/>
  <c r="D232" i="6"/>
  <c r="C232" i="6"/>
  <c r="H231" i="6"/>
  <c r="C231" i="6"/>
  <c r="H230" i="6"/>
  <c r="E230" i="6"/>
  <c r="D230" i="6"/>
  <c r="C230" i="6"/>
  <c r="H229" i="6"/>
  <c r="C229" i="6"/>
  <c r="H228" i="6"/>
  <c r="E228" i="6"/>
  <c r="D228" i="6"/>
  <c r="C228" i="6"/>
  <c r="H227" i="6"/>
  <c r="C227" i="6"/>
  <c r="H226" i="6"/>
  <c r="E226" i="6"/>
  <c r="D226" i="6"/>
  <c r="C226" i="6"/>
  <c r="H225" i="6"/>
  <c r="C225" i="6"/>
  <c r="H224" i="6"/>
  <c r="E224" i="6"/>
  <c r="D224" i="6"/>
  <c r="C224" i="6"/>
  <c r="H223" i="6"/>
  <c r="C223" i="6"/>
  <c r="H222" i="6"/>
  <c r="E222" i="6"/>
  <c r="D222" i="6"/>
  <c r="C222" i="6"/>
  <c r="H221" i="6"/>
  <c r="C221" i="6"/>
  <c r="H220" i="6"/>
  <c r="E220" i="6"/>
  <c r="D220" i="6"/>
  <c r="C220" i="6"/>
  <c r="H219" i="6"/>
  <c r="C219" i="6"/>
  <c r="H218" i="6"/>
  <c r="E218" i="6"/>
  <c r="D218" i="6"/>
  <c r="C218" i="6"/>
  <c r="H217" i="6"/>
  <c r="C217" i="6"/>
  <c r="H216" i="6"/>
  <c r="E216" i="6"/>
  <c r="D216" i="6"/>
  <c r="C216" i="6"/>
  <c r="H215" i="6"/>
  <c r="C215" i="6"/>
  <c r="H214" i="6"/>
  <c r="E214" i="6"/>
  <c r="D214" i="6"/>
  <c r="C214" i="6"/>
  <c r="H213" i="6"/>
  <c r="C213" i="6"/>
  <c r="H212" i="6"/>
  <c r="E212" i="6"/>
  <c r="D212" i="6"/>
  <c r="C212" i="6"/>
  <c r="H211" i="6"/>
  <c r="C211" i="6"/>
  <c r="H210" i="6"/>
  <c r="E210" i="6"/>
  <c r="D210" i="6"/>
  <c r="C210" i="6"/>
  <c r="H209" i="6"/>
  <c r="C209" i="6"/>
  <c r="H208" i="6"/>
  <c r="E208" i="6"/>
  <c r="D208" i="6"/>
  <c r="C208" i="6"/>
  <c r="H207" i="6"/>
  <c r="C207" i="6"/>
  <c r="H206" i="6"/>
  <c r="E206" i="6"/>
  <c r="D206" i="6"/>
  <c r="C206" i="6"/>
  <c r="H205" i="6"/>
  <c r="C205" i="6"/>
  <c r="H204" i="6"/>
  <c r="E204" i="6"/>
  <c r="D204" i="6"/>
  <c r="C204" i="6"/>
  <c r="H203" i="6"/>
  <c r="C203" i="6"/>
  <c r="H202" i="6"/>
  <c r="E202" i="6"/>
  <c r="D202" i="6"/>
  <c r="C202" i="6"/>
  <c r="H201" i="6"/>
  <c r="C201" i="6"/>
  <c r="H200" i="6"/>
  <c r="E200" i="6"/>
  <c r="D200" i="6"/>
  <c r="C200" i="6"/>
  <c r="H199" i="6"/>
  <c r="C199" i="6"/>
  <c r="H198" i="6"/>
  <c r="E198" i="6"/>
  <c r="D198" i="6"/>
  <c r="C198" i="6"/>
  <c r="H197" i="6"/>
  <c r="C197" i="6"/>
  <c r="H196" i="6"/>
  <c r="E196" i="6"/>
  <c r="D196" i="6"/>
  <c r="C196" i="6"/>
  <c r="H195" i="6"/>
  <c r="C195" i="6"/>
  <c r="H194" i="6"/>
  <c r="E194" i="6"/>
  <c r="D194" i="6"/>
  <c r="C194" i="6"/>
  <c r="H193" i="6"/>
  <c r="C193" i="6"/>
  <c r="H192" i="6"/>
  <c r="E192" i="6"/>
  <c r="D192" i="6"/>
  <c r="C192" i="6"/>
  <c r="H191" i="6"/>
  <c r="C191" i="6"/>
  <c r="H190" i="6"/>
  <c r="E190" i="6"/>
  <c r="D190" i="6"/>
  <c r="C190" i="6"/>
  <c r="H189" i="6"/>
  <c r="C189" i="6"/>
  <c r="H188" i="6"/>
  <c r="E188" i="6"/>
  <c r="D188" i="6"/>
  <c r="C188" i="6"/>
  <c r="H187" i="6"/>
  <c r="C187" i="6"/>
  <c r="H186" i="6"/>
  <c r="E186" i="6"/>
  <c r="D186" i="6"/>
  <c r="C186" i="6"/>
  <c r="H185" i="6"/>
  <c r="C185" i="6"/>
  <c r="H184" i="6"/>
  <c r="E184" i="6"/>
  <c r="D184" i="6"/>
  <c r="C184" i="6"/>
  <c r="H183" i="6"/>
  <c r="C183" i="6"/>
  <c r="H182" i="6"/>
  <c r="E182" i="6"/>
  <c r="D182" i="6"/>
  <c r="C182" i="6"/>
  <c r="H181" i="6"/>
  <c r="C181" i="6"/>
  <c r="H180" i="6"/>
  <c r="E180" i="6"/>
  <c r="D180" i="6"/>
  <c r="C180" i="6"/>
  <c r="H179" i="6"/>
  <c r="C179" i="6"/>
  <c r="H178" i="6"/>
  <c r="E178" i="6"/>
  <c r="D178" i="6"/>
  <c r="C178" i="6"/>
  <c r="H177" i="6"/>
  <c r="C177" i="6"/>
  <c r="H176" i="6"/>
  <c r="E176" i="6"/>
  <c r="D176" i="6"/>
  <c r="C176" i="6"/>
  <c r="H175" i="6"/>
  <c r="C175" i="6"/>
  <c r="H174" i="6"/>
  <c r="E174" i="6"/>
  <c r="D174" i="6"/>
  <c r="C174" i="6"/>
  <c r="H173" i="6"/>
  <c r="C173" i="6"/>
  <c r="H172" i="6"/>
  <c r="E172" i="6"/>
  <c r="D172" i="6"/>
  <c r="C172" i="6"/>
  <c r="H171" i="6"/>
  <c r="C171" i="6"/>
  <c r="H170" i="6"/>
  <c r="E170" i="6"/>
  <c r="D170" i="6"/>
  <c r="C170" i="6"/>
  <c r="H169" i="6"/>
  <c r="C169" i="6"/>
  <c r="H168" i="6"/>
  <c r="E168" i="6"/>
  <c r="D168" i="6"/>
  <c r="C168" i="6"/>
  <c r="H167" i="6"/>
  <c r="C167" i="6"/>
  <c r="H166" i="6"/>
  <c r="E166" i="6"/>
  <c r="D166" i="6"/>
  <c r="C166" i="6"/>
  <c r="H165" i="6"/>
  <c r="C165" i="6"/>
  <c r="H164" i="6"/>
  <c r="E164" i="6"/>
  <c r="D164" i="6"/>
  <c r="C164" i="6"/>
  <c r="H163" i="6"/>
  <c r="C163" i="6"/>
  <c r="H162" i="6"/>
  <c r="E162" i="6"/>
  <c r="D162" i="6"/>
  <c r="C162" i="6"/>
  <c r="H161" i="6"/>
  <c r="C161" i="6"/>
  <c r="H160" i="6"/>
  <c r="E160" i="6"/>
  <c r="D160" i="6"/>
  <c r="C160" i="6"/>
  <c r="H159" i="6"/>
  <c r="C159" i="6"/>
  <c r="H158" i="6"/>
  <c r="E158" i="6"/>
  <c r="D158" i="6"/>
  <c r="C158" i="6"/>
  <c r="H157" i="6"/>
  <c r="C157" i="6"/>
  <c r="H156" i="6"/>
  <c r="E156" i="6"/>
  <c r="D156" i="6"/>
  <c r="C156" i="6"/>
  <c r="H155" i="6"/>
  <c r="C155" i="6"/>
  <c r="H154" i="6"/>
  <c r="E154" i="6"/>
  <c r="D154" i="6"/>
  <c r="C154" i="6"/>
  <c r="H153" i="6"/>
  <c r="C153" i="6"/>
  <c r="H152" i="6"/>
  <c r="E152" i="6"/>
  <c r="D152" i="6"/>
  <c r="C152" i="6"/>
  <c r="H151" i="6"/>
  <c r="C151" i="6"/>
  <c r="H150" i="6"/>
  <c r="E150" i="6"/>
  <c r="D150" i="6"/>
  <c r="C150" i="6"/>
  <c r="H149" i="6"/>
  <c r="C149" i="6"/>
  <c r="H148" i="6"/>
  <c r="E148" i="6"/>
  <c r="D148" i="6"/>
  <c r="C148" i="6"/>
  <c r="H147" i="6"/>
  <c r="C147" i="6"/>
  <c r="H146" i="6"/>
  <c r="E146" i="6"/>
  <c r="D146" i="6"/>
  <c r="C146" i="6"/>
  <c r="H145" i="6"/>
  <c r="C145" i="6"/>
  <c r="H144" i="6"/>
  <c r="E144" i="6"/>
  <c r="D144" i="6"/>
  <c r="C144" i="6"/>
  <c r="H143" i="6"/>
  <c r="C143" i="6"/>
  <c r="H142" i="6"/>
  <c r="E142" i="6"/>
  <c r="D142" i="6"/>
  <c r="C142" i="6"/>
  <c r="H141" i="6"/>
  <c r="C141" i="6"/>
  <c r="H140" i="6"/>
  <c r="E140" i="6"/>
  <c r="D140" i="6"/>
  <c r="C140" i="6"/>
  <c r="H139" i="6"/>
  <c r="C139" i="6"/>
  <c r="H138" i="6"/>
  <c r="E138" i="6"/>
  <c r="D138" i="6"/>
  <c r="C138" i="6"/>
  <c r="H137" i="6"/>
  <c r="C137" i="6"/>
  <c r="H136" i="6"/>
  <c r="E136" i="6"/>
  <c r="D136" i="6"/>
  <c r="C136" i="6"/>
  <c r="H135" i="6"/>
  <c r="C135" i="6"/>
  <c r="H134" i="6"/>
  <c r="E134" i="6"/>
  <c r="D134" i="6"/>
  <c r="C134" i="6"/>
  <c r="H133" i="6"/>
  <c r="C133" i="6"/>
  <c r="H132" i="6"/>
  <c r="E132" i="6"/>
  <c r="D132" i="6"/>
  <c r="C132" i="6"/>
  <c r="H131" i="6"/>
  <c r="C131" i="6"/>
  <c r="H130" i="6"/>
  <c r="E130" i="6"/>
  <c r="D130" i="6"/>
  <c r="C130" i="6"/>
  <c r="H129" i="6"/>
  <c r="C129" i="6"/>
  <c r="H128" i="6"/>
  <c r="E128" i="6"/>
  <c r="D128" i="6"/>
  <c r="C128" i="6"/>
  <c r="H127" i="6"/>
  <c r="C127" i="6"/>
  <c r="H126" i="6"/>
  <c r="E126" i="6"/>
  <c r="D126" i="6"/>
  <c r="C126" i="6"/>
  <c r="H125" i="6"/>
  <c r="C125" i="6"/>
  <c r="H124" i="6"/>
  <c r="E124" i="6"/>
  <c r="D124" i="6"/>
  <c r="C124" i="6"/>
  <c r="H123" i="6"/>
  <c r="C123" i="6"/>
  <c r="H122" i="6"/>
  <c r="E122" i="6"/>
  <c r="D122" i="6"/>
  <c r="C122" i="6"/>
  <c r="H121" i="6"/>
  <c r="C121" i="6"/>
  <c r="H120" i="6"/>
  <c r="E120" i="6"/>
  <c r="D120" i="6"/>
  <c r="C120" i="6"/>
  <c r="H119" i="6"/>
  <c r="C119" i="6"/>
  <c r="H118" i="6"/>
  <c r="E118" i="6"/>
  <c r="D118" i="6"/>
  <c r="C118" i="6"/>
  <c r="H117" i="6"/>
  <c r="C117" i="6"/>
  <c r="H116" i="6"/>
  <c r="E116" i="6"/>
  <c r="D116" i="6"/>
  <c r="C116" i="6"/>
  <c r="H115" i="6"/>
  <c r="C115" i="6"/>
  <c r="H114" i="6"/>
  <c r="E114" i="6"/>
  <c r="D114" i="6"/>
  <c r="C114" i="6"/>
  <c r="H113" i="6"/>
  <c r="C113" i="6"/>
  <c r="H112" i="6"/>
  <c r="E112" i="6"/>
  <c r="D112" i="6"/>
  <c r="C112" i="6"/>
  <c r="H111" i="6"/>
  <c r="C111" i="6"/>
  <c r="H110" i="6"/>
  <c r="E110" i="6"/>
  <c r="D110" i="6"/>
  <c r="C110" i="6"/>
  <c r="H109" i="6"/>
  <c r="C109" i="6"/>
  <c r="H108" i="6"/>
  <c r="E108" i="6"/>
  <c r="D108" i="6"/>
  <c r="C108" i="6"/>
  <c r="H107" i="6"/>
  <c r="C107" i="6"/>
  <c r="H106" i="6"/>
  <c r="E106" i="6"/>
  <c r="D106" i="6"/>
  <c r="C106" i="6"/>
  <c r="H105" i="6"/>
  <c r="C105" i="6"/>
  <c r="H104" i="6"/>
  <c r="E104" i="6"/>
  <c r="D104" i="6"/>
  <c r="C104" i="6"/>
  <c r="H103" i="6"/>
  <c r="C103" i="6"/>
  <c r="H102" i="6"/>
  <c r="E102" i="6"/>
  <c r="D102" i="6"/>
  <c r="C102" i="6"/>
  <c r="H101" i="6"/>
  <c r="C101" i="6"/>
  <c r="H100" i="6"/>
  <c r="E100" i="6"/>
  <c r="D100" i="6"/>
  <c r="C100" i="6"/>
  <c r="H99" i="6"/>
  <c r="C99" i="6"/>
  <c r="H98" i="6"/>
  <c r="E98" i="6"/>
  <c r="D98" i="6"/>
  <c r="C98" i="6"/>
  <c r="H97" i="6"/>
  <c r="C97" i="6"/>
  <c r="H96" i="6"/>
  <c r="E96" i="6"/>
  <c r="D96" i="6"/>
  <c r="C96" i="6"/>
  <c r="H95" i="6"/>
  <c r="C95" i="6"/>
  <c r="H94" i="6"/>
  <c r="E94" i="6"/>
  <c r="D94" i="6"/>
  <c r="C94" i="6"/>
  <c r="H93" i="6"/>
  <c r="C93" i="6"/>
  <c r="H92" i="6"/>
  <c r="E92" i="6"/>
  <c r="D92" i="6"/>
  <c r="C92" i="6"/>
  <c r="H91" i="6"/>
  <c r="C91" i="6"/>
  <c r="H90" i="6"/>
  <c r="E90" i="6"/>
  <c r="D90" i="6"/>
  <c r="C90" i="6"/>
  <c r="H89" i="6"/>
  <c r="C89" i="6"/>
  <c r="H88" i="6"/>
  <c r="E88" i="6"/>
  <c r="D88" i="6"/>
  <c r="C88" i="6"/>
  <c r="H87" i="6"/>
  <c r="C87" i="6"/>
  <c r="H86" i="6"/>
  <c r="E86" i="6"/>
  <c r="D86" i="6"/>
  <c r="C86" i="6"/>
  <c r="H85" i="6"/>
  <c r="C85" i="6"/>
  <c r="H84" i="6"/>
  <c r="E84" i="6"/>
  <c r="D84" i="6"/>
  <c r="C84" i="6"/>
  <c r="H83" i="6"/>
  <c r="E83" i="6"/>
  <c r="C83" i="6"/>
  <c r="D83" i="6" s="1"/>
  <c r="H82" i="6"/>
  <c r="E82" i="6"/>
  <c r="D82" i="6"/>
  <c r="C82" i="6"/>
  <c r="H81" i="6"/>
  <c r="C81" i="6"/>
  <c r="D81" i="6" s="1"/>
  <c r="H80" i="6"/>
  <c r="E80" i="6"/>
  <c r="D80" i="6"/>
  <c r="C80" i="6"/>
  <c r="H79" i="6"/>
  <c r="E79" i="6"/>
  <c r="C79" i="6"/>
  <c r="D79" i="6" s="1"/>
  <c r="H78" i="6"/>
  <c r="E78" i="6"/>
  <c r="D78" i="6"/>
  <c r="C78" i="6"/>
  <c r="H77" i="6"/>
  <c r="C77" i="6"/>
  <c r="D77" i="6" s="1"/>
  <c r="H76" i="6"/>
  <c r="E76" i="6"/>
  <c r="D76" i="6"/>
  <c r="C76" i="6"/>
  <c r="H75" i="6"/>
  <c r="C75" i="6"/>
  <c r="D75" i="6" s="1"/>
  <c r="H74" i="6"/>
  <c r="E74" i="6"/>
  <c r="D74" i="6"/>
  <c r="C74" i="6"/>
  <c r="H73" i="6"/>
  <c r="E73" i="6"/>
  <c r="C73" i="6"/>
  <c r="D73" i="6" s="1"/>
  <c r="H72" i="6"/>
  <c r="E72" i="6"/>
  <c r="D72" i="6"/>
  <c r="C72" i="6"/>
  <c r="H71" i="6"/>
  <c r="C71" i="6"/>
  <c r="D71" i="6" s="1"/>
  <c r="H70" i="6"/>
  <c r="E70" i="6"/>
  <c r="D70" i="6"/>
  <c r="C70" i="6"/>
  <c r="H69" i="6"/>
  <c r="E69" i="6"/>
  <c r="C69" i="6"/>
  <c r="D69" i="6" s="1"/>
  <c r="H68" i="6"/>
  <c r="E68" i="6"/>
  <c r="D68" i="6"/>
  <c r="C68" i="6"/>
  <c r="H67" i="6"/>
  <c r="E67" i="6"/>
  <c r="C67" i="6"/>
  <c r="D67" i="6" s="1"/>
  <c r="H66" i="6"/>
  <c r="E66" i="6"/>
  <c r="D66" i="6"/>
  <c r="C66" i="6"/>
  <c r="H65" i="6"/>
  <c r="C65" i="6"/>
  <c r="D65" i="6" s="1"/>
  <c r="H64" i="6"/>
  <c r="E64" i="6"/>
  <c r="D64" i="6"/>
  <c r="C64" i="6"/>
  <c r="H63" i="6"/>
  <c r="E63" i="6"/>
  <c r="C63" i="6"/>
  <c r="D63" i="6" s="1"/>
  <c r="H62" i="6"/>
  <c r="E62" i="6"/>
  <c r="D62" i="6"/>
  <c r="C62" i="6"/>
  <c r="H61" i="6"/>
  <c r="C61" i="6"/>
  <c r="D61" i="6" s="1"/>
  <c r="H60" i="6"/>
  <c r="E60" i="6"/>
  <c r="D60" i="6"/>
  <c r="C60" i="6"/>
  <c r="H59" i="6"/>
  <c r="E59" i="6"/>
  <c r="C59" i="6"/>
  <c r="D59" i="6" s="1"/>
  <c r="H58" i="6"/>
  <c r="E58" i="6"/>
  <c r="D58" i="6"/>
  <c r="C58" i="6"/>
  <c r="H57" i="6"/>
  <c r="E57" i="6"/>
  <c r="C57" i="6"/>
  <c r="D57" i="6" s="1"/>
  <c r="H56" i="6"/>
  <c r="E56" i="6"/>
  <c r="D56" i="6"/>
  <c r="C56" i="6"/>
  <c r="H55" i="6"/>
  <c r="C55" i="6"/>
  <c r="D55" i="6" s="1"/>
  <c r="H54" i="6"/>
  <c r="E54" i="6"/>
  <c r="D54" i="6"/>
  <c r="C54" i="6"/>
  <c r="H53" i="6"/>
  <c r="E53" i="6"/>
  <c r="C53" i="6"/>
  <c r="D53" i="6" s="1"/>
  <c r="H52" i="6"/>
  <c r="E52" i="6"/>
  <c r="D52" i="6"/>
  <c r="C52" i="6"/>
  <c r="H51" i="6"/>
  <c r="E51" i="6"/>
  <c r="C51" i="6"/>
  <c r="D51" i="6" s="1"/>
  <c r="H50" i="6"/>
  <c r="E50" i="6"/>
  <c r="D50" i="6"/>
  <c r="C50" i="6"/>
  <c r="H49" i="6"/>
  <c r="C49" i="6"/>
  <c r="D49" i="6" s="1"/>
  <c r="H48" i="6"/>
  <c r="E48" i="6"/>
  <c r="D48" i="6"/>
  <c r="C48" i="6"/>
  <c r="H47" i="6"/>
  <c r="E47" i="6"/>
  <c r="C47" i="6"/>
  <c r="D47" i="6" s="1"/>
  <c r="H46" i="6"/>
  <c r="E46" i="6"/>
  <c r="D46" i="6"/>
  <c r="C46" i="6"/>
  <c r="H45" i="6"/>
  <c r="C45" i="6"/>
  <c r="D45" i="6" s="1"/>
  <c r="H44" i="6"/>
  <c r="E44" i="6"/>
  <c r="D44" i="6"/>
  <c r="C44" i="6"/>
  <c r="H43" i="6"/>
  <c r="E43" i="6"/>
  <c r="C43" i="6"/>
  <c r="D43" i="6" s="1"/>
  <c r="H42" i="6"/>
  <c r="E42" i="6"/>
  <c r="D42" i="6"/>
  <c r="C42" i="6"/>
  <c r="H41" i="6"/>
  <c r="E41" i="6"/>
  <c r="C41" i="6"/>
  <c r="D41" i="6" s="1"/>
  <c r="H40" i="6"/>
  <c r="E40" i="6"/>
  <c r="D40" i="6"/>
  <c r="C40" i="6"/>
  <c r="H39" i="6"/>
  <c r="C39" i="6"/>
  <c r="D39" i="6" s="1"/>
  <c r="H38" i="6"/>
  <c r="E38" i="6"/>
  <c r="D38" i="6"/>
  <c r="C38" i="6"/>
  <c r="H37" i="6"/>
  <c r="E37" i="6"/>
  <c r="C37" i="6"/>
  <c r="D37" i="6" s="1"/>
  <c r="H36" i="6"/>
  <c r="E36" i="6"/>
  <c r="D36" i="6"/>
  <c r="C36" i="6"/>
  <c r="H35" i="6"/>
  <c r="E35" i="6"/>
  <c r="C35" i="6"/>
  <c r="D35" i="6" s="1"/>
  <c r="H34" i="6"/>
  <c r="E34" i="6"/>
  <c r="D34" i="6"/>
  <c r="C34" i="6"/>
  <c r="H33" i="6"/>
  <c r="C33" i="6"/>
  <c r="D33" i="6" s="1"/>
  <c r="H32" i="6"/>
  <c r="E32" i="6"/>
  <c r="D32" i="6"/>
  <c r="C32" i="6"/>
  <c r="H31" i="6"/>
  <c r="E31" i="6"/>
  <c r="C31" i="6"/>
  <c r="D31" i="6" s="1"/>
  <c r="H30" i="6"/>
  <c r="E30" i="6"/>
  <c r="D30" i="6"/>
  <c r="C30" i="6"/>
  <c r="H29" i="6"/>
  <c r="C29" i="6"/>
  <c r="D29" i="6" s="1"/>
  <c r="H28" i="6"/>
  <c r="E28" i="6"/>
  <c r="D28" i="6"/>
  <c r="C28" i="6"/>
  <c r="H27" i="6"/>
  <c r="E27" i="6"/>
  <c r="C27" i="6"/>
  <c r="D27" i="6" s="1"/>
  <c r="H26" i="6"/>
  <c r="E26" i="6"/>
  <c r="D26" i="6"/>
  <c r="C26" i="6"/>
  <c r="H25" i="6"/>
  <c r="E25" i="6"/>
  <c r="C25" i="6"/>
  <c r="D25" i="6" s="1"/>
  <c r="H24" i="6"/>
  <c r="E24" i="6"/>
  <c r="D24" i="6"/>
  <c r="C24" i="6"/>
  <c r="H23" i="6"/>
  <c r="C23" i="6"/>
  <c r="D23" i="6" s="1"/>
  <c r="H22" i="6"/>
  <c r="E22" i="6"/>
  <c r="D22" i="6"/>
  <c r="C22" i="6"/>
  <c r="H21" i="6"/>
  <c r="E21" i="6"/>
  <c r="C21" i="6"/>
  <c r="D21" i="6" s="1"/>
  <c r="H20" i="6"/>
  <c r="E20" i="6"/>
  <c r="D20" i="6"/>
  <c r="C20" i="6"/>
  <c r="H19" i="6"/>
  <c r="E19" i="6"/>
  <c r="C19" i="6"/>
  <c r="D19" i="6" s="1"/>
  <c r="H18" i="6"/>
  <c r="E18" i="6"/>
  <c r="D18" i="6"/>
  <c r="C18" i="6"/>
  <c r="H17" i="6"/>
  <c r="C17" i="6"/>
  <c r="D17" i="6" s="1"/>
  <c r="H16" i="6"/>
  <c r="E16" i="6"/>
  <c r="D16" i="6"/>
  <c r="C16" i="6"/>
  <c r="H15" i="6"/>
  <c r="E15" i="6"/>
  <c r="C15" i="6"/>
  <c r="D15" i="6" s="1"/>
  <c r="H14" i="6"/>
  <c r="E14" i="6"/>
  <c r="D14" i="6"/>
  <c r="C14" i="6"/>
  <c r="H13" i="6"/>
  <c r="C13" i="6"/>
  <c r="D13" i="6" s="1"/>
  <c r="H12" i="6"/>
  <c r="E12" i="6"/>
  <c r="D12" i="6"/>
  <c r="C12" i="6"/>
  <c r="H11" i="6"/>
  <c r="E11" i="6"/>
  <c r="C11" i="6"/>
  <c r="D11" i="6" s="1"/>
  <c r="H10" i="6"/>
  <c r="E10" i="6"/>
  <c r="D10" i="6"/>
  <c r="C10" i="6"/>
  <c r="H9" i="6"/>
  <c r="E9" i="6"/>
  <c r="C9" i="6"/>
  <c r="D9" i="6" s="1"/>
  <c r="H8" i="6"/>
  <c r="E8" i="6"/>
  <c r="D8" i="6"/>
  <c r="C8" i="6"/>
  <c r="H7" i="6"/>
  <c r="C7" i="6"/>
  <c r="D7" i="6" s="1"/>
  <c r="H6" i="6"/>
  <c r="E6" i="6"/>
  <c r="D6" i="6"/>
  <c r="C6" i="6"/>
  <c r="H5" i="6"/>
  <c r="E5" i="6"/>
  <c r="C5" i="6"/>
  <c r="U48" i="5"/>
  <c r="T48" i="5"/>
  <c r="K48" i="5"/>
  <c r="M48" i="5" s="1"/>
  <c r="F48" i="5"/>
  <c r="E48" i="5"/>
  <c r="C48" i="5"/>
  <c r="A48" i="5"/>
  <c r="O47" i="5"/>
  <c r="P47" i="5" s="1"/>
  <c r="M47" i="5"/>
  <c r="K47" i="5"/>
  <c r="L47" i="5" s="1"/>
  <c r="G47" i="5"/>
  <c r="F47" i="5"/>
  <c r="E47" i="5"/>
  <c r="C47" i="5"/>
  <c r="A47" i="5" s="1"/>
  <c r="T47" i="5" s="1"/>
  <c r="P46" i="5"/>
  <c r="O46" i="5"/>
  <c r="Q46" i="5" s="1"/>
  <c r="L46" i="5"/>
  <c r="K46" i="5"/>
  <c r="M46" i="5" s="1"/>
  <c r="G46" i="5"/>
  <c r="E46" i="5"/>
  <c r="F46" i="5" s="1"/>
  <c r="C46" i="5"/>
  <c r="A46" i="5"/>
  <c r="T46" i="5" s="1"/>
  <c r="L45" i="5"/>
  <c r="K45" i="5"/>
  <c r="M45" i="5" s="1"/>
  <c r="F45" i="5"/>
  <c r="E45" i="5"/>
  <c r="O45" i="5" s="1"/>
  <c r="Q45" i="5" s="1"/>
  <c r="C45" i="5"/>
  <c r="A45" i="5" s="1"/>
  <c r="T45" i="5" s="1"/>
  <c r="T44" i="5"/>
  <c r="O44" i="5"/>
  <c r="Q44" i="5" s="1"/>
  <c r="M44" i="5"/>
  <c r="L44" i="5"/>
  <c r="K44" i="5"/>
  <c r="E44" i="5"/>
  <c r="G44" i="5" s="1"/>
  <c r="C44" i="5"/>
  <c r="A44" i="5"/>
  <c r="O43" i="5"/>
  <c r="M43" i="5"/>
  <c r="K43" i="5"/>
  <c r="L43" i="5" s="1"/>
  <c r="G43" i="5"/>
  <c r="F43" i="5"/>
  <c r="E43" i="5"/>
  <c r="C43" i="5"/>
  <c r="A43" i="5"/>
  <c r="K42" i="5"/>
  <c r="F42" i="5"/>
  <c r="E42" i="5"/>
  <c r="C42" i="5"/>
  <c r="A42" i="5"/>
  <c r="T42" i="5" s="1"/>
  <c r="O41" i="5"/>
  <c r="Q41" i="5" s="1"/>
  <c r="L41" i="5"/>
  <c r="K41" i="5"/>
  <c r="M41" i="5" s="1"/>
  <c r="E41" i="5"/>
  <c r="C41" i="5"/>
  <c r="A41" i="5" s="1"/>
  <c r="T40" i="5"/>
  <c r="Q40" i="5"/>
  <c r="M40" i="5"/>
  <c r="L40" i="5"/>
  <c r="K40" i="5"/>
  <c r="G40" i="5"/>
  <c r="E40" i="5"/>
  <c r="O40" i="5" s="1"/>
  <c r="P40" i="5" s="1"/>
  <c r="C40" i="5"/>
  <c r="A40" i="5"/>
  <c r="T39" i="5"/>
  <c r="M39" i="5"/>
  <c r="K39" i="5"/>
  <c r="L39" i="5" s="1"/>
  <c r="E39" i="5"/>
  <c r="C39" i="5"/>
  <c r="A39" i="5"/>
  <c r="O38" i="5"/>
  <c r="Q38" i="5" s="1"/>
  <c r="L38" i="5"/>
  <c r="K38" i="5"/>
  <c r="M38" i="5" s="1"/>
  <c r="G38" i="5"/>
  <c r="E38" i="5"/>
  <c r="F38" i="5" s="1"/>
  <c r="C38" i="5"/>
  <c r="A38" i="5"/>
  <c r="T38" i="5" s="1"/>
  <c r="Q37" i="5"/>
  <c r="P37" i="5"/>
  <c r="K37" i="5"/>
  <c r="M37" i="5" s="1"/>
  <c r="E37" i="5"/>
  <c r="O37" i="5" s="1"/>
  <c r="C37" i="5"/>
  <c r="A37" i="5" s="1"/>
  <c r="T37" i="5" s="1"/>
  <c r="M36" i="5"/>
  <c r="L36" i="5"/>
  <c r="K36" i="5"/>
  <c r="F36" i="5"/>
  <c r="E36" i="5"/>
  <c r="C36" i="5"/>
  <c r="A36" i="5" s="1"/>
  <c r="O35" i="5"/>
  <c r="K35" i="5"/>
  <c r="M35" i="5" s="1"/>
  <c r="G35" i="5"/>
  <c r="F35" i="5"/>
  <c r="E35" i="5"/>
  <c r="C35" i="5"/>
  <c r="A35" i="5"/>
  <c r="K34" i="5"/>
  <c r="E34" i="5"/>
  <c r="G34" i="5" s="1"/>
  <c r="C34" i="5"/>
  <c r="A34" i="5" s="1"/>
  <c r="K33" i="5"/>
  <c r="M33" i="5" s="1"/>
  <c r="E33" i="5"/>
  <c r="C33" i="5"/>
  <c r="A33" i="5" s="1"/>
  <c r="T32" i="5"/>
  <c r="K32" i="5"/>
  <c r="G32" i="5"/>
  <c r="F32" i="5"/>
  <c r="E32" i="5"/>
  <c r="O32" i="5" s="1"/>
  <c r="P32" i="5" s="1"/>
  <c r="C32" i="5"/>
  <c r="A32" i="5"/>
  <c r="O31" i="5"/>
  <c r="Q31" i="5" s="1"/>
  <c r="M31" i="5"/>
  <c r="K31" i="5"/>
  <c r="L31" i="5" s="1"/>
  <c r="E31" i="5"/>
  <c r="G31" i="5" s="1"/>
  <c r="C31" i="5"/>
  <c r="A31" i="5"/>
  <c r="U30" i="5"/>
  <c r="O30" i="5"/>
  <c r="Q30" i="5" s="1"/>
  <c r="K30" i="5"/>
  <c r="M30" i="5" s="1"/>
  <c r="G30" i="5"/>
  <c r="E30" i="5"/>
  <c r="F30" i="5" s="1"/>
  <c r="C30" i="5"/>
  <c r="A30" i="5" s="1"/>
  <c r="T30" i="5" s="1"/>
  <c r="P29" i="5"/>
  <c r="L29" i="5"/>
  <c r="K29" i="5"/>
  <c r="G29" i="5"/>
  <c r="E29" i="5"/>
  <c r="O29" i="5" s="1"/>
  <c r="Q29" i="5" s="1"/>
  <c r="C29" i="5"/>
  <c r="A29" i="5" s="1"/>
  <c r="T29" i="5" s="1"/>
  <c r="P28" i="5"/>
  <c r="O28" i="5"/>
  <c r="Q28" i="5" s="1"/>
  <c r="M28" i="5"/>
  <c r="L28" i="5"/>
  <c r="K28" i="5"/>
  <c r="E28" i="5"/>
  <c r="G28" i="5" s="1"/>
  <c r="C28" i="5"/>
  <c r="A28" i="5"/>
  <c r="U27" i="5"/>
  <c r="T27" i="5"/>
  <c r="O27" i="5"/>
  <c r="M27" i="5"/>
  <c r="K27" i="5"/>
  <c r="L27" i="5" s="1"/>
  <c r="G27" i="5"/>
  <c r="F27" i="5"/>
  <c r="E27" i="5"/>
  <c r="C27" i="5"/>
  <c r="A27" i="5"/>
  <c r="O26" i="5"/>
  <c r="K26" i="5"/>
  <c r="G26" i="5"/>
  <c r="E26" i="5"/>
  <c r="F26" i="5" s="1"/>
  <c r="C26" i="5"/>
  <c r="A26" i="5"/>
  <c r="T26" i="5" s="1"/>
  <c r="P25" i="5"/>
  <c r="O25" i="5"/>
  <c r="Q25" i="5" s="1"/>
  <c r="M25" i="5"/>
  <c r="K25" i="5"/>
  <c r="L25" i="5" s="1"/>
  <c r="E25" i="5"/>
  <c r="C25" i="5"/>
  <c r="A25" i="5"/>
  <c r="T24" i="5"/>
  <c r="M24" i="5"/>
  <c r="L24" i="5"/>
  <c r="K24" i="5"/>
  <c r="E24" i="5"/>
  <c r="C24" i="5"/>
  <c r="A24" i="5"/>
  <c r="T23" i="5"/>
  <c r="O23" i="5"/>
  <c r="Q23" i="5" s="1"/>
  <c r="M23" i="5"/>
  <c r="K23" i="5"/>
  <c r="L23" i="5" s="1"/>
  <c r="G23" i="5"/>
  <c r="E23" i="5"/>
  <c r="F23" i="5" s="1"/>
  <c r="C23" i="5"/>
  <c r="A23" i="5"/>
  <c r="U23" i="5" s="1"/>
  <c r="P22" i="5"/>
  <c r="O22" i="5"/>
  <c r="Q22" i="5" s="1"/>
  <c r="M22" i="5"/>
  <c r="K22" i="5"/>
  <c r="L22" i="5" s="1"/>
  <c r="G22" i="5"/>
  <c r="E22" i="5"/>
  <c r="F22" i="5" s="1"/>
  <c r="C22" i="5"/>
  <c r="A22" i="5"/>
  <c r="T21" i="5"/>
  <c r="K21" i="5"/>
  <c r="M21" i="5" s="1"/>
  <c r="F21" i="5"/>
  <c r="E21" i="5"/>
  <c r="C21" i="5"/>
  <c r="A21" i="5" s="1"/>
  <c r="Q20" i="5"/>
  <c r="O20" i="5"/>
  <c r="P20" i="5" s="1"/>
  <c r="M20" i="5"/>
  <c r="L20" i="5"/>
  <c r="K20" i="5"/>
  <c r="F20" i="5"/>
  <c r="E20" i="5"/>
  <c r="G20" i="5" s="1"/>
  <c r="C20" i="5"/>
  <c r="A20" i="5" s="1"/>
  <c r="O19" i="5"/>
  <c r="M19" i="5"/>
  <c r="L19" i="5"/>
  <c r="K19" i="5"/>
  <c r="G19" i="5"/>
  <c r="F19" i="5"/>
  <c r="E19" i="5"/>
  <c r="C19" i="5"/>
  <c r="A19" i="5"/>
  <c r="T18" i="5"/>
  <c r="K18" i="5"/>
  <c r="E18" i="5"/>
  <c r="C18" i="5"/>
  <c r="A18" i="5" s="1"/>
  <c r="K17" i="5"/>
  <c r="M17" i="5" s="1"/>
  <c r="E17" i="5"/>
  <c r="C17" i="5"/>
  <c r="A17" i="5"/>
  <c r="T16" i="5"/>
  <c r="Q16" i="5"/>
  <c r="K16" i="5"/>
  <c r="U16" i="5" s="1"/>
  <c r="G16" i="5"/>
  <c r="F16" i="5"/>
  <c r="E16" i="5"/>
  <c r="O16" i="5" s="1"/>
  <c r="P16" i="5" s="1"/>
  <c r="C16" i="5"/>
  <c r="A16" i="5"/>
  <c r="M15" i="5"/>
  <c r="K15" i="5"/>
  <c r="L15" i="5" s="1"/>
  <c r="F15" i="5"/>
  <c r="E15" i="5"/>
  <c r="C15" i="5"/>
  <c r="A15" i="5" s="1"/>
  <c r="O14" i="5"/>
  <c r="Q14" i="5" s="1"/>
  <c r="K14" i="5"/>
  <c r="M14" i="5" s="1"/>
  <c r="G14" i="5"/>
  <c r="E14" i="5"/>
  <c r="F14" i="5" s="1"/>
  <c r="C14" i="5"/>
  <c r="A14" i="5" s="1"/>
  <c r="Q13" i="5"/>
  <c r="P13" i="5"/>
  <c r="L13" i="5"/>
  <c r="K13" i="5"/>
  <c r="M13" i="5" s="1"/>
  <c r="G13" i="5"/>
  <c r="E13" i="5"/>
  <c r="O13" i="5" s="1"/>
  <c r="C13" i="5"/>
  <c r="A13" i="5" s="1"/>
  <c r="U13" i="5" s="1"/>
  <c r="M12" i="5"/>
  <c r="L12" i="5"/>
  <c r="K12" i="5"/>
  <c r="E12" i="5"/>
  <c r="C12" i="5"/>
  <c r="A12" i="5" s="1"/>
  <c r="T11" i="5"/>
  <c r="O11" i="5"/>
  <c r="K11" i="5"/>
  <c r="G11" i="5"/>
  <c r="F11" i="5"/>
  <c r="E11" i="5"/>
  <c r="C11" i="5"/>
  <c r="A11" i="5"/>
  <c r="P10" i="5"/>
  <c r="O10" i="5"/>
  <c r="Q10" i="5" s="1"/>
  <c r="K10" i="5"/>
  <c r="G10" i="5"/>
  <c r="E10" i="5"/>
  <c r="F10" i="5" s="1"/>
  <c r="C10" i="5"/>
  <c r="A10" i="5"/>
  <c r="P9" i="5"/>
  <c r="M9" i="5"/>
  <c r="K9" i="5"/>
  <c r="L9" i="5" s="1"/>
  <c r="E9" i="5"/>
  <c r="O9" i="5" s="1"/>
  <c r="Q9" i="5" s="1"/>
  <c r="C9" i="5"/>
  <c r="A9" i="5"/>
  <c r="T8" i="5"/>
  <c r="K8" i="5"/>
  <c r="M8" i="5" s="1"/>
  <c r="E8" i="5"/>
  <c r="O8" i="5" s="1"/>
  <c r="C8" i="5"/>
  <c r="A8" i="5"/>
  <c r="P7" i="5"/>
  <c r="O7" i="5"/>
  <c r="Q7" i="5" s="1"/>
  <c r="M7" i="5"/>
  <c r="K7" i="5"/>
  <c r="L7" i="5" s="1"/>
  <c r="G7" i="5"/>
  <c r="E7" i="5"/>
  <c r="F7" i="5" s="1"/>
  <c r="C7" i="5"/>
  <c r="A7" i="5"/>
  <c r="P6" i="5"/>
  <c r="O6" i="5"/>
  <c r="Q6" i="5" s="1"/>
  <c r="M6" i="5"/>
  <c r="K6" i="5"/>
  <c r="L6" i="5" s="1"/>
  <c r="G6" i="5"/>
  <c r="E6" i="5"/>
  <c r="F6" i="5" s="1"/>
  <c r="C6" i="5"/>
  <c r="A6" i="5" s="1"/>
  <c r="P5" i="5"/>
  <c r="K5" i="5"/>
  <c r="G5" i="5"/>
  <c r="F5" i="5"/>
  <c r="E5" i="5"/>
  <c r="O5" i="5" s="1"/>
  <c r="Q5" i="5" s="1"/>
  <c r="C5" i="5"/>
  <c r="O154" i="4"/>
  <c r="N154" i="4"/>
  <c r="M154" i="4"/>
  <c r="L154" i="4"/>
  <c r="K154" i="4"/>
  <c r="J154" i="4"/>
  <c r="I154" i="4"/>
  <c r="H154" i="4"/>
  <c r="A154" i="4"/>
  <c r="O153" i="4"/>
  <c r="N153" i="4"/>
  <c r="M153" i="4"/>
  <c r="L153" i="4"/>
  <c r="K153" i="4"/>
  <c r="J153" i="4"/>
  <c r="H153" i="4"/>
  <c r="I153" i="4" s="1"/>
  <c r="A153" i="4"/>
  <c r="O152" i="4"/>
  <c r="N152" i="4"/>
  <c r="M152" i="4"/>
  <c r="L152" i="4"/>
  <c r="H152" i="4"/>
  <c r="A152" i="4"/>
  <c r="O151" i="4"/>
  <c r="N151" i="4"/>
  <c r="I151" i="4"/>
  <c r="H151" i="4"/>
  <c r="O150" i="4"/>
  <c r="N150" i="4"/>
  <c r="H150" i="4"/>
  <c r="A150" i="4" s="1"/>
  <c r="O149" i="4"/>
  <c r="N149" i="4"/>
  <c r="H149" i="4"/>
  <c r="A149" i="4" s="1"/>
  <c r="O148" i="4"/>
  <c r="N148" i="4"/>
  <c r="H148" i="4"/>
  <c r="O147" i="4"/>
  <c r="N147" i="4"/>
  <c r="I147" i="4"/>
  <c r="H147" i="4"/>
  <c r="O146" i="4"/>
  <c r="N146" i="4"/>
  <c r="M146" i="4"/>
  <c r="L146" i="4"/>
  <c r="J146" i="4"/>
  <c r="I146" i="4"/>
  <c r="H146" i="4"/>
  <c r="A146" i="4"/>
  <c r="O145" i="4"/>
  <c r="N145" i="4"/>
  <c r="M145" i="4"/>
  <c r="L145" i="4"/>
  <c r="J145" i="4"/>
  <c r="H145" i="4"/>
  <c r="I145" i="4" s="1"/>
  <c r="A145" i="4"/>
  <c r="O144" i="4"/>
  <c r="N144" i="4"/>
  <c r="H144" i="4"/>
  <c r="A144" i="4"/>
  <c r="O143" i="4"/>
  <c r="N143" i="4"/>
  <c r="H143" i="4"/>
  <c r="J143" i="4" s="1"/>
  <c r="A143" i="4"/>
  <c r="O142" i="4"/>
  <c r="N142" i="4"/>
  <c r="J142" i="4"/>
  <c r="H142" i="4"/>
  <c r="L142" i="4" s="1"/>
  <c r="A142" i="4"/>
  <c r="O141" i="4"/>
  <c r="N141" i="4"/>
  <c r="K141" i="4"/>
  <c r="J141" i="4"/>
  <c r="I141" i="4"/>
  <c r="H141" i="4"/>
  <c r="A141" i="4"/>
  <c r="O140" i="4"/>
  <c r="N140" i="4"/>
  <c r="L140" i="4"/>
  <c r="K140" i="4"/>
  <c r="J140" i="4"/>
  <c r="I140" i="4"/>
  <c r="H140" i="4"/>
  <c r="M140" i="4" s="1"/>
  <c r="A140" i="4"/>
  <c r="O139" i="4"/>
  <c r="N139" i="4"/>
  <c r="M139" i="4"/>
  <c r="L139" i="4"/>
  <c r="J139" i="4"/>
  <c r="H139" i="4"/>
  <c r="A139" i="4" s="1"/>
  <c r="O138" i="4"/>
  <c r="N138" i="4"/>
  <c r="M138" i="4"/>
  <c r="L138" i="4"/>
  <c r="J138" i="4"/>
  <c r="K138" i="4" s="1"/>
  <c r="I138" i="4"/>
  <c r="H138" i="4"/>
  <c r="A138" i="4"/>
  <c r="O137" i="4"/>
  <c r="N137" i="4"/>
  <c r="M137" i="4"/>
  <c r="L137" i="4"/>
  <c r="K137" i="4"/>
  <c r="J137" i="4"/>
  <c r="H137" i="4"/>
  <c r="I137" i="4" s="1"/>
  <c r="A137" i="4"/>
  <c r="O136" i="4"/>
  <c r="N136" i="4"/>
  <c r="M136" i="4"/>
  <c r="L136" i="4"/>
  <c r="H136" i="4"/>
  <c r="A136" i="4"/>
  <c r="O135" i="4"/>
  <c r="N135" i="4"/>
  <c r="M135" i="4"/>
  <c r="L135" i="4"/>
  <c r="H135" i="4"/>
  <c r="J135" i="4" s="1"/>
  <c r="O134" i="4"/>
  <c r="N134" i="4"/>
  <c r="M134" i="4"/>
  <c r="J134" i="4"/>
  <c r="I134" i="4"/>
  <c r="H134" i="4"/>
  <c r="L134" i="4" s="1"/>
  <c r="A134" i="4"/>
  <c r="O133" i="4"/>
  <c r="N133" i="4"/>
  <c r="J133" i="4"/>
  <c r="K133" i="4" s="1"/>
  <c r="I133" i="4"/>
  <c r="H133" i="4"/>
  <c r="O132" i="4"/>
  <c r="N132" i="4"/>
  <c r="J132" i="4"/>
  <c r="K132" i="4" s="1"/>
  <c r="I132" i="4"/>
  <c r="H132" i="4"/>
  <c r="O131" i="4"/>
  <c r="N131" i="4"/>
  <c r="M131" i="4"/>
  <c r="L131" i="4"/>
  <c r="J131" i="4"/>
  <c r="K131" i="4" s="1"/>
  <c r="I131" i="4"/>
  <c r="H131" i="4"/>
  <c r="A131" i="4" s="1"/>
  <c r="O130" i="4"/>
  <c r="N130" i="4"/>
  <c r="M130" i="4"/>
  <c r="L130" i="4"/>
  <c r="J130" i="4"/>
  <c r="K130" i="4" s="1"/>
  <c r="I130" i="4"/>
  <c r="H130" i="4"/>
  <c r="A130" i="4"/>
  <c r="O129" i="4"/>
  <c r="N129" i="4"/>
  <c r="M129" i="4"/>
  <c r="L129" i="4"/>
  <c r="K129" i="4"/>
  <c r="J129" i="4"/>
  <c r="H129" i="4"/>
  <c r="I129" i="4" s="1"/>
  <c r="A129" i="4"/>
  <c r="O128" i="4"/>
  <c r="N128" i="4"/>
  <c r="H128" i="4"/>
  <c r="O127" i="4"/>
  <c r="N127" i="4"/>
  <c r="I127" i="4"/>
  <c r="H127" i="4"/>
  <c r="A127" i="4" s="1"/>
  <c r="O126" i="4"/>
  <c r="N126" i="4"/>
  <c r="H126" i="4"/>
  <c r="A126" i="4" s="1"/>
  <c r="O125" i="4"/>
  <c r="N125" i="4"/>
  <c r="H125" i="4"/>
  <c r="A125" i="4"/>
  <c r="O124" i="4"/>
  <c r="N124" i="4"/>
  <c r="H124" i="4"/>
  <c r="M124" i="4" s="1"/>
  <c r="A124" i="4"/>
  <c r="O123" i="4"/>
  <c r="N123" i="4"/>
  <c r="H123" i="4"/>
  <c r="O122" i="4"/>
  <c r="N122" i="4"/>
  <c r="M122" i="4"/>
  <c r="L122" i="4"/>
  <c r="J122" i="4"/>
  <c r="K122" i="4" s="1"/>
  <c r="I122" i="4"/>
  <c r="H122" i="4"/>
  <c r="A122" i="4"/>
  <c r="O121" i="4"/>
  <c r="N121" i="4"/>
  <c r="M121" i="4"/>
  <c r="L121" i="4"/>
  <c r="J121" i="4"/>
  <c r="K121" i="4" s="1"/>
  <c r="H121" i="4"/>
  <c r="I121" i="4" s="1"/>
  <c r="A121" i="4"/>
  <c r="O120" i="4"/>
  <c r="N120" i="4"/>
  <c r="H120" i="4"/>
  <c r="A120" i="4"/>
  <c r="O119" i="4"/>
  <c r="N119" i="4"/>
  <c r="L119" i="4"/>
  <c r="H119" i="4"/>
  <c r="J119" i="4" s="1"/>
  <c r="A119" i="4"/>
  <c r="O118" i="4"/>
  <c r="N118" i="4"/>
  <c r="M118" i="4"/>
  <c r="J118" i="4"/>
  <c r="I118" i="4"/>
  <c r="H118" i="4"/>
  <c r="L118" i="4" s="1"/>
  <c r="A118" i="4"/>
  <c r="O117" i="4"/>
  <c r="N117" i="4"/>
  <c r="J117" i="4"/>
  <c r="H117" i="4"/>
  <c r="A117" i="4" s="1"/>
  <c r="O116" i="4"/>
  <c r="N116" i="4"/>
  <c r="L116" i="4"/>
  <c r="J116" i="4"/>
  <c r="H116" i="4"/>
  <c r="M116" i="4" s="1"/>
  <c r="O115" i="4"/>
  <c r="N115" i="4"/>
  <c r="M115" i="4"/>
  <c r="L115" i="4"/>
  <c r="K115" i="4"/>
  <c r="J115" i="4"/>
  <c r="I115" i="4"/>
  <c r="H115" i="4"/>
  <c r="A115" i="4" s="1"/>
  <c r="O114" i="4"/>
  <c r="N114" i="4"/>
  <c r="M114" i="4"/>
  <c r="L114" i="4"/>
  <c r="K114" i="4"/>
  <c r="J114" i="4"/>
  <c r="I114" i="4"/>
  <c r="H114" i="4"/>
  <c r="A114" i="4"/>
  <c r="O113" i="4"/>
  <c r="N113" i="4"/>
  <c r="M113" i="4"/>
  <c r="L113" i="4"/>
  <c r="J113" i="4"/>
  <c r="K113" i="4" s="1"/>
  <c r="H113" i="4"/>
  <c r="I113" i="4" s="1"/>
  <c r="A113" i="4"/>
  <c r="O112" i="4"/>
  <c r="N112" i="4"/>
  <c r="M112" i="4"/>
  <c r="L112" i="4"/>
  <c r="H112" i="4"/>
  <c r="A112" i="4" s="1"/>
  <c r="O111" i="4"/>
  <c r="N111" i="4"/>
  <c r="M111" i="4"/>
  <c r="L111" i="4"/>
  <c r="I111" i="4"/>
  <c r="H111" i="4"/>
  <c r="J111" i="4" s="1"/>
  <c r="A111" i="4"/>
  <c r="O110" i="4"/>
  <c r="N110" i="4"/>
  <c r="H110" i="4"/>
  <c r="O109" i="4"/>
  <c r="N109" i="4"/>
  <c r="H109" i="4"/>
  <c r="A109" i="4" s="1"/>
  <c r="O108" i="4"/>
  <c r="N108" i="4"/>
  <c r="H108" i="4"/>
  <c r="A108" i="4" s="1"/>
  <c r="O107" i="4"/>
  <c r="N107" i="4"/>
  <c r="H107" i="4"/>
  <c r="O106" i="4"/>
  <c r="N106" i="4"/>
  <c r="M106" i="4"/>
  <c r="L106" i="4"/>
  <c r="J106" i="4"/>
  <c r="K106" i="4" s="1"/>
  <c r="I106" i="4"/>
  <c r="H106" i="4"/>
  <c r="A106" i="4"/>
  <c r="O105" i="4"/>
  <c r="N105" i="4"/>
  <c r="M105" i="4"/>
  <c r="L105" i="4"/>
  <c r="K105" i="4"/>
  <c r="J105" i="4"/>
  <c r="H105" i="4"/>
  <c r="I105" i="4" s="1"/>
  <c r="A105" i="4"/>
  <c r="O104" i="4"/>
  <c r="N104" i="4"/>
  <c r="H104" i="4"/>
  <c r="A104" i="4"/>
  <c r="O103" i="4"/>
  <c r="N103" i="4"/>
  <c r="H103" i="4"/>
  <c r="A103" i="4"/>
  <c r="O102" i="4"/>
  <c r="N102" i="4"/>
  <c r="H102" i="4"/>
  <c r="L102" i="4" s="1"/>
  <c r="A102" i="4"/>
  <c r="O101" i="4"/>
  <c r="N101" i="4"/>
  <c r="J101" i="4"/>
  <c r="H101" i="4"/>
  <c r="A101" i="4"/>
  <c r="O100" i="4"/>
  <c r="N100" i="4"/>
  <c r="L100" i="4"/>
  <c r="J100" i="4"/>
  <c r="H100" i="4"/>
  <c r="M100" i="4" s="1"/>
  <c r="A100" i="4"/>
  <c r="O99" i="4"/>
  <c r="N99" i="4"/>
  <c r="M99" i="4"/>
  <c r="H99" i="4"/>
  <c r="A99" i="4" s="1"/>
  <c r="O98" i="4"/>
  <c r="N98" i="4"/>
  <c r="M98" i="4"/>
  <c r="L98" i="4"/>
  <c r="K98" i="4"/>
  <c r="J98" i="4"/>
  <c r="I98" i="4"/>
  <c r="H98" i="4"/>
  <c r="A98" i="4"/>
  <c r="O97" i="4"/>
  <c r="N97" i="4"/>
  <c r="M97" i="4"/>
  <c r="L97" i="4"/>
  <c r="J97" i="4"/>
  <c r="K97" i="4" s="1"/>
  <c r="H97" i="4"/>
  <c r="I97" i="4" s="1"/>
  <c r="A97" i="4"/>
  <c r="O96" i="4"/>
  <c r="N96" i="4"/>
  <c r="H96" i="4"/>
  <c r="J96" i="4" s="1"/>
  <c r="A96" i="4"/>
  <c r="O95" i="4"/>
  <c r="N95" i="4"/>
  <c r="H95" i="4"/>
  <c r="L95" i="4" s="1"/>
  <c r="A95" i="4"/>
  <c r="O94" i="4"/>
  <c r="N94" i="4"/>
  <c r="H94" i="4"/>
  <c r="L94" i="4" s="1"/>
  <c r="A94" i="4"/>
  <c r="O93" i="4"/>
  <c r="N93" i="4"/>
  <c r="H93" i="4"/>
  <c r="M93" i="4" s="1"/>
  <c r="A93" i="4"/>
  <c r="O92" i="4"/>
  <c r="N92" i="4"/>
  <c r="H92" i="4"/>
  <c r="A92" i="4"/>
  <c r="O91" i="4"/>
  <c r="N91" i="4"/>
  <c r="I91" i="4"/>
  <c r="H91" i="4"/>
  <c r="A91" i="4"/>
  <c r="O90" i="4"/>
  <c r="N90" i="4"/>
  <c r="H90" i="4"/>
  <c r="O89" i="4"/>
  <c r="N89" i="4"/>
  <c r="M89" i="4"/>
  <c r="L89" i="4"/>
  <c r="J89" i="4"/>
  <c r="K89" i="4" s="1"/>
  <c r="I89" i="4"/>
  <c r="H89" i="4"/>
  <c r="A89" i="4"/>
  <c r="O88" i="4"/>
  <c r="N88" i="4"/>
  <c r="M88" i="4"/>
  <c r="L88" i="4"/>
  <c r="J88" i="4"/>
  <c r="H88" i="4"/>
  <c r="A88" i="4" s="1"/>
  <c r="O87" i="4"/>
  <c r="N87" i="4"/>
  <c r="M87" i="4"/>
  <c r="L87" i="4"/>
  <c r="K87" i="4"/>
  <c r="J87" i="4"/>
  <c r="I87" i="4"/>
  <c r="H87" i="4"/>
  <c r="A87" i="4"/>
  <c r="O86" i="4"/>
  <c r="N86" i="4"/>
  <c r="M86" i="4"/>
  <c r="L86" i="4"/>
  <c r="J86" i="4"/>
  <c r="H86" i="4"/>
  <c r="I86" i="4" s="1"/>
  <c r="A86" i="4"/>
  <c r="O85" i="4"/>
  <c r="N85" i="4"/>
  <c r="M85" i="4"/>
  <c r="H85" i="4"/>
  <c r="J85" i="4" s="1"/>
  <c r="A85" i="4"/>
  <c r="O84" i="4"/>
  <c r="N84" i="4"/>
  <c r="H84" i="4"/>
  <c r="A84" i="4" s="1"/>
  <c r="O83" i="4"/>
  <c r="N83" i="4"/>
  <c r="I83" i="4"/>
  <c r="H83" i="4"/>
  <c r="A83" i="4"/>
  <c r="O82" i="4"/>
  <c r="N82" i="4"/>
  <c r="H82" i="4"/>
  <c r="I82" i="4" s="1"/>
  <c r="O81" i="4"/>
  <c r="N81" i="4"/>
  <c r="M81" i="4"/>
  <c r="L81" i="4"/>
  <c r="K81" i="4"/>
  <c r="J81" i="4"/>
  <c r="I81" i="4"/>
  <c r="H81" i="4"/>
  <c r="A81" i="4"/>
  <c r="O80" i="4"/>
  <c r="N80" i="4"/>
  <c r="M80" i="4"/>
  <c r="L80" i="4"/>
  <c r="J80" i="4"/>
  <c r="H80" i="4"/>
  <c r="A80" i="4" s="1"/>
  <c r="O79" i="4"/>
  <c r="N79" i="4"/>
  <c r="M79" i="4"/>
  <c r="L79" i="4"/>
  <c r="K79" i="4"/>
  <c r="J79" i="4"/>
  <c r="I79" i="4"/>
  <c r="H79" i="4"/>
  <c r="A79" i="4"/>
  <c r="O78" i="4"/>
  <c r="N78" i="4"/>
  <c r="M78" i="4"/>
  <c r="L78" i="4"/>
  <c r="J78" i="4"/>
  <c r="K78" i="4" s="1"/>
  <c r="H78" i="4"/>
  <c r="I78" i="4" s="1"/>
  <c r="A78" i="4"/>
  <c r="O77" i="4"/>
  <c r="N77" i="4"/>
  <c r="M77" i="4"/>
  <c r="H77" i="4"/>
  <c r="J77" i="4" s="1"/>
  <c r="A77" i="4"/>
  <c r="O76" i="4"/>
  <c r="N76" i="4"/>
  <c r="H76" i="4"/>
  <c r="A76" i="4" s="1"/>
  <c r="O75" i="4"/>
  <c r="N75" i="4"/>
  <c r="H75" i="4"/>
  <c r="A75" i="4" s="1"/>
  <c r="O74" i="4"/>
  <c r="N74" i="4"/>
  <c r="J74" i="4"/>
  <c r="H74" i="4"/>
  <c r="O73" i="4"/>
  <c r="N73" i="4"/>
  <c r="M73" i="4"/>
  <c r="L73" i="4"/>
  <c r="K73" i="4"/>
  <c r="J73" i="4"/>
  <c r="I73" i="4"/>
  <c r="H73" i="4"/>
  <c r="A73" i="4"/>
  <c r="O72" i="4"/>
  <c r="N72" i="4"/>
  <c r="M72" i="4"/>
  <c r="L72" i="4"/>
  <c r="J72" i="4"/>
  <c r="H72" i="4"/>
  <c r="A72" i="4" s="1"/>
  <c r="O71" i="4"/>
  <c r="N71" i="4"/>
  <c r="M71" i="4"/>
  <c r="L71" i="4"/>
  <c r="K71" i="4"/>
  <c r="J71" i="4"/>
  <c r="I71" i="4"/>
  <c r="H71" i="4"/>
  <c r="A71" i="4"/>
  <c r="O70" i="4"/>
  <c r="N70" i="4"/>
  <c r="M70" i="4"/>
  <c r="L70" i="4"/>
  <c r="J70" i="4"/>
  <c r="K70" i="4" s="1"/>
  <c r="H70" i="4"/>
  <c r="I70" i="4" s="1"/>
  <c r="A70" i="4"/>
  <c r="O69" i="4"/>
  <c r="N69" i="4"/>
  <c r="M69" i="4"/>
  <c r="H69" i="4"/>
  <c r="J69" i="4" s="1"/>
  <c r="A69" i="4"/>
  <c r="O68" i="4"/>
  <c r="N68" i="4"/>
  <c r="H68" i="4"/>
  <c r="A68" i="4"/>
  <c r="O67" i="4"/>
  <c r="N67" i="4"/>
  <c r="H67" i="4"/>
  <c r="A67" i="4" s="1"/>
  <c r="O66" i="4"/>
  <c r="N66" i="4"/>
  <c r="J66" i="4"/>
  <c r="I66" i="4"/>
  <c r="H66" i="4"/>
  <c r="O65" i="4"/>
  <c r="N65" i="4"/>
  <c r="M65" i="4"/>
  <c r="L65" i="4"/>
  <c r="J65" i="4"/>
  <c r="K65" i="4" s="1"/>
  <c r="I65" i="4"/>
  <c r="H65" i="4"/>
  <c r="A65" i="4"/>
  <c r="O64" i="4"/>
  <c r="N64" i="4"/>
  <c r="M64" i="4"/>
  <c r="L64" i="4"/>
  <c r="J64" i="4"/>
  <c r="H64" i="4"/>
  <c r="A64" i="4" s="1"/>
  <c r="O63" i="4"/>
  <c r="N63" i="4"/>
  <c r="M63" i="4"/>
  <c r="L63" i="4"/>
  <c r="K63" i="4"/>
  <c r="J63" i="4"/>
  <c r="I63" i="4"/>
  <c r="H63" i="4"/>
  <c r="A63" i="4"/>
  <c r="O62" i="4"/>
  <c r="N62" i="4"/>
  <c r="M62" i="4"/>
  <c r="L62" i="4"/>
  <c r="J62" i="4"/>
  <c r="H62" i="4"/>
  <c r="I62" i="4" s="1"/>
  <c r="A62" i="4"/>
  <c r="O61" i="4"/>
  <c r="N61" i="4"/>
  <c r="M61" i="4"/>
  <c r="H61" i="4"/>
  <c r="J61" i="4" s="1"/>
  <c r="A61" i="4"/>
  <c r="O60" i="4"/>
  <c r="N60" i="4"/>
  <c r="H60" i="4"/>
  <c r="A60" i="4" s="1"/>
  <c r="O59" i="4"/>
  <c r="N59" i="4"/>
  <c r="H59" i="4"/>
  <c r="A59" i="4"/>
  <c r="O58" i="4"/>
  <c r="N58" i="4"/>
  <c r="I58" i="4"/>
  <c r="H58" i="4"/>
  <c r="O57" i="4"/>
  <c r="N57" i="4"/>
  <c r="M57" i="4"/>
  <c r="L57" i="4"/>
  <c r="J57" i="4"/>
  <c r="I57" i="4"/>
  <c r="K57" i="4" s="1"/>
  <c r="H57" i="4"/>
  <c r="A57" i="4"/>
  <c r="O56" i="4"/>
  <c r="N56" i="4"/>
  <c r="M56" i="4"/>
  <c r="L56" i="4"/>
  <c r="J56" i="4"/>
  <c r="H56" i="4"/>
  <c r="A56" i="4" s="1"/>
  <c r="O55" i="4"/>
  <c r="N55" i="4"/>
  <c r="M55" i="4"/>
  <c r="L55" i="4"/>
  <c r="K55" i="4"/>
  <c r="J55" i="4"/>
  <c r="I55" i="4"/>
  <c r="H55" i="4"/>
  <c r="A55" i="4"/>
  <c r="O54" i="4"/>
  <c r="N54" i="4"/>
  <c r="M54" i="4"/>
  <c r="L54" i="4"/>
  <c r="J54" i="4"/>
  <c r="H54" i="4"/>
  <c r="I54" i="4" s="1"/>
  <c r="A54" i="4"/>
  <c r="O53" i="4"/>
  <c r="N53" i="4"/>
  <c r="M53" i="4"/>
  <c r="H53" i="4"/>
  <c r="J53" i="4" s="1"/>
  <c r="A53" i="4"/>
  <c r="O52" i="4"/>
  <c r="N52" i="4"/>
  <c r="H52" i="4"/>
  <c r="A52" i="4" s="1"/>
  <c r="O51" i="4"/>
  <c r="N51" i="4"/>
  <c r="I51" i="4"/>
  <c r="H51" i="4"/>
  <c r="A51" i="4" s="1"/>
  <c r="O50" i="4"/>
  <c r="N50" i="4"/>
  <c r="H50" i="4"/>
  <c r="J50" i="4" s="1"/>
  <c r="O49" i="4"/>
  <c r="N49" i="4"/>
  <c r="M49" i="4"/>
  <c r="L49" i="4"/>
  <c r="K49" i="4"/>
  <c r="J49" i="4"/>
  <c r="I49" i="4"/>
  <c r="H49" i="4"/>
  <c r="A49" i="4"/>
  <c r="O48" i="4"/>
  <c r="N48" i="4"/>
  <c r="M48" i="4"/>
  <c r="L48" i="4"/>
  <c r="J48" i="4"/>
  <c r="H48" i="4"/>
  <c r="A48" i="4" s="1"/>
  <c r="O47" i="4"/>
  <c r="N47" i="4"/>
  <c r="M47" i="4"/>
  <c r="L47" i="4"/>
  <c r="K47" i="4"/>
  <c r="J47" i="4"/>
  <c r="I47" i="4"/>
  <c r="H47" i="4"/>
  <c r="A47" i="4"/>
  <c r="O46" i="4"/>
  <c r="N46" i="4"/>
  <c r="M46" i="4"/>
  <c r="L46" i="4"/>
  <c r="J46" i="4"/>
  <c r="H46" i="4"/>
  <c r="I46" i="4" s="1"/>
  <c r="A46" i="4"/>
  <c r="O45" i="4"/>
  <c r="N45" i="4"/>
  <c r="M45" i="4"/>
  <c r="H45" i="4"/>
  <c r="J45" i="4" s="1"/>
  <c r="A45" i="4"/>
  <c r="O44" i="4"/>
  <c r="N44" i="4"/>
  <c r="H44" i="4"/>
  <c r="A44" i="4"/>
  <c r="O43" i="4"/>
  <c r="N43" i="4"/>
  <c r="I43" i="4"/>
  <c r="H43" i="4"/>
  <c r="A43" i="4" s="1"/>
  <c r="O42" i="4"/>
  <c r="N42" i="4"/>
  <c r="J42" i="4"/>
  <c r="K42" i="4" s="1"/>
  <c r="I42" i="4"/>
  <c r="H42" i="4"/>
  <c r="O41" i="4"/>
  <c r="N41" i="4"/>
  <c r="M41" i="4"/>
  <c r="L41" i="4"/>
  <c r="J41" i="4"/>
  <c r="K41" i="4" s="1"/>
  <c r="I41" i="4"/>
  <c r="H41" i="4"/>
  <c r="A41" i="4"/>
  <c r="O40" i="4"/>
  <c r="N40" i="4"/>
  <c r="M40" i="4"/>
  <c r="L40" i="4"/>
  <c r="J40" i="4"/>
  <c r="H40" i="4"/>
  <c r="A40" i="4" s="1"/>
  <c r="O39" i="4"/>
  <c r="N39" i="4"/>
  <c r="M39" i="4"/>
  <c r="L39" i="4"/>
  <c r="K39" i="4"/>
  <c r="J39" i="4"/>
  <c r="I39" i="4"/>
  <c r="H39" i="4"/>
  <c r="A39" i="4"/>
  <c r="O38" i="4"/>
  <c r="N38" i="4"/>
  <c r="M38" i="4"/>
  <c r="L38" i="4"/>
  <c r="J38" i="4"/>
  <c r="K38" i="4" s="1"/>
  <c r="H38" i="4"/>
  <c r="I38" i="4" s="1"/>
  <c r="A38" i="4"/>
  <c r="O37" i="4"/>
  <c r="N37" i="4"/>
  <c r="M37" i="4"/>
  <c r="H37" i="4"/>
  <c r="J37" i="4" s="1"/>
  <c r="A37" i="4"/>
  <c r="O36" i="4"/>
  <c r="N36" i="4"/>
  <c r="H36" i="4"/>
  <c r="A36" i="4"/>
  <c r="O35" i="4"/>
  <c r="N35" i="4"/>
  <c r="H35" i="4"/>
  <c r="A35" i="4"/>
  <c r="O34" i="4"/>
  <c r="N34" i="4"/>
  <c r="J34" i="4"/>
  <c r="K34" i="4" s="1"/>
  <c r="I34" i="4"/>
  <c r="H34" i="4"/>
  <c r="O33" i="4"/>
  <c r="N33" i="4"/>
  <c r="M33" i="4"/>
  <c r="L33" i="4"/>
  <c r="J33" i="4"/>
  <c r="K33" i="4" s="1"/>
  <c r="I33" i="4"/>
  <c r="H33" i="4"/>
  <c r="A33" i="4"/>
  <c r="O32" i="4"/>
  <c r="N32" i="4"/>
  <c r="M32" i="4"/>
  <c r="L32" i="4"/>
  <c r="J32" i="4"/>
  <c r="H32" i="4"/>
  <c r="A32" i="4" s="1"/>
  <c r="O31" i="4"/>
  <c r="N31" i="4"/>
  <c r="M31" i="4"/>
  <c r="L31" i="4"/>
  <c r="K31" i="4"/>
  <c r="J31" i="4"/>
  <c r="I31" i="4"/>
  <c r="H31" i="4"/>
  <c r="A31" i="4"/>
  <c r="O30" i="4"/>
  <c r="N30" i="4"/>
  <c r="M30" i="4"/>
  <c r="L30" i="4"/>
  <c r="J30" i="4"/>
  <c r="K30" i="4" s="1"/>
  <c r="H30" i="4"/>
  <c r="I30" i="4" s="1"/>
  <c r="A30" i="4"/>
  <c r="O29" i="4"/>
  <c r="N29" i="4"/>
  <c r="M29" i="4"/>
  <c r="H29" i="4"/>
  <c r="J29" i="4" s="1"/>
  <c r="A29" i="4"/>
  <c r="O28" i="4"/>
  <c r="N28" i="4"/>
  <c r="H28" i="4"/>
  <c r="A28" i="4"/>
  <c r="O27" i="4"/>
  <c r="N27" i="4"/>
  <c r="I27" i="4"/>
  <c r="H27" i="4"/>
  <c r="A27" i="4"/>
  <c r="O26" i="4"/>
  <c r="N26" i="4"/>
  <c r="H26" i="4"/>
  <c r="O25" i="4"/>
  <c r="N25" i="4"/>
  <c r="M25" i="4"/>
  <c r="L25" i="4"/>
  <c r="J25" i="4"/>
  <c r="K25" i="4" s="1"/>
  <c r="I25" i="4"/>
  <c r="H25" i="4"/>
  <c r="A25" i="4"/>
  <c r="O24" i="4"/>
  <c r="N24" i="4"/>
  <c r="M24" i="4"/>
  <c r="L24" i="4"/>
  <c r="J24" i="4"/>
  <c r="H24" i="4"/>
  <c r="A24" i="4" s="1"/>
  <c r="O23" i="4"/>
  <c r="N23" i="4"/>
  <c r="M23" i="4"/>
  <c r="L23" i="4"/>
  <c r="K23" i="4"/>
  <c r="J23" i="4"/>
  <c r="I23" i="4"/>
  <c r="H23" i="4"/>
  <c r="A23" i="4"/>
  <c r="O22" i="4"/>
  <c r="N22" i="4"/>
  <c r="M22" i="4"/>
  <c r="L22" i="4"/>
  <c r="J22" i="4"/>
  <c r="H22" i="4"/>
  <c r="I22" i="4" s="1"/>
  <c r="A22" i="4"/>
  <c r="O21" i="4"/>
  <c r="N21" i="4"/>
  <c r="M21" i="4"/>
  <c r="H21" i="4"/>
  <c r="J21" i="4" s="1"/>
  <c r="A21" i="4"/>
  <c r="O20" i="4"/>
  <c r="N20" i="4"/>
  <c r="H20" i="4"/>
  <c r="A20" i="4" s="1"/>
  <c r="O19" i="4"/>
  <c r="N19" i="4"/>
  <c r="I19" i="4"/>
  <c r="H19" i="4"/>
  <c r="A19" i="4"/>
  <c r="O18" i="4"/>
  <c r="N18" i="4"/>
  <c r="H18" i="4"/>
  <c r="O17" i="4"/>
  <c r="N17" i="4"/>
  <c r="M17" i="4"/>
  <c r="K17" i="4"/>
  <c r="J17" i="4"/>
  <c r="I17" i="4"/>
  <c r="H17" i="4"/>
  <c r="O16" i="4"/>
  <c r="N16" i="4"/>
  <c r="L16" i="4"/>
  <c r="K16" i="4"/>
  <c r="J16" i="4"/>
  <c r="H16" i="4"/>
  <c r="A16" i="4" s="1"/>
  <c r="O15" i="4"/>
  <c r="N15" i="4"/>
  <c r="M15" i="4"/>
  <c r="K15" i="4"/>
  <c r="J15" i="4"/>
  <c r="H15" i="4"/>
  <c r="O14" i="4"/>
  <c r="N14" i="4"/>
  <c r="M14" i="4"/>
  <c r="J14" i="4"/>
  <c r="K14" i="4" s="1"/>
  <c r="H14" i="4"/>
  <c r="I14" i="4" s="1"/>
  <c r="A14" i="4"/>
  <c r="O13" i="4"/>
  <c r="N13" i="4"/>
  <c r="M13" i="4"/>
  <c r="H13" i="4"/>
  <c r="A13" i="4" s="1"/>
  <c r="O12" i="4"/>
  <c r="N12" i="4"/>
  <c r="I12" i="4"/>
  <c r="H12" i="4"/>
  <c r="A12" i="4"/>
  <c r="O11" i="4"/>
  <c r="N11" i="4"/>
  <c r="H11" i="4"/>
  <c r="A11" i="4"/>
  <c r="O10" i="4"/>
  <c r="N10" i="4"/>
  <c r="K10" i="4"/>
  <c r="J10" i="4"/>
  <c r="H10" i="4"/>
  <c r="O9" i="4"/>
  <c r="N9" i="4"/>
  <c r="L9" i="4"/>
  <c r="J9" i="4"/>
  <c r="K9" i="4" s="1"/>
  <c r="I9" i="4"/>
  <c r="H9" i="4"/>
  <c r="M9" i="4" s="1"/>
  <c r="O8" i="4"/>
  <c r="N8" i="4"/>
  <c r="M8" i="4"/>
  <c r="L8" i="4"/>
  <c r="J8" i="4"/>
  <c r="K8" i="4" s="1"/>
  <c r="H8" i="4"/>
  <c r="A8" i="4" s="1"/>
  <c r="O7" i="4"/>
  <c r="N7" i="4"/>
  <c r="M7" i="4"/>
  <c r="L7" i="4"/>
  <c r="K7" i="4"/>
  <c r="J7" i="4"/>
  <c r="H7" i="4"/>
  <c r="O6" i="4"/>
  <c r="N6" i="4"/>
  <c r="M6" i="4"/>
  <c r="L6" i="4"/>
  <c r="J6" i="4"/>
  <c r="K6" i="4" s="1"/>
  <c r="H6" i="4"/>
  <c r="I6" i="4" s="1"/>
  <c r="A6" i="4"/>
  <c r="O5" i="4"/>
  <c r="N5" i="4"/>
  <c r="H5" i="4"/>
  <c r="A5" i="4"/>
  <c r="T34" i="5" l="1"/>
  <c r="T12" i="5"/>
  <c r="U15" i="5"/>
  <c r="T33" i="5"/>
  <c r="T6" i="5"/>
  <c r="U6" i="5"/>
  <c r="M90" i="4"/>
  <c r="L90" i="4"/>
  <c r="A90" i="4"/>
  <c r="J128" i="4"/>
  <c r="I128" i="4"/>
  <c r="M128" i="4"/>
  <c r="A128" i="4"/>
  <c r="M148" i="4"/>
  <c r="L148" i="4"/>
  <c r="J148" i="4"/>
  <c r="I148" i="4"/>
  <c r="U35" i="5"/>
  <c r="M11" i="4"/>
  <c r="L11" i="4"/>
  <c r="M35" i="4"/>
  <c r="J35" i="4"/>
  <c r="L35" i="4"/>
  <c r="L44" i="4"/>
  <c r="J44" i="4"/>
  <c r="K44" i="4" s="1"/>
  <c r="I44" i="4"/>
  <c r="M44" i="4"/>
  <c r="K62" i="4"/>
  <c r="K66" i="4"/>
  <c r="L110" i="4"/>
  <c r="A110" i="4"/>
  <c r="M110" i="4"/>
  <c r="G12" i="5"/>
  <c r="F12" i="5"/>
  <c r="O12" i="5"/>
  <c r="G17" i="5"/>
  <c r="F17" i="5"/>
  <c r="O17" i="5"/>
  <c r="B32" i="12"/>
  <c r="J5" i="4"/>
  <c r="K5" i="4" s="1"/>
  <c r="A15" i="4"/>
  <c r="A7" i="4"/>
  <c r="I5" i="4"/>
  <c r="L5" i="4"/>
  <c r="A17" i="4"/>
  <c r="A9" i="4"/>
  <c r="M10" i="4"/>
  <c r="L10" i="4"/>
  <c r="A10" i="4"/>
  <c r="I11" i="4"/>
  <c r="I35" i="4"/>
  <c r="I50" i="4"/>
  <c r="K50" i="4" s="1"/>
  <c r="M59" i="4"/>
  <c r="L59" i="4"/>
  <c r="J59" i="4"/>
  <c r="L68" i="4"/>
  <c r="I68" i="4"/>
  <c r="J68" i="4"/>
  <c r="M68" i="4"/>
  <c r="M74" i="4"/>
  <c r="L74" i="4"/>
  <c r="A74" i="4"/>
  <c r="K86" i="4"/>
  <c r="J103" i="4"/>
  <c r="K103" i="4" s="1"/>
  <c r="M103" i="4"/>
  <c r="L103" i="4"/>
  <c r="I103" i="4"/>
  <c r="A107" i="4"/>
  <c r="M107" i="4"/>
  <c r="L107" i="4"/>
  <c r="I110" i="4"/>
  <c r="L128" i="4"/>
  <c r="M5" i="4"/>
  <c r="I10" i="4"/>
  <c r="J11" i="4"/>
  <c r="K11" i="4" s="1"/>
  <c r="L14" i="4"/>
  <c r="M19" i="4"/>
  <c r="L19" i="4"/>
  <c r="J19" i="4"/>
  <c r="K19" i="4" s="1"/>
  <c r="I28" i="4"/>
  <c r="J28" i="4"/>
  <c r="M28" i="4"/>
  <c r="L28" i="4"/>
  <c r="M34" i="4"/>
  <c r="L34" i="4"/>
  <c r="A34" i="4"/>
  <c r="K46" i="4"/>
  <c r="I59" i="4"/>
  <c r="K61" i="4"/>
  <c r="I74" i="4"/>
  <c r="M83" i="4"/>
  <c r="L83" i="4"/>
  <c r="J83" i="4"/>
  <c r="K83" i="4" s="1"/>
  <c r="L92" i="4"/>
  <c r="J92" i="4"/>
  <c r="M92" i="4"/>
  <c r="I92" i="4"/>
  <c r="I107" i="4"/>
  <c r="J110" i="4"/>
  <c r="M133" i="4"/>
  <c r="L133" i="4"/>
  <c r="A133" i="4"/>
  <c r="K134" i="4"/>
  <c r="K139" i="4"/>
  <c r="A147" i="4"/>
  <c r="M147" i="4"/>
  <c r="J147" i="4"/>
  <c r="K147" i="4" s="1"/>
  <c r="L147" i="4"/>
  <c r="F8" i="5"/>
  <c r="L14" i="5"/>
  <c r="T15" i="5"/>
  <c r="L16" i="5"/>
  <c r="L17" i="5"/>
  <c r="U20" i="5"/>
  <c r="T20" i="5"/>
  <c r="O24" i="5"/>
  <c r="G24" i="5"/>
  <c r="F24" i="5"/>
  <c r="P31" i="5"/>
  <c r="U36" i="5"/>
  <c r="J13" i="4"/>
  <c r="K13" i="4" s="1"/>
  <c r="I13" i="4"/>
  <c r="L13" i="4"/>
  <c r="M43" i="4"/>
  <c r="L43" i="4"/>
  <c r="J43" i="4"/>
  <c r="K43" i="4" s="1"/>
  <c r="I52" i="4"/>
  <c r="J52" i="4"/>
  <c r="M52" i="4"/>
  <c r="L52" i="4"/>
  <c r="M58" i="4"/>
  <c r="L58" i="4"/>
  <c r="A58" i="4"/>
  <c r="K74" i="4"/>
  <c r="J107" i="4"/>
  <c r="K107" i="4" s="1"/>
  <c r="A123" i="4"/>
  <c r="L123" i="4"/>
  <c r="I123" i="4"/>
  <c r="J123" i="4"/>
  <c r="K123" i="4" s="1"/>
  <c r="M123" i="4"/>
  <c r="J127" i="4"/>
  <c r="K127" i="4" s="1"/>
  <c r="M127" i="4"/>
  <c r="L127" i="4"/>
  <c r="M149" i="4"/>
  <c r="L149" i="4"/>
  <c r="I149" i="4"/>
  <c r="J149" i="4"/>
  <c r="K149" i="4" s="1"/>
  <c r="J151" i="4"/>
  <c r="K151" i="4" s="1"/>
  <c r="M151" i="4"/>
  <c r="A151" i="4"/>
  <c r="G8" i="5"/>
  <c r="U8" i="5" s="1"/>
  <c r="L11" i="5"/>
  <c r="M11" i="5"/>
  <c r="U11" i="5"/>
  <c r="M16" i="5"/>
  <c r="O21" i="5"/>
  <c r="G21" i="5"/>
  <c r="M29" i="5"/>
  <c r="U29" i="5"/>
  <c r="O42" i="5"/>
  <c r="G42" i="5"/>
  <c r="M18" i="4"/>
  <c r="L18" i="4"/>
  <c r="A18" i="4"/>
  <c r="M67" i="4"/>
  <c r="L67" i="4"/>
  <c r="J67" i="4"/>
  <c r="M109" i="4"/>
  <c r="L109" i="4"/>
  <c r="J109" i="4"/>
  <c r="O18" i="5"/>
  <c r="G18" i="5"/>
  <c r="M26" i="5"/>
  <c r="L26" i="5"/>
  <c r="U26" i="5"/>
  <c r="U31" i="5"/>
  <c r="T31" i="5"/>
  <c r="T41" i="5"/>
  <c r="I18" i="4"/>
  <c r="L27" i="4"/>
  <c r="J27" i="4"/>
  <c r="K27" i="4" s="1"/>
  <c r="M27" i="4"/>
  <c r="L36" i="4"/>
  <c r="I36" i="4"/>
  <c r="J36" i="4"/>
  <c r="M36" i="4"/>
  <c r="M42" i="4"/>
  <c r="L42" i="4"/>
  <c r="A42" i="4"/>
  <c r="K54" i="4"/>
  <c r="J58" i="4"/>
  <c r="K58" i="4" s="1"/>
  <c r="I67" i="4"/>
  <c r="M91" i="4"/>
  <c r="L91" i="4"/>
  <c r="J91" i="4"/>
  <c r="K91" i="4" s="1"/>
  <c r="J104" i="4"/>
  <c r="K104" i="4" s="1"/>
  <c r="I104" i="4"/>
  <c r="M104" i="4"/>
  <c r="L104" i="4"/>
  <c r="I109" i="4"/>
  <c r="M132" i="4"/>
  <c r="L132" i="4"/>
  <c r="A132" i="4"/>
  <c r="K145" i="4"/>
  <c r="K146" i="4"/>
  <c r="L151" i="4"/>
  <c r="O15" i="5"/>
  <c r="G15" i="5"/>
  <c r="F18" i="5"/>
  <c r="P26" i="5"/>
  <c r="Q26" i="5"/>
  <c r="G33" i="5"/>
  <c r="F33" i="5"/>
  <c r="O33" i="5"/>
  <c r="L35" i="5"/>
  <c r="O39" i="5"/>
  <c r="G39" i="5"/>
  <c r="K45" i="4"/>
  <c r="L76" i="4"/>
  <c r="J76" i="4"/>
  <c r="K76" i="4" s="1"/>
  <c r="M76" i="4"/>
  <c r="I76" i="4"/>
  <c r="M82" i="4"/>
  <c r="L82" i="4"/>
  <c r="A82" i="4"/>
  <c r="M5" i="5"/>
  <c r="L5" i="5"/>
  <c r="L12" i="4"/>
  <c r="J12" i="4"/>
  <c r="K12" i="4" s="1"/>
  <c r="M12" i="4"/>
  <c r="J18" i="4"/>
  <c r="L51" i="4"/>
  <c r="M51" i="4"/>
  <c r="J51" i="4"/>
  <c r="K51" i="4" s="1"/>
  <c r="L60" i="4"/>
  <c r="J60" i="4"/>
  <c r="M60" i="4"/>
  <c r="I60" i="4"/>
  <c r="M66" i="4"/>
  <c r="L66" i="4"/>
  <c r="A66" i="4"/>
  <c r="J82" i="4"/>
  <c r="K82" i="4" s="1"/>
  <c r="A148" i="4"/>
  <c r="U10" i="5"/>
  <c r="T10" i="5"/>
  <c r="T14" i="5"/>
  <c r="U14" i="5"/>
  <c r="T36" i="5"/>
  <c r="F39" i="5"/>
  <c r="Q43" i="5"/>
  <c r="P43" i="5"/>
  <c r="T43" i="5"/>
  <c r="U43" i="5"/>
  <c r="A151" i="13"/>
  <c r="A143" i="13"/>
  <c r="A135" i="13"/>
  <c r="A127" i="13"/>
  <c r="A119" i="13"/>
  <c r="A111" i="13"/>
  <c r="A103" i="13"/>
  <c r="A95" i="13"/>
  <c r="A87" i="13"/>
  <c r="A79" i="13"/>
  <c r="A71" i="13"/>
  <c r="A63" i="13"/>
  <c r="A55" i="13"/>
  <c r="A47" i="13"/>
  <c r="A39" i="13"/>
  <c r="A31" i="13"/>
  <c r="A23" i="13"/>
  <c r="A15" i="13"/>
  <c r="A7" i="13"/>
  <c r="A150" i="13"/>
  <c r="A142" i="13"/>
  <c r="A134" i="13"/>
  <c r="A126" i="13"/>
  <c r="A118" i="13"/>
  <c r="A110" i="13"/>
  <c r="A102" i="13"/>
  <c r="A94" i="13"/>
  <c r="A86" i="13"/>
  <c r="A78" i="13"/>
  <c r="A70" i="13"/>
  <c r="A62" i="13"/>
  <c r="A54" i="13"/>
  <c r="A46" i="13"/>
  <c r="A38" i="13"/>
  <c r="A30" i="13"/>
  <c r="A22" i="13"/>
  <c r="A14" i="13"/>
  <c r="A6" i="13"/>
  <c r="A145" i="13"/>
  <c r="A137" i="13"/>
  <c r="A129" i="13"/>
  <c r="A121" i="13"/>
  <c r="A113" i="13"/>
  <c r="A105" i="13"/>
  <c r="A97" i="13"/>
  <c r="A89" i="13"/>
  <c r="A81" i="13"/>
  <c r="A73" i="13"/>
  <c r="A65" i="13"/>
  <c r="A57" i="13"/>
  <c r="A49" i="13"/>
  <c r="A41" i="13"/>
  <c r="A33" i="13"/>
  <c r="A25" i="13"/>
  <c r="A17" i="13"/>
  <c r="A9" i="13"/>
  <c r="A149" i="13"/>
  <c r="A138" i="13"/>
  <c r="A124" i="13"/>
  <c r="A112" i="13"/>
  <c r="A99" i="13"/>
  <c r="A85" i="13"/>
  <c r="A74" i="13"/>
  <c r="A60" i="13"/>
  <c r="A48" i="13"/>
  <c r="A35" i="13"/>
  <c r="A21" i="13"/>
  <c r="A10" i="13"/>
  <c r="A148" i="13"/>
  <c r="A136" i="13"/>
  <c r="A123" i="13"/>
  <c r="A109" i="13"/>
  <c r="A98" i="13"/>
  <c r="A84" i="13"/>
  <c r="A72" i="13"/>
  <c r="A59" i="13"/>
  <c r="A45" i="13"/>
  <c r="A34" i="13"/>
  <c r="A20" i="13"/>
  <c r="A8" i="13"/>
  <c r="A147" i="13"/>
  <c r="A133" i="13"/>
  <c r="A122" i="13"/>
  <c r="A108" i="13"/>
  <c r="A96" i="13"/>
  <c r="A83" i="13"/>
  <c r="A69" i="13"/>
  <c r="A58" i="13"/>
  <c r="A44" i="13"/>
  <c r="A32" i="13"/>
  <c r="A19" i="13"/>
  <c r="A5" i="13"/>
  <c r="A139" i="13"/>
  <c r="A125" i="13"/>
  <c r="A114" i="13"/>
  <c r="A100" i="13"/>
  <c r="A88" i="13"/>
  <c r="A75" i="13"/>
  <c r="A61" i="13"/>
  <c r="A50" i="13"/>
  <c r="A36" i="13"/>
  <c r="A24" i="13"/>
  <c r="A11" i="13"/>
  <c r="A146" i="13"/>
  <c r="A120" i="13"/>
  <c r="A93" i="13"/>
  <c r="A68" i="13"/>
  <c r="A43" i="13"/>
  <c r="A18" i="13"/>
  <c r="A144" i="13"/>
  <c r="A117" i="13"/>
  <c r="A92" i="13"/>
  <c r="A67" i="13"/>
  <c r="A42" i="13"/>
  <c r="A16" i="13"/>
  <c r="A141" i="13"/>
  <c r="A116" i="13"/>
  <c r="A91" i="13"/>
  <c r="A66" i="13"/>
  <c r="A40" i="13"/>
  <c r="A13" i="13"/>
  <c r="A140" i="13"/>
  <c r="A115" i="13"/>
  <c r="A90" i="13"/>
  <c r="A64" i="13"/>
  <c r="A37" i="13"/>
  <c r="A12" i="13"/>
  <c r="A131" i="13"/>
  <c r="A106" i="13"/>
  <c r="A80" i="13"/>
  <c r="A53" i="13"/>
  <c r="A28" i="13"/>
  <c r="A3" i="13"/>
  <c r="A132" i="13"/>
  <c r="A76" i="13"/>
  <c r="A2" i="13"/>
  <c r="A130" i="13"/>
  <c r="A56" i="13"/>
  <c r="A128" i="13"/>
  <c r="A52" i="13"/>
  <c r="A107" i="13"/>
  <c r="A51" i="13"/>
  <c r="A77" i="13"/>
  <c r="A4" i="13"/>
  <c r="A104" i="13"/>
  <c r="A101" i="13"/>
  <c r="A82" i="13"/>
  <c r="A29" i="13"/>
  <c r="A27" i="13"/>
  <c r="A26" i="13"/>
  <c r="B17" i="2"/>
  <c r="L20" i="4"/>
  <c r="J20" i="4"/>
  <c r="K20" i="4" s="1"/>
  <c r="I20" i="4"/>
  <c r="M20" i="4"/>
  <c r="M26" i="4"/>
  <c r="L26" i="4"/>
  <c r="A26" i="4"/>
  <c r="M75" i="4"/>
  <c r="L75" i="4"/>
  <c r="J75" i="4"/>
  <c r="L84" i="4"/>
  <c r="J84" i="4"/>
  <c r="I84" i="4"/>
  <c r="M84" i="4"/>
  <c r="M108" i="4"/>
  <c r="L108" i="4"/>
  <c r="J108" i="4"/>
  <c r="L126" i="4"/>
  <c r="M126" i="4"/>
  <c r="I126" i="4"/>
  <c r="J126" i="4"/>
  <c r="K126" i="4" s="1"/>
  <c r="L150" i="4"/>
  <c r="J150" i="4"/>
  <c r="M150" i="4"/>
  <c r="U7" i="5"/>
  <c r="T7" i="5"/>
  <c r="T9" i="5"/>
  <c r="U28" i="5"/>
  <c r="T28" i="5"/>
  <c r="G36" i="5"/>
  <c r="O36" i="5"/>
  <c r="L17" i="4"/>
  <c r="I26" i="4"/>
  <c r="M50" i="4"/>
  <c r="L50" i="4"/>
  <c r="A50" i="4"/>
  <c r="I75" i="4"/>
  <c r="I90" i="4"/>
  <c r="I108" i="4"/>
  <c r="J144" i="4"/>
  <c r="K144" i="4" s="1"/>
  <c r="I144" i="4"/>
  <c r="M144" i="4"/>
  <c r="L144" i="4"/>
  <c r="I150" i="4"/>
  <c r="T22" i="5"/>
  <c r="U22" i="5"/>
  <c r="L15" i="4"/>
  <c r="M16" i="4"/>
  <c r="K22" i="4"/>
  <c r="J26" i="4"/>
  <c r="J90" i="4"/>
  <c r="K90" i="4" s="1"/>
  <c r="P8" i="5"/>
  <c r="Q8" i="5"/>
  <c r="U19" i="5"/>
  <c r="T19" i="5"/>
  <c r="Q19" i="5"/>
  <c r="P19" i="5"/>
  <c r="M32" i="5"/>
  <c r="L32" i="5"/>
  <c r="U32" i="5"/>
  <c r="T13" i="5"/>
  <c r="I7" i="4"/>
  <c r="I15" i="4"/>
  <c r="I8" i="4"/>
  <c r="I16" i="4"/>
  <c r="L21" i="4"/>
  <c r="I24" i="4"/>
  <c r="K24" i="4" s="1"/>
  <c r="L29" i="4"/>
  <c r="I32" i="4"/>
  <c r="K32" i="4" s="1"/>
  <c r="L37" i="4"/>
  <c r="I40" i="4"/>
  <c r="K40" i="4" s="1"/>
  <c r="L45" i="4"/>
  <c r="I48" i="4"/>
  <c r="K48" i="4" s="1"/>
  <c r="L53" i="4"/>
  <c r="I56" i="4"/>
  <c r="K56" i="4" s="1"/>
  <c r="L61" i="4"/>
  <c r="I64" i="4"/>
  <c r="K64" i="4" s="1"/>
  <c r="L69" i="4"/>
  <c r="I72" i="4"/>
  <c r="K72" i="4" s="1"/>
  <c r="L77" i="4"/>
  <c r="I80" i="4"/>
  <c r="K80" i="4" s="1"/>
  <c r="L85" i="4"/>
  <c r="I88" i="4"/>
  <c r="K88" i="4" s="1"/>
  <c r="L93" i="4"/>
  <c r="M94" i="4"/>
  <c r="M95" i="4"/>
  <c r="M96" i="4"/>
  <c r="L99" i="4"/>
  <c r="K111" i="4"/>
  <c r="I116" i="4"/>
  <c r="K116" i="4" s="1"/>
  <c r="I117" i="4"/>
  <c r="K117" i="4" s="1"/>
  <c r="K118" i="4"/>
  <c r="M119" i="4"/>
  <c r="L124" i="4"/>
  <c r="I135" i="4"/>
  <c r="M142" i="4"/>
  <c r="J152" i="4"/>
  <c r="I152" i="4"/>
  <c r="M10" i="5"/>
  <c r="L10" i="5"/>
  <c r="Q27" i="5"/>
  <c r="P27" i="5"/>
  <c r="F29" i="5"/>
  <c r="P30" i="5"/>
  <c r="O34" i="5"/>
  <c r="L37" i="5"/>
  <c r="G41" i="5"/>
  <c r="U41" i="5" s="1"/>
  <c r="F41" i="5"/>
  <c r="F44" i="5"/>
  <c r="O48" i="5"/>
  <c r="G48" i="5"/>
  <c r="B34" i="12"/>
  <c r="B33" i="12"/>
  <c r="D5" i="6"/>
  <c r="E7" i="6"/>
  <c r="E23" i="6"/>
  <c r="E39" i="6"/>
  <c r="E55" i="6"/>
  <c r="E71" i="6"/>
  <c r="D85" i="6"/>
  <c r="E85" i="6"/>
  <c r="D93" i="6"/>
  <c r="E93" i="6"/>
  <c r="D101" i="6"/>
  <c r="E101" i="6"/>
  <c r="D109" i="6"/>
  <c r="E109" i="6"/>
  <c r="D117" i="6"/>
  <c r="E117" i="6"/>
  <c r="D125" i="6"/>
  <c r="E125" i="6"/>
  <c r="D133" i="6"/>
  <c r="E133" i="6"/>
  <c r="D141" i="6"/>
  <c r="E141" i="6"/>
  <c r="D149" i="6"/>
  <c r="E149" i="6"/>
  <c r="D157" i="6"/>
  <c r="E157" i="6"/>
  <c r="D165" i="6"/>
  <c r="E165" i="6"/>
  <c r="D173" i="6"/>
  <c r="E173" i="6"/>
  <c r="D181" i="6"/>
  <c r="E181" i="6"/>
  <c r="D189" i="6"/>
  <c r="E189" i="6"/>
  <c r="D197" i="6"/>
  <c r="E197" i="6"/>
  <c r="D205" i="6"/>
  <c r="E205" i="6"/>
  <c r="D213" i="6"/>
  <c r="E213" i="6"/>
  <c r="D221" i="6"/>
  <c r="E221" i="6"/>
  <c r="D229" i="6"/>
  <c r="E229" i="6"/>
  <c r="D237" i="6"/>
  <c r="E237" i="6"/>
  <c r="D245" i="6"/>
  <c r="E245" i="6"/>
  <c r="D257" i="6"/>
  <c r="E269" i="6"/>
  <c r="D269" i="6"/>
  <c r="E295" i="6"/>
  <c r="D295" i="6"/>
  <c r="D321" i="6"/>
  <c r="E333" i="6"/>
  <c r="D333" i="6"/>
  <c r="D91" i="6"/>
  <c r="E91" i="6"/>
  <c r="D99" i="6"/>
  <c r="E99" i="6"/>
  <c r="D107" i="6"/>
  <c r="E107" i="6"/>
  <c r="D115" i="6"/>
  <c r="E115" i="6"/>
  <c r="D123" i="6"/>
  <c r="E123" i="6"/>
  <c r="D131" i="6"/>
  <c r="E131" i="6"/>
  <c r="D139" i="6"/>
  <c r="E139" i="6"/>
  <c r="D147" i="6"/>
  <c r="E147" i="6"/>
  <c r="D155" i="6"/>
  <c r="E155" i="6"/>
  <c r="D163" i="6"/>
  <c r="E163" i="6"/>
  <c r="D171" i="6"/>
  <c r="E171" i="6"/>
  <c r="D179" i="6"/>
  <c r="E179" i="6"/>
  <c r="D187" i="6"/>
  <c r="E187" i="6"/>
  <c r="D195" i="6"/>
  <c r="E195" i="6"/>
  <c r="D203" i="6"/>
  <c r="E203" i="6"/>
  <c r="D211" i="6"/>
  <c r="E211" i="6"/>
  <c r="D219" i="6"/>
  <c r="E219" i="6"/>
  <c r="D227" i="6"/>
  <c r="E227" i="6"/>
  <c r="D235" i="6"/>
  <c r="E235" i="6"/>
  <c r="D243" i="6"/>
  <c r="E243" i="6"/>
  <c r="E253" i="6"/>
  <c r="D253" i="6"/>
  <c r="E279" i="6"/>
  <c r="D279" i="6"/>
  <c r="E317" i="6"/>
  <c r="D317" i="6"/>
  <c r="E343" i="6"/>
  <c r="D343" i="6"/>
  <c r="E363" i="6"/>
  <c r="D363" i="6"/>
  <c r="E371" i="6"/>
  <c r="D371" i="6"/>
  <c r="E379" i="6"/>
  <c r="D379" i="6"/>
  <c r="E387" i="6"/>
  <c r="D387" i="6"/>
  <c r="E395" i="6"/>
  <c r="D395" i="6"/>
  <c r="E403" i="6"/>
  <c r="D403" i="6"/>
  <c r="E411" i="6"/>
  <c r="D411" i="6"/>
  <c r="E419" i="6"/>
  <c r="D419" i="6"/>
  <c r="E427" i="6"/>
  <c r="D427" i="6"/>
  <c r="E435" i="6"/>
  <c r="D435" i="6"/>
  <c r="E443" i="6"/>
  <c r="D443" i="6"/>
  <c r="E451" i="6"/>
  <c r="D451" i="6"/>
  <c r="E460" i="6"/>
  <c r="D460" i="6"/>
  <c r="G23" i="10"/>
  <c r="F23" i="10"/>
  <c r="P23" i="10"/>
  <c r="O30" i="10"/>
  <c r="N30" i="10"/>
  <c r="G45" i="5"/>
  <c r="U45" i="5" s="1"/>
  <c r="U46" i="5"/>
  <c r="Q47" i="5"/>
  <c r="L48" i="5"/>
  <c r="E17" i="6"/>
  <c r="E33" i="6"/>
  <c r="E49" i="6"/>
  <c r="E65" i="6"/>
  <c r="E81" i="6"/>
  <c r="D303" i="6"/>
  <c r="D353" i="6"/>
  <c r="E469" i="6"/>
  <c r="D469" i="6"/>
  <c r="D478" i="6"/>
  <c r="O21" i="10"/>
  <c r="N21" i="10"/>
  <c r="D145" i="6"/>
  <c r="E145" i="6"/>
  <c r="D153" i="6"/>
  <c r="E153" i="6"/>
  <c r="D161" i="6"/>
  <c r="E161" i="6"/>
  <c r="D169" i="6"/>
  <c r="E169" i="6"/>
  <c r="D177" i="6"/>
  <c r="E177" i="6"/>
  <c r="D185" i="6"/>
  <c r="E185" i="6"/>
  <c r="D193" i="6"/>
  <c r="E193" i="6"/>
  <c r="D201" i="6"/>
  <c r="E201" i="6"/>
  <c r="D209" i="6"/>
  <c r="E209" i="6"/>
  <c r="D217" i="6"/>
  <c r="E217" i="6"/>
  <c r="D225" i="6"/>
  <c r="E225" i="6"/>
  <c r="D233" i="6"/>
  <c r="E233" i="6"/>
  <c r="D241" i="6"/>
  <c r="E241" i="6"/>
  <c r="E263" i="6"/>
  <c r="D263" i="6"/>
  <c r="D289" i="6"/>
  <c r="E301" i="6"/>
  <c r="D301" i="6"/>
  <c r="E327" i="6"/>
  <c r="D327" i="6"/>
  <c r="D351" i="6"/>
  <c r="E361" i="6"/>
  <c r="D361" i="6"/>
  <c r="E369" i="6"/>
  <c r="D369" i="6"/>
  <c r="E377" i="6"/>
  <c r="D377" i="6"/>
  <c r="E385" i="6"/>
  <c r="D385" i="6"/>
  <c r="E393" i="6"/>
  <c r="D393" i="6"/>
  <c r="E401" i="6"/>
  <c r="D401" i="6"/>
  <c r="E409" i="6"/>
  <c r="D409" i="6"/>
  <c r="E417" i="6"/>
  <c r="D417" i="6"/>
  <c r="E425" i="6"/>
  <c r="D425" i="6"/>
  <c r="E433" i="6"/>
  <c r="D433" i="6"/>
  <c r="E441" i="6"/>
  <c r="D441" i="6"/>
  <c r="E449" i="6"/>
  <c r="D449" i="6"/>
  <c r="M125" i="4"/>
  <c r="L125" i="4"/>
  <c r="D97" i="6"/>
  <c r="E97" i="6"/>
  <c r="D113" i="6"/>
  <c r="E113" i="6"/>
  <c r="D129" i="6"/>
  <c r="E129" i="6"/>
  <c r="I29" i="4"/>
  <c r="K29" i="4" s="1"/>
  <c r="I37" i="4"/>
  <c r="K37" i="4" s="1"/>
  <c r="I53" i="4"/>
  <c r="K53" i="4" s="1"/>
  <c r="I61" i="4"/>
  <c r="I69" i="4"/>
  <c r="K69" i="4" s="1"/>
  <c r="I77" i="4"/>
  <c r="K77" i="4" s="1"/>
  <c r="I85" i="4"/>
  <c r="K85" i="4" s="1"/>
  <c r="I93" i="4"/>
  <c r="I94" i="4"/>
  <c r="I95" i="4"/>
  <c r="I96" i="4"/>
  <c r="K96" i="4" s="1"/>
  <c r="I99" i="4"/>
  <c r="M101" i="4"/>
  <c r="L101" i="4"/>
  <c r="I102" i="4"/>
  <c r="K119" i="4"/>
  <c r="I124" i="4"/>
  <c r="I125" i="4"/>
  <c r="I143" i="4"/>
  <c r="L8" i="5"/>
  <c r="M18" i="5"/>
  <c r="L18" i="5"/>
  <c r="P23" i="5"/>
  <c r="L30" i="5"/>
  <c r="F31" i="5"/>
  <c r="L33" i="5"/>
  <c r="F34" i="5"/>
  <c r="Q35" i="5"/>
  <c r="P35" i="5"/>
  <c r="F37" i="5"/>
  <c r="P38" i="5"/>
  <c r="U40" i="5"/>
  <c r="P41" i="5"/>
  <c r="U44" i="5"/>
  <c r="P44" i="5"/>
  <c r="U47" i="5"/>
  <c r="E13" i="6"/>
  <c r="E29" i="6"/>
  <c r="E45" i="6"/>
  <c r="E61" i="6"/>
  <c r="E77" i="6"/>
  <c r="D287" i="6"/>
  <c r="E349" i="6"/>
  <c r="D349" i="6"/>
  <c r="J120" i="4"/>
  <c r="I120" i="4"/>
  <c r="K143" i="4"/>
  <c r="U25" i="5"/>
  <c r="T25" i="5"/>
  <c r="M42" i="5"/>
  <c r="L42" i="5"/>
  <c r="D89" i="6"/>
  <c r="E89" i="6"/>
  <c r="D105" i="6"/>
  <c r="E105" i="6"/>
  <c r="D121" i="6"/>
  <c r="E121" i="6"/>
  <c r="D137" i="6"/>
  <c r="E137" i="6"/>
  <c r="I21" i="4"/>
  <c r="K21" i="4" s="1"/>
  <c r="I45" i="4"/>
  <c r="J93" i="4"/>
  <c r="J94" i="4"/>
  <c r="K94" i="4" s="1"/>
  <c r="J95" i="4"/>
  <c r="K95" i="4" s="1"/>
  <c r="J99" i="4"/>
  <c r="K99" i="4" s="1"/>
  <c r="I100" i="4"/>
  <c r="K100" i="4" s="1"/>
  <c r="I101" i="4"/>
  <c r="K101" i="4" s="1"/>
  <c r="J102" i="4"/>
  <c r="A116" i="4"/>
  <c r="I119" i="4"/>
  <c r="L120" i="4"/>
  <c r="J124" i="4"/>
  <c r="K124" i="4" s="1"/>
  <c r="J125" i="4"/>
  <c r="K125" i="4" s="1"/>
  <c r="A135" i="4"/>
  <c r="J136" i="4"/>
  <c r="K136" i="4" s="1"/>
  <c r="I136" i="4"/>
  <c r="I139" i="4"/>
  <c r="M141" i="4"/>
  <c r="L141" i="4"/>
  <c r="I142" i="4"/>
  <c r="K142" i="4" s="1"/>
  <c r="L143" i="4"/>
  <c r="Q11" i="5"/>
  <c r="P11" i="5"/>
  <c r="F13" i="5"/>
  <c r="P14" i="5"/>
  <c r="L21" i="5"/>
  <c r="G25" i="5"/>
  <c r="F25" i="5"/>
  <c r="F28" i="5"/>
  <c r="Q32" i="5"/>
  <c r="T35" i="5"/>
  <c r="G37" i="5"/>
  <c r="U37" i="5" s="1"/>
  <c r="U38" i="5"/>
  <c r="F40" i="5"/>
  <c r="P45" i="5"/>
  <c r="E75" i="6"/>
  <c r="D87" i="6"/>
  <c r="E87" i="6"/>
  <c r="D95" i="6"/>
  <c r="E95" i="6"/>
  <c r="D103" i="6"/>
  <c r="E103" i="6"/>
  <c r="D111" i="6"/>
  <c r="E111" i="6"/>
  <c r="D119" i="6"/>
  <c r="E119" i="6"/>
  <c r="D127" i="6"/>
  <c r="E127" i="6"/>
  <c r="D135" i="6"/>
  <c r="E135" i="6"/>
  <c r="D143" i="6"/>
  <c r="E143" i="6"/>
  <c r="D151" i="6"/>
  <c r="E151" i="6"/>
  <c r="D159" i="6"/>
  <c r="E159" i="6"/>
  <c r="D167" i="6"/>
  <c r="E167" i="6"/>
  <c r="D175" i="6"/>
  <c r="E175" i="6"/>
  <c r="D183" i="6"/>
  <c r="E183" i="6"/>
  <c r="D191" i="6"/>
  <c r="E191" i="6"/>
  <c r="D199" i="6"/>
  <c r="E199" i="6"/>
  <c r="D207" i="6"/>
  <c r="E207" i="6"/>
  <c r="D215" i="6"/>
  <c r="E215" i="6"/>
  <c r="D223" i="6"/>
  <c r="E223" i="6"/>
  <c r="D231" i="6"/>
  <c r="E231" i="6"/>
  <c r="D239" i="6"/>
  <c r="E239" i="6"/>
  <c r="E247" i="6"/>
  <c r="D247" i="6"/>
  <c r="D273" i="6"/>
  <c r="E285" i="6"/>
  <c r="D285" i="6"/>
  <c r="E311" i="6"/>
  <c r="D311" i="6"/>
  <c r="E503" i="6"/>
  <c r="D503" i="6"/>
  <c r="G9" i="5"/>
  <c r="U9" i="5" s="1"/>
  <c r="F9" i="5"/>
  <c r="L96" i="4"/>
  <c r="M102" i="4"/>
  <c r="J112" i="4"/>
  <c r="I112" i="4"/>
  <c r="M117" i="4"/>
  <c r="L117" i="4"/>
  <c r="M120" i="4"/>
  <c r="K135" i="4"/>
  <c r="M143" i="4"/>
  <c r="B19" i="12"/>
  <c r="B15" i="12"/>
  <c r="C18" i="12"/>
  <c r="B20" i="12"/>
  <c r="B16" i="12"/>
  <c r="C17" i="12"/>
  <c r="B17" i="12"/>
  <c r="C16" i="12"/>
  <c r="B18" i="12"/>
  <c r="C15" i="12"/>
  <c r="B21" i="12"/>
  <c r="C21" i="12"/>
  <c r="C20" i="12"/>
  <c r="C19" i="12"/>
  <c r="A5" i="5"/>
  <c r="U17" i="5"/>
  <c r="T17" i="5"/>
  <c r="M34" i="5"/>
  <c r="L34" i="5"/>
  <c r="D335" i="6"/>
  <c r="E462" i="6"/>
  <c r="D462" i="6"/>
  <c r="C26" i="12"/>
  <c r="B26" i="12"/>
  <c r="D26" i="12" s="1"/>
  <c r="E487" i="6"/>
  <c r="D487" i="6"/>
  <c r="D347" i="6"/>
  <c r="E359" i="6"/>
  <c r="D359" i="6"/>
  <c r="E367" i="6"/>
  <c r="D367" i="6"/>
  <c r="E375" i="6"/>
  <c r="D375" i="6"/>
  <c r="E383" i="6"/>
  <c r="D383" i="6"/>
  <c r="E391" i="6"/>
  <c r="D391" i="6"/>
  <c r="E399" i="6"/>
  <c r="D399" i="6"/>
  <c r="E407" i="6"/>
  <c r="D407" i="6"/>
  <c r="E415" i="6"/>
  <c r="D415" i="6"/>
  <c r="E423" i="6"/>
  <c r="D423" i="6"/>
  <c r="E431" i="6"/>
  <c r="D431" i="6"/>
  <c r="E439" i="6"/>
  <c r="D439" i="6"/>
  <c r="E447" i="6"/>
  <c r="D447" i="6"/>
  <c r="E476" i="6"/>
  <c r="D476" i="6"/>
  <c r="E494" i="6"/>
  <c r="D494" i="6"/>
  <c r="E357" i="6"/>
  <c r="D357" i="6"/>
  <c r="E365" i="6"/>
  <c r="D365" i="6"/>
  <c r="E373" i="6"/>
  <c r="D373" i="6"/>
  <c r="E381" i="6"/>
  <c r="D381" i="6"/>
  <c r="E389" i="6"/>
  <c r="D389" i="6"/>
  <c r="E397" i="6"/>
  <c r="D397" i="6"/>
  <c r="E405" i="6"/>
  <c r="D405" i="6"/>
  <c r="E413" i="6"/>
  <c r="D413" i="6"/>
  <c r="E421" i="6"/>
  <c r="D421" i="6"/>
  <c r="E429" i="6"/>
  <c r="D429" i="6"/>
  <c r="E437" i="6"/>
  <c r="D437" i="6"/>
  <c r="E445" i="6"/>
  <c r="D445" i="6"/>
  <c r="E453" i="6"/>
  <c r="D453" i="6"/>
  <c r="C25" i="12"/>
  <c r="B25" i="12"/>
  <c r="D25" i="12" s="1"/>
  <c r="G27" i="10"/>
  <c r="P27" i="10"/>
  <c r="G56" i="10"/>
  <c r="P56" i="10"/>
  <c r="F56" i="10"/>
  <c r="O17" i="10"/>
  <c r="N17" i="10"/>
  <c r="O25" i="10"/>
  <c r="N25" i="10"/>
  <c r="G46" i="10"/>
  <c r="F46" i="10"/>
  <c r="P46" i="10"/>
  <c r="P81" i="10"/>
  <c r="G81" i="10"/>
  <c r="F81" i="10"/>
  <c r="D485" i="6"/>
  <c r="D492" i="6"/>
  <c r="D501" i="6"/>
  <c r="C28" i="12"/>
  <c r="B28" i="12"/>
  <c r="D28" i="12" s="1"/>
  <c r="N14" i="10"/>
  <c r="D458" i="6"/>
  <c r="D467" i="6"/>
  <c r="D474" i="6"/>
  <c r="D483" i="6"/>
  <c r="D490" i="6"/>
  <c r="D499" i="6"/>
  <c r="B29" i="12"/>
  <c r="D29" i="12" s="1"/>
  <c r="C29" i="12"/>
  <c r="B35" i="12"/>
  <c r="D456" i="6"/>
  <c r="D465" i="6"/>
  <c r="D472" i="6"/>
  <c r="D481" i="6"/>
  <c r="D488" i="6"/>
  <c r="D497" i="6"/>
  <c r="D504" i="6"/>
  <c r="D463" i="6"/>
  <c r="D479" i="6"/>
  <c r="D495" i="6"/>
  <c r="O6" i="10"/>
  <c r="N6" i="10"/>
  <c r="G95" i="10"/>
  <c r="P95" i="10"/>
  <c r="F95" i="10"/>
  <c r="G30" i="10"/>
  <c r="P30" i="10"/>
  <c r="O89" i="10"/>
  <c r="N89" i="10"/>
  <c r="H8" i="9"/>
  <c r="F13" i="10"/>
  <c r="P13" i="10"/>
  <c r="O86" i="10"/>
  <c r="N86" i="10"/>
  <c r="B27" i="12"/>
  <c r="D27" i="12" s="1"/>
  <c r="C27" i="12"/>
  <c r="I8" i="9"/>
  <c r="G13" i="10"/>
  <c r="O43" i="10"/>
  <c r="N43" i="10"/>
  <c r="O68" i="10"/>
  <c r="N68" i="10"/>
  <c r="J7" i="9"/>
  <c r="J8" i="9"/>
  <c r="F37" i="10"/>
  <c r="G37" i="10"/>
  <c r="P37" i="10"/>
  <c r="O57" i="10"/>
  <c r="N57" i="10"/>
  <c r="L7" i="9"/>
  <c r="L8" i="9"/>
  <c r="O61" i="10"/>
  <c r="N61" i="10"/>
  <c r="P9" i="10"/>
  <c r="G9" i="10"/>
  <c r="G17" i="10"/>
  <c r="P17" i="10"/>
  <c r="P39" i="10"/>
  <c r="G39" i="10"/>
  <c r="G63" i="10"/>
  <c r="P63" i="10"/>
  <c r="F63" i="10"/>
  <c r="O75" i="10"/>
  <c r="N75" i="10"/>
  <c r="P104" i="10"/>
  <c r="G104" i="10"/>
  <c r="F104" i="10"/>
  <c r="O41" i="10"/>
  <c r="N41" i="10"/>
  <c r="P66" i="10"/>
  <c r="G66" i="10"/>
  <c r="F66" i="10"/>
  <c r="G88" i="10"/>
  <c r="P88" i="10"/>
  <c r="O93" i="10"/>
  <c r="N93" i="10"/>
  <c r="M5" i="11"/>
  <c r="L5" i="11"/>
  <c r="F5" i="10"/>
  <c r="B36" i="12"/>
  <c r="P5" i="10"/>
  <c r="N34" i="10"/>
  <c r="N46" i="10"/>
  <c r="F64" i="10"/>
  <c r="O66" i="10"/>
  <c r="N66" i="10"/>
  <c r="F88" i="10"/>
  <c r="G5" i="10"/>
  <c r="O18" i="10"/>
  <c r="O38" i="10"/>
  <c r="N38" i="10"/>
  <c r="F40" i="10"/>
  <c r="P42" i="10"/>
  <c r="G42" i="10"/>
  <c r="O62" i="10"/>
  <c r="G64" i="10"/>
  <c r="P67" i="10"/>
  <c r="G67" i="10"/>
  <c r="F67" i="10"/>
  <c r="G78" i="10"/>
  <c r="F78" i="10"/>
  <c r="P78" i="10"/>
  <c r="O97" i="10"/>
  <c r="N97" i="10"/>
  <c r="N7" i="9"/>
  <c r="O5" i="10"/>
  <c r="N5" i="10"/>
  <c r="P19" i="10"/>
  <c r="G19" i="10"/>
  <c r="F19" i="10"/>
  <c r="P24" i="10"/>
  <c r="G24" i="10"/>
  <c r="G40" i="10"/>
  <c r="F42" i="10"/>
  <c r="F96" i="10"/>
  <c r="G102" i="10"/>
  <c r="F102" i="10"/>
  <c r="P102" i="10"/>
  <c r="G70" i="10"/>
  <c r="F70" i="10"/>
  <c r="P70" i="10"/>
  <c r="N24" i="10"/>
  <c r="O24" i="10"/>
  <c r="F29" i="10"/>
  <c r="P29" i="10"/>
  <c r="G32" i="10"/>
  <c r="F32" i="10"/>
  <c r="G72" i="10"/>
  <c r="N78" i="10"/>
  <c r="F7" i="10"/>
  <c r="N9" i="10"/>
  <c r="G11" i="10"/>
  <c r="G22" i="10"/>
  <c r="F22" i="10"/>
  <c r="N36" i="10"/>
  <c r="O53" i="10"/>
  <c r="N53" i="10"/>
  <c r="N58" i="10"/>
  <c r="G65" i="10"/>
  <c r="O67" i="10"/>
  <c r="N67" i="10"/>
  <c r="F74" i="10"/>
  <c r="O85" i="10"/>
  <c r="N85" i="10"/>
  <c r="N90" i="10"/>
  <c r="C5" i="11"/>
  <c r="G14" i="10"/>
  <c r="P14" i="10"/>
  <c r="O16" i="10"/>
  <c r="F18" i="10"/>
  <c r="O32" i="10"/>
  <c r="F34" i="10"/>
  <c r="F38" i="10"/>
  <c r="F43" i="10"/>
  <c r="N50" i="10"/>
  <c r="F57" i="10"/>
  <c r="P59" i="10"/>
  <c r="G59" i="10"/>
  <c r="O60" i="10"/>
  <c r="N60" i="10"/>
  <c r="O65" i="10"/>
  <c r="N65" i="10"/>
  <c r="G71" i="10"/>
  <c r="P71" i="10"/>
  <c r="G74" i="10"/>
  <c r="P91" i="10"/>
  <c r="G91" i="10"/>
  <c r="O92" i="10"/>
  <c r="N92" i="10"/>
  <c r="G54" i="10"/>
  <c r="F54" i="10"/>
  <c r="O73" i="10"/>
  <c r="N73" i="10"/>
  <c r="F75" i="10"/>
  <c r="F79" i="10"/>
  <c r="G86" i="10"/>
  <c r="F86" i="10"/>
  <c r="P99" i="10"/>
  <c r="F99" i="10"/>
  <c r="F26" i="10"/>
  <c r="N33" i="10"/>
  <c r="N42" i="10"/>
  <c r="O49" i="10"/>
  <c r="N49" i="10"/>
  <c r="F51" i="10"/>
  <c r="F55" i="10"/>
  <c r="G62" i="10"/>
  <c r="F62" i="10"/>
  <c r="N74" i="10"/>
  <c r="O81" i="10"/>
  <c r="N81" i="10"/>
  <c r="F83" i="10"/>
  <c r="F87" i="10"/>
  <c r="G94" i="10"/>
  <c r="F94" i="10"/>
  <c r="P48" i="5" l="1"/>
  <c r="Q48" i="5"/>
  <c r="K108" i="4"/>
  <c r="P36" i="5"/>
  <c r="Q36" i="5"/>
  <c r="K60" i="4"/>
  <c r="K67" i="4"/>
  <c r="K150" i="4"/>
  <c r="K52" i="4"/>
  <c r="B105" i="9"/>
  <c r="B97" i="9"/>
  <c r="B89" i="9"/>
  <c r="B81" i="9"/>
  <c r="B73" i="9"/>
  <c r="B65" i="9"/>
  <c r="B57" i="9"/>
  <c r="B49" i="9"/>
  <c r="B41" i="9"/>
  <c r="B94" i="9"/>
  <c r="B91" i="9"/>
  <c r="B88" i="9"/>
  <c r="B85" i="9"/>
  <c r="B82" i="9"/>
  <c r="B79" i="9"/>
  <c r="B76" i="9"/>
  <c r="B28" i="9"/>
  <c r="B20" i="9"/>
  <c r="B12" i="9"/>
  <c r="B100" i="8"/>
  <c r="B92" i="8"/>
  <c r="B84" i="8"/>
  <c r="B76" i="8"/>
  <c r="B68" i="8"/>
  <c r="B60" i="8"/>
  <c r="B52" i="8"/>
  <c r="B44" i="8"/>
  <c r="B36" i="8"/>
  <c r="B28" i="8"/>
  <c r="B20" i="8"/>
  <c r="B12" i="8"/>
  <c r="B109" i="9"/>
  <c r="B106" i="9"/>
  <c r="B103" i="9"/>
  <c r="B100" i="9"/>
  <c r="B54" i="9"/>
  <c r="B51" i="9"/>
  <c r="B48" i="9"/>
  <c r="B45" i="9"/>
  <c r="B42" i="9"/>
  <c r="B39" i="9"/>
  <c r="B36" i="9"/>
  <c r="B33" i="9"/>
  <c r="B25" i="9"/>
  <c r="B17" i="9"/>
  <c r="B103" i="8"/>
  <c r="B95" i="8"/>
  <c r="B87" i="8"/>
  <c r="B79" i="8"/>
  <c r="B71" i="8"/>
  <c r="B78" i="9"/>
  <c r="B75" i="9"/>
  <c r="B72" i="9"/>
  <c r="B69" i="9"/>
  <c r="B66" i="9"/>
  <c r="B63" i="9"/>
  <c r="B60" i="9"/>
  <c r="B30" i="9"/>
  <c r="B22" i="9"/>
  <c r="B102" i="9"/>
  <c r="B99" i="9"/>
  <c r="B96" i="9"/>
  <c r="B93" i="9"/>
  <c r="B90" i="9"/>
  <c r="B87" i="9"/>
  <c r="B84" i="9"/>
  <c r="B38" i="9"/>
  <c r="B35" i="9"/>
  <c r="B27" i="9"/>
  <c r="B19" i="9"/>
  <c r="B11" i="9"/>
  <c r="B101" i="8"/>
  <c r="B93" i="8"/>
  <c r="B85" i="8"/>
  <c r="B77" i="8"/>
  <c r="B62" i="9"/>
  <c r="B56" i="9"/>
  <c r="B50" i="9"/>
  <c r="B44" i="9"/>
  <c r="B32" i="9"/>
  <c r="B13" i="9"/>
  <c r="B96" i="8"/>
  <c r="B91" i="8"/>
  <c r="B86" i="8"/>
  <c r="B81" i="8"/>
  <c r="B61" i="8"/>
  <c r="B50" i="8"/>
  <c r="B41" i="8"/>
  <c r="B39" i="8"/>
  <c r="B30" i="8"/>
  <c r="B19" i="8"/>
  <c r="B8" i="8"/>
  <c r="B86" i="9"/>
  <c r="B80" i="9"/>
  <c r="B74" i="9"/>
  <c r="B68" i="9"/>
  <c r="B21" i="9"/>
  <c r="B88" i="8"/>
  <c r="B83" i="8"/>
  <c r="B78" i="8"/>
  <c r="B73" i="8"/>
  <c r="B59" i="8"/>
  <c r="B48" i="8"/>
  <c r="B37" i="8"/>
  <c r="B26" i="8"/>
  <c r="B17" i="8"/>
  <c r="B15" i="8"/>
  <c r="B6" i="8"/>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104" i="9"/>
  <c r="B98" i="9"/>
  <c r="B92" i="9"/>
  <c r="B43" i="9"/>
  <c r="B37" i="9"/>
  <c r="B26" i="9"/>
  <c r="B16" i="9"/>
  <c r="B98" i="8"/>
  <c r="B80" i="8"/>
  <c r="B75" i="8"/>
  <c r="B70" i="8"/>
  <c r="B66" i="8"/>
  <c r="B57" i="8"/>
  <c r="B55" i="8"/>
  <c r="B46" i="8"/>
  <c r="B35" i="8"/>
  <c r="B24" i="8"/>
  <c r="B13" i="8"/>
  <c r="B101" i="9"/>
  <c r="B71" i="9"/>
  <c r="B61" i="9"/>
  <c r="B10" i="9"/>
  <c r="B72" i="8"/>
  <c r="B63" i="8"/>
  <c r="B51" i="8"/>
  <c r="B42" i="8"/>
  <c r="B25" i="8"/>
  <c r="B16" i="8"/>
  <c r="B7" i="8"/>
  <c r="B62" i="7"/>
  <c r="B54" i="7"/>
  <c r="B46" i="7"/>
  <c r="B59" i="9"/>
  <c r="B52" i="9"/>
  <c r="B31" i="9"/>
  <c r="B105" i="8"/>
  <c r="B97" i="8"/>
  <c r="B89" i="8"/>
  <c r="B54" i="8"/>
  <c r="B45" i="8"/>
  <c r="B33" i="8"/>
  <c r="B10" i="8"/>
  <c r="B55" i="7"/>
  <c r="B47" i="7"/>
  <c r="B108" i="9"/>
  <c r="B70" i="9"/>
  <c r="B40" i="9"/>
  <c r="B23" i="9"/>
  <c r="B15" i="9"/>
  <c r="B62" i="8"/>
  <c r="B53" i="8"/>
  <c r="B27" i="8"/>
  <c r="B18" i="8"/>
  <c r="B56" i="7"/>
  <c r="B48" i="7"/>
  <c r="B40" i="7"/>
  <c r="B32" i="7"/>
  <c r="B24" i="7"/>
  <c r="B16" i="7"/>
  <c r="B77" i="9"/>
  <c r="B67" i="9"/>
  <c r="B47" i="9"/>
  <c r="B29" i="9"/>
  <c r="B14" i="9"/>
  <c r="B104" i="8"/>
  <c r="B65" i="8"/>
  <c r="B56" i="8"/>
  <c r="B47" i="8"/>
  <c r="B21" i="8"/>
  <c r="B9" i="8"/>
  <c r="B57" i="7"/>
  <c r="B49" i="7"/>
  <c r="B83" i="9"/>
  <c r="B58" i="8"/>
  <c r="B23" i="8"/>
  <c r="B11" i="8"/>
  <c r="B59" i="7"/>
  <c r="B51" i="7"/>
  <c r="B43" i="7"/>
  <c r="B37" i="7"/>
  <c r="B31" i="7"/>
  <c r="B64" i="9"/>
  <c r="B24" i="9"/>
  <c r="B40" i="8"/>
  <c r="B60" i="7"/>
  <c r="B52" i="7"/>
  <c r="B44" i="7"/>
  <c r="B38" i="7"/>
  <c r="B25" i="7"/>
  <c r="B18" i="7"/>
  <c r="B58" i="9"/>
  <c r="B102" i="8"/>
  <c r="B94" i="8"/>
  <c r="B69" i="8"/>
  <c r="B34" i="8"/>
  <c r="B22" i="8"/>
  <c r="B61" i="7"/>
  <c r="B53" i="7"/>
  <c r="B45" i="7"/>
  <c r="B39" i="7"/>
  <c r="B19" i="7"/>
  <c r="B13" i="7"/>
  <c r="B12" i="7"/>
  <c r="B11" i="7"/>
  <c r="B10" i="7"/>
  <c r="B9" i="7"/>
  <c r="B8" i="7"/>
  <c r="B95" i="9"/>
  <c r="B55" i="9"/>
  <c r="B38" i="8"/>
  <c r="B33" i="7"/>
  <c r="B26" i="7"/>
  <c r="B20" i="7"/>
  <c r="B14" i="7"/>
  <c r="B53" i="9"/>
  <c r="B99" i="8"/>
  <c r="B90" i="8"/>
  <c r="B82" i="8"/>
  <c r="B74" i="8"/>
  <c r="B67" i="8"/>
  <c r="B32" i="8"/>
  <c r="B27" i="7"/>
  <c r="B21" i="7"/>
  <c r="B15" i="7"/>
  <c r="B34" i="9"/>
  <c r="B18" i="9"/>
  <c r="B49" i="8"/>
  <c r="B31" i="8"/>
  <c r="B14" i="8"/>
  <c r="B41" i="7"/>
  <c r="B34" i="7"/>
  <c r="B28" i="7"/>
  <c r="B22" i="7"/>
  <c r="B46" i="9"/>
  <c r="B64" i="8"/>
  <c r="B29" i="8"/>
  <c r="B42" i="7"/>
  <c r="B36" i="7"/>
  <c r="B30" i="7"/>
  <c r="B17" i="7"/>
  <c r="B50" i="7"/>
  <c r="B107" i="9"/>
  <c r="B58" i="7"/>
  <c r="B23" i="7"/>
  <c r="B43" i="8"/>
  <c r="B29" i="7"/>
  <c r="B35" i="7"/>
  <c r="K28" i="4"/>
  <c r="K68" i="4"/>
  <c r="Q12" i="5"/>
  <c r="P12" i="5"/>
  <c r="K128" i="4"/>
  <c r="U12" i="5"/>
  <c r="K93" i="4"/>
  <c r="K26" i="4"/>
  <c r="K84" i="4"/>
  <c r="P18" i="5"/>
  <c r="Q18" i="5"/>
  <c r="U18" i="5"/>
  <c r="K92" i="4"/>
  <c r="K112" i="4"/>
  <c r="P34" i="5"/>
  <c r="Q34" i="5"/>
  <c r="K152" i="4"/>
  <c r="K120" i="4"/>
  <c r="P39" i="5"/>
  <c r="Q39" i="5"/>
  <c r="U39" i="5"/>
  <c r="K36" i="4"/>
  <c r="K109" i="4"/>
  <c r="K59" i="4"/>
  <c r="K148" i="4"/>
  <c r="U34" i="5"/>
  <c r="P21" i="5"/>
  <c r="Q21" i="5"/>
  <c r="U21" i="5"/>
  <c r="T5" i="5"/>
  <c r="U5" i="5"/>
  <c r="B8" i="12" s="1"/>
  <c r="K102" i="4"/>
  <c r="K75" i="4"/>
  <c r="K18" i="4"/>
  <c r="P15" i="5"/>
  <c r="Q15" i="5"/>
  <c r="P24" i="5"/>
  <c r="U24" i="5"/>
  <c r="Q24" i="5"/>
  <c r="P33" i="5"/>
  <c r="Q33" i="5"/>
  <c r="Q42" i="5"/>
  <c r="P42" i="5"/>
  <c r="U42" i="5"/>
  <c r="K110" i="4"/>
  <c r="Q17" i="5"/>
  <c r="P17" i="5"/>
  <c r="K35" i="4"/>
  <c r="U33" i="5"/>
  <c r="C46" i="9" l="1"/>
  <c r="D46" i="9"/>
  <c r="M69" i="8"/>
  <c r="D69" i="8"/>
  <c r="N69" i="8"/>
  <c r="C69" i="8"/>
  <c r="D47" i="9"/>
  <c r="C47" i="9"/>
  <c r="C70" i="9"/>
  <c r="D70" i="9"/>
  <c r="N89" i="8"/>
  <c r="C89" i="8"/>
  <c r="M89" i="8"/>
  <c r="D89" i="8"/>
  <c r="C62" i="7"/>
  <c r="D62" i="7"/>
  <c r="D10" i="9"/>
  <c r="C10" i="9"/>
  <c r="C55" i="8"/>
  <c r="M55" i="8"/>
  <c r="D55" i="8"/>
  <c r="N55" i="8"/>
  <c r="D26" i="9"/>
  <c r="C26" i="9"/>
  <c r="C65" i="7"/>
  <c r="D65" i="7"/>
  <c r="C73" i="7"/>
  <c r="D73" i="7"/>
  <c r="C81" i="7"/>
  <c r="D81" i="7"/>
  <c r="C89" i="7"/>
  <c r="D89" i="7"/>
  <c r="C97" i="7"/>
  <c r="D97" i="7"/>
  <c r="C105" i="7"/>
  <c r="D105" i="7"/>
  <c r="N48" i="8"/>
  <c r="C48" i="8"/>
  <c r="D48" i="8"/>
  <c r="M48" i="8"/>
  <c r="D74" i="9"/>
  <c r="C74" i="9"/>
  <c r="D50" i="8"/>
  <c r="N50" i="8"/>
  <c r="M50" i="8"/>
  <c r="C50" i="8"/>
  <c r="D44" i="9"/>
  <c r="C44" i="9"/>
  <c r="D11" i="9"/>
  <c r="C11" i="9"/>
  <c r="D93" i="9"/>
  <c r="C93" i="9"/>
  <c r="D66" i="9"/>
  <c r="C66" i="9"/>
  <c r="C95" i="8"/>
  <c r="N95" i="8"/>
  <c r="M95" i="8"/>
  <c r="D95" i="8"/>
  <c r="C45" i="9"/>
  <c r="D45" i="9"/>
  <c r="N12" i="8"/>
  <c r="M12" i="8"/>
  <c r="D12" i="8"/>
  <c r="C12" i="8"/>
  <c r="M76" i="8"/>
  <c r="D76" i="8"/>
  <c r="C76" i="8"/>
  <c r="N76" i="8"/>
  <c r="D79" i="9"/>
  <c r="C79" i="9"/>
  <c r="D57" i="9"/>
  <c r="C57" i="9"/>
  <c r="D37" i="9"/>
  <c r="C37" i="9"/>
  <c r="C66" i="7"/>
  <c r="D66" i="7"/>
  <c r="C74" i="7"/>
  <c r="D74" i="7"/>
  <c r="C82" i="7"/>
  <c r="D82" i="7"/>
  <c r="C90" i="7"/>
  <c r="D90" i="7"/>
  <c r="C98" i="7"/>
  <c r="D98" i="7"/>
  <c r="C106" i="7"/>
  <c r="D106" i="7"/>
  <c r="C59" i="8"/>
  <c r="N59" i="8"/>
  <c r="M59" i="8"/>
  <c r="D59" i="8"/>
  <c r="D80" i="9"/>
  <c r="C80" i="9"/>
  <c r="M61" i="8"/>
  <c r="N61" i="8"/>
  <c r="D61" i="8"/>
  <c r="C61" i="8"/>
  <c r="D50" i="9"/>
  <c r="C50" i="9"/>
  <c r="D19" i="9"/>
  <c r="C19" i="9"/>
  <c r="D96" i="9"/>
  <c r="C96" i="9"/>
  <c r="D69" i="9"/>
  <c r="C69" i="9"/>
  <c r="C103" i="8"/>
  <c r="N103" i="8"/>
  <c r="M103" i="8"/>
  <c r="D103" i="8"/>
  <c r="C48" i="9"/>
  <c r="D48" i="9"/>
  <c r="N20" i="8"/>
  <c r="M20" i="8"/>
  <c r="D20" i="8"/>
  <c r="C20" i="8"/>
  <c r="M84" i="8"/>
  <c r="D84" i="8"/>
  <c r="C84" i="8"/>
  <c r="N84" i="8"/>
  <c r="C82" i="9"/>
  <c r="D82" i="9"/>
  <c r="D65" i="9"/>
  <c r="C65" i="9"/>
  <c r="N27" i="8"/>
  <c r="M27" i="8"/>
  <c r="D27" i="8"/>
  <c r="C27" i="8"/>
  <c r="C47" i="7"/>
  <c r="D47" i="7"/>
  <c r="N105" i="8"/>
  <c r="M105" i="8"/>
  <c r="C105" i="8"/>
  <c r="D105" i="8"/>
  <c r="N16" i="8"/>
  <c r="M16" i="8"/>
  <c r="D16" i="8"/>
  <c r="C16" i="8"/>
  <c r="D71" i="9"/>
  <c r="C71" i="9"/>
  <c r="D66" i="8"/>
  <c r="M66" i="8"/>
  <c r="C66" i="8"/>
  <c r="N66" i="8"/>
  <c r="D43" i="9"/>
  <c r="C43" i="9"/>
  <c r="C67" i="7"/>
  <c r="D67" i="7"/>
  <c r="C75" i="7"/>
  <c r="D75" i="7"/>
  <c r="C83" i="7"/>
  <c r="D83" i="7"/>
  <c r="C91" i="7"/>
  <c r="D91" i="7"/>
  <c r="C99" i="7"/>
  <c r="D99" i="7"/>
  <c r="C107" i="7"/>
  <c r="D107" i="7"/>
  <c r="N73" i="8"/>
  <c r="C73" i="8"/>
  <c r="M73" i="8"/>
  <c r="D73" i="8"/>
  <c r="C86" i="9"/>
  <c r="D86" i="9"/>
  <c r="N81" i="8"/>
  <c r="C81" i="8"/>
  <c r="M81" i="8"/>
  <c r="D81" i="8"/>
  <c r="D56" i="9"/>
  <c r="C56" i="9"/>
  <c r="D27" i="9"/>
  <c r="C27" i="9"/>
  <c r="D99" i="9"/>
  <c r="C99" i="9"/>
  <c r="D72" i="9"/>
  <c r="C72" i="9"/>
  <c r="C17" i="9"/>
  <c r="D17" i="9"/>
  <c r="D51" i="9"/>
  <c r="C51" i="9"/>
  <c r="C28" i="8"/>
  <c r="N28" i="8"/>
  <c r="M28" i="8"/>
  <c r="D28" i="8"/>
  <c r="N92" i="8"/>
  <c r="M92" i="8"/>
  <c r="D92" i="8"/>
  <c r="C92" i="8"/>
  <c r="D85" i="9"/>
  <c r="C85" i="9"/>
  <c r="D73" i="9"/>
  <c r="C73" i="9"/>
  <c r="D82" i="8"/>
  <c r="C82" i="8"/>
  <c r="N82" i="8"/>
  <c r="M82" i="8"/>
  <c r="C51" i="7"/>
  <c r="D51" i="7"/>
  <c r="C22" i="7"/>
  <c r="D22" i="7"/>
  <c r="D90" i="8"/>
  <c r="C90" i="8"/>
  <c r="N90" i="8"/>
  <c r="M90" i="8"/>
  <c r="M94" i="8"/>
  <c r="D94" i="8"/>
  <c r="C94" i="8"/>
  <c r="N94" i="8"/>
  <c r="C60" i="7"/>
  <c r="D60" i="7"/>
  <c r="D67" i="9"/>
  <c r="C67" i="9"/>
  <c r="N97" i="8"/>
  <c r="C97" i="8"/>
  <c r="M97" i="8"/>
  <c r="D97" i="8"/>
  <c r="C7" i="8"/>
  <c r="N7" i="8"/>
  <c r="M7" i="8"/>
  <c r="D7" i="8"/>
  <c r="C28" i="7"/>
  <c r="D28" i="7"/>
  <c r="C15" i="7"/>
  <c r="D15" i="7"/>
  <c r="C39" i="7"/>
  <c r="D39" i="7"/>
  <c r="N40" i="8"/>
  <c r="M40" i="8"/>
  <c r="D40" i="8"/>
  <c r="C40" i="8"/>
  <c r="M11" i="8"/>
  <c r="D11" i="8"/>
  <c r="C11" i="8"/>
  <c r="N11" i="8"/>
  <c r="D77" i="9"/>
  <c r="C77" i="9"/>
  <c r="C35" i="7"/>
  <c r="D35" i="7"/>
  <c r="C34" i="7"/>
  <c r="D34" i="7"/>
  <c r="C21" i="7"/>
  <c r="D21" i="7"/>
  <c r="D53" i="9"/>
  <c r="C53" i="9"/>
  <c r="D8" i="7"/>
  <c r="C8" i="7"/>
  <c r="D58" i="9"/>
  <c r="C58" i="9"/>
  <c r="C23" i="8"/>
  <c r="N23" i="8"/>
  <c r="M23" i="8"/>
  <c r="D23" i="8"/>
  <c r="C16" i="7"/>
  <c r="D16" i="7"/>
  <c r="M53" i="8"/>
  <c r="N53" i="8"/>
  <c r="D53" i="8"/>
  <c r="C53" i="8"/>
  <c r="D31" i="9"/>
  <c r="C31" i="9"/>
  <c r="N25" i="8"/>
  <c r="M25" i="8"/>
  <c r="D25" i="8"/>
  <c r="C25" i="8"/>
  <c r="D101" i="9"/>
  <c r="C101" i="9"/>
  <c r="M70" i="8"/>
  <c r="D70" i="8"/>
  <c r="C70" i="8"/>
  <c r="N70" i="8"/>
  <c r="D92" i="9"/>
  <c r="C92" i="9"/>
  <c r="C68" i="7"/>
  <c r="D68" i="7"/>
  <c r="C76" i="7"/>
  <c r="D76" i="7"/>
  <c r="C84" i="7"/>
  <c r="D84" i="7"/>
  <c r="C92" i="7"/>
  <c r="D92" i="7"/>
  <c r="C100" i="7"/>
  <c r="D100" i="7"/>
  <c r="C6" i="8"/>
  <c r="N6" i="8"/>
  <c r="M6" i="8"/>
  <c r="D6" i="8"/>
  <c r="M78" i="8"/>
  <c r="C78" i="8"/>
  <c r="D78" i="8"/>
  <c r="N78" i="8"/>
  <c r="N8" i="8"/>
  <c r="M8" i="8"/>
  <c r="D8" i="8"/>
  <c r="C8" i="8"/>
  <c r="M86" i="8"/>
  <c r="D86" i="8"/>
  <c r="C86" i="8"/>
  <c r="N86" i="8"/>
  <c r="C62" i="9"/>
  <c r="D62" i="9"/>
  <c r="D35" i="9"/>
  <c r="C35" i="9"/>
  <c r="C102" i="9"/>
  <c r="D102" i="9"/>
  <c r="D75" i="9"/>
  <c r="C75" i="9"/>
  <c r="C25" i="9"/>
  <c r="D25" i="9"/>
  <c r="C54" i="9"/>
  <c r="D54" i="9"/>
  <c r="N36" i="8"/>
  <c r="D36" i="8"/>
  <c r="C36" i="8"/>
  <c r="M36" i="8"/>
  <c r="N100" i="8"/>
  <c r="M100" i="8"/>
  <c r="D100" i="8"/>
  <c r="C100" i="8"/>
  <c r="D88" i="9"/>
  <c r="C88" i="9"/>
  <c r="D81" i="9"/>
  <c r="C81" i="9"/>
  <c r="C30" i="7"/>
  <c r="D30" i="7"/>
  <c r="C45" i="7"/>
  <c r="D45" i="7"/>
  <c r="D24" i="9"/>
  <c r="C24" i="9"/>
  <c r="N56" i="8"/>
  <c r="M56" i="8"/>
  <c r="D56" i="8"/>
  <c r="C56" i="8"/>
  <c r="C55" i="7"/>
  <c r="D55" i="7"/>
  <c r="C29" i="7"/>
  <c r="D29" i="7"/>
  <c r="C36" i="7"/>
  <c r="D36" i="7"/>
  <c r="C41" i="7"/>
  <c r="D41" i="7"/>
  <c r="C27" i="7"/>
  <c r="D27" i="7"/>
  <c r="C14" i="7"/>
  <c r="D14" i="7"/>
  <c r="D9" i="7"/>
  <c r="C9" i="7"/>
  <c r="C53" i="7"/>
  <c r="D53" i="7"/>
  <c r="C18" i="7"/>
  <c r="D18" i="7"/>
  <c r="C64" i="9"/>
  <c r="D64" i="9"/>
  <c r="D58" i="8"/>
  <c r="N58" i="8"/>
  <c r="M58" i="8"/>
  <c r="C58" i="8"/>
  <c r="M65" i="8"/>
  <c r="D65" i="8"/>
  <c r="C65" i="8"/>
  <c r="N65" i="8"/>
  <c r="C24" i="7"/>
  <c r="D24" i="7"/>
  <c r="N62" i="8"/>
  <c r="M62" i="8"/>
  <c r="D62" i="8"/>
  <c r="C62" i="8"/>
  <c r="D10" i="8"/>
  <c r="C10" i="8"/>
  <c r="N10" i="8"/>
  <c r="M10" i="8"/>
  <c r="C52" i="9"/>
  <c r="D52" i="9"/>
  <c r="D42" i="8"/>
  <c r="N42" i="8"/>
  <c r="M42" i="8"/>
  <c r="C42" i="8"/>
  <c r="M13" i="8"/>
  <c r="D13" i="8"/>
  <c r="C13" i="8"/>
  <c r="N13" i="8"/>
  <c r="N75" i="8"/>
  <c r="D75" i="8"/>
  <c r="M75" i="8"/>
  <c r="C75" i="8"/>
  <c r="D98" i="9"/>
  <c r="C98" i="9"/>
  <c r="C69" i="7"/>
  <c r="D69" i="7"/>
  <c r="C77" i="7"/>
  <c r="D77" i="7"/>
  <c r="C85" i="7"/>
  <c r="D85" i="7"/>
  <c r="C93" i="7"/>
  <c r="D93" i="7"/>
  <c r="C101" i="7"/>
  <c r="D101" i="7"/>
  <c r="C15" i="8"/>
  <c r="D15" i="8"/>
  <c r="N15" i="8"/>
  <c r="M15" i="8"/>
  <c r="N83" i="8"/>
  <c r="D83" i="8"/>
  <c r="C83" i="8"/>
  <c r="M83" i="8"/>
  <c r="C19" i="8"/>
  <c r="N19" i="8"/>
  <c r="M19" i="8"/>
  <c r="D19" i="8"/>
  <c r="N91" i="8"/>
  <c r="D91" i="8"/>
  <c r="M91" i="8"/>
  <c r="C91" i="8"/>
  <c r="M77" i="8"/>
  <c r="D77" i="8"/>
  <c r="N77" i="8"/>
  <c r="C77" i="8"/>
  <c r="C38" i="9"/>
  <c r="D38" i="9"/>
  <c r="D22" i="9"/>
  <c r="C22" i="9"/>
  <c r="C78" i="9"/>
  <c r="D78" i="9"/>
  <c r="C33" i="9"/>
  <c r="D33" i="9"/>
  <c r="C100" i="9"/>
  <c r="D100" i="9"/>
  <c r="M44" i="8"/>
  <c r="D44" i="8"/>
  <c r="C44" i="8"/>
  <c r="N44" i="8"/>
  <c r="D12" i="9"/>
  <c r="C12" i="9"/>
  <c r="D91" i="9"/>
  <c r="C91" i="9"/>
  <c r="D89" i="9"/>
  <c r="C89" i="9"/>
  <c r="M21" i="8"/>
  <c r="N21" i="8"/>
  <c r="D21" i="8"/>
  <c r="C21" i="8"/>
  <c r="D83" i="9"/>
  <c r="C83" i="9"/>
  <c r="N104" i="8"/>
  <c r="M104" i="8"/>
  <c r="C104" i="8"/>
  <c r="D104" i="8"/>
  <c r="C32" i="7"/>
  <c r="D32" i="7"/>
  <c r="D15" i="9"/>
  <c r="C15" i="9"/>
  <c r="M33" i="8"/>
  <c r="D33" i="8"/>
  <c r="C33" i="8"/>
  <c r="N33" i="8"/>
  <c r="D59" i="9"/>
  <c r="C59" i="9"/>
  <c r="N51" i="8"/>
  <c r="M51" i="8"/>
  <c r="D51" i="8"/>
  <c r="C51" i="8"/>
  <c r="N24" i="8"/>
  <c r="D24" i="8"/>
  <c r="C24" i="8"/>
  <c r="M24" i="8"/>
  <c r="N80" i="8"/>
  <c r="M80" i="8"/>
  <c r="C80" i="8"/>
  <c r="D80" i="8"/>
  <c r="D104" i="9"/>
  <c r="C104" i="9"/>
  <c r="C70" i="7"/>
  <c r="D70" i="7"/>
  <c r="C78" i="7"/>
  <c r="D78" i="7"/>
  <c r="C86" i="7"/>
  <c r="D86" i="7"/>
  <c r="C94" i="7"/>
  <c r="D94" i="7"/>
  <c r="C102" i="7"/>
  <c r="D102" i="7"/>
  <c r="C17" i="8"/>
  <c r="N17" i="8"/>
  <c r="D17" i="8"/>
  <c r="M17" i="8"/>
  <c r="N88" i="8"/>
  <c r="M88" i="8"/>
  <c r="C88" i="8"/>
  <c r="D88" i="8"/>
  <c r="M30" i="8"/>
  <c r="D30" i="8"/>
  <c r="C30" i="8"/>
  <c r="N30" i="8"/>
  <c r="N96" i="8"/>
  <c r="M96" i="8"/>
  <c r="C96" i="8"/>
  <c r="D96" i="8"/>
  <c r="M85" i="8"/>
  <c r="D85" i="8"/>
  <c r="N85" i="8"/>
  <c r="C85" i="8"/>
  <c r="D84" i="9"/>
  <c r="C84" i="9"/>
  <c r="D30" i="9"/>
  <c r="C30" i="9"/>
  <c r="C71" i="8"/>
  <c r="N71" i="8"/>
  <c r="M71" i="8"/>
  <c r="D71" i="8"/>
  <c r="C36" i="9"/>
  <c r="D36" i="9"/>
  <c r="C103" i="9"/>
  <c r="D103" i="9"/>
  <c r="N52" i="8"/>
  <c r="D52" i="8"/>
  <c r="C52" i="8"/>
  <c r="M52" i="8"/>
  <c r="D20" i="9"/>
  <c r="C20" i="9"/>
  <c r="C94" i="9"/>
  <c r="D94" i="9"/>
  <c r="C97" i="9"/>
  <c r="D97" i="9"/>
  <c r="D107" i="9"/>
  <c r="C107" i="9"/>
  <c r="D18" i="9"/>
  <c r="C18" i="9"/>
  <c r="C52" i="7"/>
  <c r="D52" i="7"/>
  <c r="N9" i="8"/>
  <c r="M9" i="8"/>
  <c r="D9" i="8"/>
  <c r="C9" i="8"/>
  <c r="C50" i="7"/>
  <c r="D50" i="7"/>
  <c r="D34" i="9"/>
  <c r="C34" i="9"/>
  <c r="D55" i="9"/>
  <c r="C55" i="9"/>
  <c r="C19" i="7"/>
  <c r="D19" i="7"/>
  <c r="C59" i="7"/>
  <c r="D59" i="7"/>
  <c r="D108" i="9"/>
  <c r="C108" i="9"/>
  <c r="D57" i="8"/>
  <c r="C57" i="8"/>
  <c r="N57" i="8"/>
  <c r="M57" i="8"/>
  <c r="D95" i="9"/>
  <c r="C95" i="9"/>
  <c r="N43" i="8"/>
  <c r="M43" i="8"/>
  <c r="D43" i="8"/>
  <c r="C43" i="8"/>
  <c r="C42" i="7"/>
  <c r="D42" i="7"/>
  <c r="N14" i="8"/>
  <c r="M14" i="8"/>
  <c r="D14" i="8"/>
  <c r="C14" i="8"/>
  <c r="N32" i="8"/>
  <c r="M32" i="8"/>
  <c r="D32" i="8"/>
  <c r="C32" i="8"/>
  <c r="C20" i="7"/>
  <c r="D20" i="7"/>
  <c r="D10" i="7"/>
  <c r="C10" i="7"/>
  <c r="C61" i="7"/>
  <c r="D61" i="7"/>
  <c r="C25" i="7"/>
  <c r="D25" i="7"/>
  <c r="C31" i="7"/>
  <c r="D31" i="7"/>
  <c r="C23" i="7"/>
  <c r="D23" i="7"/>
  <c r="M29" i="8"/>
  <c r="N29" i="8"/>
  <c r="D29" i="8"/>
  <c r="C29" i="8"/>
  <c r="C31" i="8"/>
  <c r="N31" i="8"/>
  <c r="M31" i="8"/>
  <c r="D31" i="8"/>
  <c r="N67" i="8"/>
  <c r="M67" i="8"/>
  <c r="D67" i="8"/>
  <c r="C67" i="8"/>
  <c r="C26" i="7"/>
  <c r="D26" i="7"/>
  <c r="D11" i="7"/>
  <c r="C11" i="7"/>
  <c r="M22" i="8"/>
  <c r="D22" i="8"/>
  <c r="C22" i="8"/>
  <c r="N22" i="8"/>
  <c r="C38" i="7"/>
  <c r="D38" i="7"/>
  <c r="C37" i="7"/>
  <c r="D37" i="7"/>
  <c r="C49" i="7"/>
  <c r="D49" i="7"/>
  <c r="D14" i="9"/>
  <c r="C14" i="9"/>
  <c r="C40" i="7"/>
  <c r="D40" i="7"/>
  <c r="D23" i="9"/>
  <c r="C23" i="9"/>
  <c r="M45" i="8"/>
  <c r="C45" i="8"/>
  <c r="N45" i="8"/>
  <c r="D45" i="8"/>
  <c r="C46" i="7"/>
  <c r="D46" i="7"/>
  <c r="C63" i="8"/>
  <c r="N63" i="8"/>
  <c r="M63" i="8"/>
  <c r="D63" i="8"/>
  <c r="D35" i="8"/>
  <c r="C35" i="8"/>
  <c r="N35" i="8"/>
  <c r="M35" i="8"/>
  <c r="D98" i="8"/>
  <c r="C98" i="8"/>
  <c r="N98" i="8"/>
  <c r="M98" i="8"/>
  <c r="C63" i="7"/>
  <c r="D63" i="7"/>
  <c r="C71" i="7"/>
  <c r="D71" i="7"/>
  <c r="C79" i="7"/>
  <c r="D79" i="7"/>
  <c r="C87" i="7"/>
  <c r="D87" i="7"/>
  <c r="C95" i="7"/>
  <c r="D95" i="7"/>
  <c r="C103" i="7"/>
  <c r="D103" i="7"/>
  <c r="D26" i="8"/>
  <c r="C26" i="8"/>
  <c r="N26" i="8"/>
  <c r="M26" i="8"/>
  <c r="D21" i="9"/>
  <c r="C21" i="9"/>
  <c r="C39" i="8"/>
  <c r="M39" i="8"/>
  <c r="D39" i="8"/>
  <c r="N39" i="8"/>
  <c r="D13" i="9"/>
  <c r="C13" i="9"/>
  <c r="M93" i="8"/>
  <c r="D93" i="8"/>
  <c r="N93" i="8"/>
  <c r="C93" i="8"/>
  <c r="D87" i="9"/>
  <c r="C87" i="9"/>
  <c r="D60" i="9"/>
  <c r="C60" i="9"/>
  <c r="C79" i="8"/>
  <c r="N79" i="8"/>
  <c r="M79" i="8"/>
  <c r="D79" i="8"/>
  <c r="C39" i="9"/>
  <c r="D39" i="9"/>
  <c r="C106" i="9"/>
  <c r="D106" i="9"/>
  <c r="N60" i="8"/>
  <c r="M60" i="8"/>
  <c r="D60" i="8"/>
  <c r="C60" i="8"/>
  <c r="C28" i="9"/>
  <c r="D28" i="9"/>
  <c r="D41" i="9"/>
  <c r="C41" i="9"/>
  <c r="D105" i="9"/>
  <c r="C105" i="9"/>
  <c r="N38" i="8"/>
  <c r="M38" i="8"/>
  <c r="D38" i="8"/>
  <c r="C38" i="8"/>
  <c r="C13" i="7"/>
  <c r="D13" i="7"/>
  <c r="C56" i="7"/>
  <c r="D56" i="7"/>
  <c r="D18" i="8"/>
  <c r="N18" i="8"/>
  <c r="M18" i="8"/>
  <c r="C18" i="8"/>
  <c r="D61" i="9"/>
  <c r="C61" i="9"/>
  <c r="C17" i="7"/>
  <c r="D17" i="7"/>
  <c r="N99" i="8"/>
  <c r="D99" i="8"/>
  <c r="M99" i="8"/>
  <c r="C99" i="8"/>
  <c r="M102" i="8"/>
  <c r="D102" i="8"/>
  <c r="C102" i="8"/>
  <c r="N102" i="8"/>
  <c r="C47" i="8"/>
  <c r="N47" i="8"/>
  <c r="M47" i="8"/>
  <c r="D47" i="8"/>
  <c r="C58" i="7"/>
  <c r="D58" i="7"/>
  <c r="N64" i="8"/>
  <c r="M64" i="8"/>
  <c r="D64" i="8"/>
  <c r="C64" i="8"/>
  <c r="N49" i="8"/>
  <c r="M49" i="8"/>
  <c r="D49" i="8"/>
  <c r="C49" i="8"/>
  <c r="D74" i="8"/>
  <c r="C74" i="8"/>
  <c r="N74" i="8"/>
  <c r="M74" i="8"/>
  <c r="C33" i="7"/>
  <c r="D33" i="7"/>
  <c r="D12" i="7"/>
  <c r="C12" i="7"/>
  <c r="D34" i="8"/>
  <c r="M34" i="8"/>
  <c r="C34" i="8"/>
  <c r="N34" i="8"/>
  <c r="C44" i="7"/>
  <c r="D44" i="7"/>
  <c r="C43" i="7"/>
  <c r="D43" i="7"/>
  <c r="C57" i="7"/>
  <c r="D57" i="7"/>
  <c r="D29" i="9"/>
  <c r="C29" i="9"/>
  <c r="C48" i="7"/>
  <c r="D48" i="7"/>
  <c r="D40" i="9"/>
  <c r="C40" i="9"/>
  <c r="C54" i="8"/>
  <c r="N54" i="8"/>
  <c r="M54" i="8"/>
  <c r="D54" i="8"/>
  <c r="C54" i="7"/>
  <c r="D54" i="7"/>
  <c r="N72" i="8"/>
  <c r="M72" i="8"/>
  <c r="C72" i="8"/>
  <c r="D72" i="8"/>
  <c r="D46" i="8"/>
  <c r="C46" i="8"/>
  <c r="M46" i="8"/>
  <c r="N46" i="8"/>
  <c r="C16" i="9"/>
  <c r="D16" i="9"/>
  <c r="C64" i="7"/>
  <c r="D64" i="7"/>
  <c r="C72" i="7"/>
  <c r="D72" i="7"/>
  <c r="C80" i="7"/>
  <c r="D80" i="7"/>
  <c r="C88" i="7"/>
  <c r="D88" i="7"/>
  <c r="C96" i="7"/>
  <c r="D96" i="7"/>
  <c r="C104" i="7"/>
  <c r="D104" i="7"/>
  <c r="M37" i="8"/>
  <c r="C37" i="8"/>
  <c r="N37" i="8"/>
  <c r="D37" i="8"/>
  <c r="D68" i="9"/>
  <c r="C68" i="9"/>
  <c r="N41" i="8"/>
  <c r="M41" i="8"/>
  <c r="D41" i="8"/>
  <c r="C41" i="8"/>
  <c r="D32" i="9"/>
  <c r="C32" i="9"/>
  <c r="M101" i="8"/>
  <c r="D101" i="8"/>
  <c r="C101" i="8"/>
  <c r="N101" i="8"/>
  <c r="D90" i="9"/>
  <c r="C90" i="9"/>
  <c r="D63" i="9"/>
  <c r="C63" i="9"/>
  <c r="C87" i="8"/>
  <c r="N87" i="8"/>
  <c r="M87" i="8"/>
  <c r="D87" i="8"/>
  <c r="C42" i="9"/>
  <c r="D42" i="9"/>
  <c r="C109" i="9"/>
  <c r="D109" i="9"/>
  <c r="D68" i="8"/>
  <c r="C68" i="8"/>
  <c r="N68" i="8"/>
  <c r="M68" i="8"/>
  <c r="D76" i="9"/>
  <c r="C76" i="9"/>
  <c r="D49" i="9"/>
  <c r="C49" i="9"/>
</calcChain>
</file>

<file path=xl/sharedStrings.xml><?xml version="1.0" encoding="utf-8"?>
<sst xmlns="http://schemas.openxmlformats.org/spreadsheetml/2006/main" count="983" uniqueCount="664">
  <si>
    <t>Suivi des entraînements — ligne LC — Compétition — saison 2026-2027</t>
  </si>
  <si>
    <t>Un classeur par ligne d'eau</t>
  </si>
  <si>
    <t>Ce classeur suit une seule ligne d'eau, pour une seule saison. Le paramétrage du club vit dans « AA - Parametrage 2026-2027.xlsx » ; ce classeur en reçoit une copie de travail. Voir l'onglet Synchro.</t>
  </si>
  <si>
    <t>Une ligne d'eau a un seul support de saisie déclaré pour la saison : ce classeur, ou l'application. Jamais les deux.</t>
  </si>
  <si>
    <t>Quatre couleurs, quatre natures de cellule</t>
  </si>
  <si>
    <t>Blanc — saisie libre, à remplir à la main.</t>
  </si>
  <si>
    <t>Vert clair — saisie assistée par une liste déroulante : choisissez une valeur proposée.</t>
  </si>
  <si>
    <t>Gris clair — calculé par une formule de ce classeur : ça se met à jour tout seul, n'y touchez jamais.</t>
  </si>
  <si>
    <t>Bleu pâle — copié automatiquement depuis le classeur de Paramétrage à chaque synchronisation (onglets Referentiel, Personnes, Creneaux_Ref, Responsables, Qualifs_Securite) : une saisie ici serait silencieusement écrasée au prochain Synchro, sans message d'erreur.</t>
  </si>
  <si>
    <t>Sélectionner une personne</t>
  </si>
  <si>
    <t>Même principe que le classeur de paramétrage : une liste déroulante propose les personnes du club, triée par prénom. Tapez les premières lettres du prénom pour y aller plus vite, ou choisissez dans la liste. Le code numérique de l'onglet Personnes reste aussi accepté. Les colonnes suivantes affichent aussitôt l'identifiant, le nom et le prénom : un coup d'œil suffit à vérifier.</t>
  </si>
  <si>
    <t>Les listes se construisent toutes seules</t>
  </si>
  <si>
    <t>L'onglet Personnes porte l'ensemble du club, avec le groupe de niveau de chacun. Les membres de cette ligne y reçoivent automatiquement un code, de 1 à n. Les onglets Suivi_Objectifs, Suivi_Competences et Avis_Encadrants construisent leur liste d'apnéistes à partir de ce code : vous n'avez jamais de nom à recopier.</t>
  </si>
  <si>
    <t>Où saisir</t>
  </si>
  <si>
    <t>Calendrier — une ligne par séance, numérotée automatiquement (S001, S002…). Le responsable de ligne est déduit de l'onglet Responsables ; la colonne « responsable » ne sert qu'aux remplacements.</t>
  </si>
  <si>
    <t>Presences — une ligne par participant présent. Pas de colonne « présent » : l'existence de la ligne vaut présence.</t>
  </si>
  <si>
    <t>Suivi_Objectifs — le meilleur nombre de répétitions réussies au cours d'une même séance, et le statut des objectifs en acquisition.</t>
  </si>
  <si>
    <t>Suivi_Competences — le niveau atteint sur les 8 compétences.</t>
  </si>
  <si>
    <t>Avis_Encadrants — un tableau apnéistes × encadrants, deux campagnes. Cette donnée n'est plus une couleur de cellule.</t>
  </si>
  <si>
    <t>Evenements_Securite — tout incident, daté et qualifié.</t>
  </si>
  <si>
    <t>Zones_Physiologiques — les bornes de confort et d'inconfort.</t>
  </si>
  <si>
    <t>La ligne compétition n'a pas de plan d'entraînement propre : le référentiel repris est celui du L4. À valider.</t>
  </si>
  <si>
    <t>Cinq règles</t>
  </si>
  <si>
    <t>1. Ne saisissez que dans les cellules blanches ou vert clair — jamais dans le gris ou le bleu pâle.</t>
  </si>
  <si>
    <t>2. Une ligne = un enregistrement. Jamais de ligne vide au milieu.</t>
  </si>
  <si>
    <t>3. Ne renommez pas les onglets, ne déplacez pas les colonnes.</t>
  </si>
  <si>
    <t>4. Aucune information portée par une couleur de fond.</t>
  </si>
  <si>
    <t>5. Les onglets Referentiel, Personnes, Creneaux_Ref, Responsables et Qualifs_Securite sont écrasés à chaque synchronisation : n'y saisissez rien.</t>
  </si>
  <si>
    <t>Version</t>
  </si>
  <si>
    <t>Version 1.1 — 2026-08-20.</t>
  </si>
  <si>
    <t>Synchronisation avec le paramétrage du club</t>
  </si>
  <si>
    <t>Renseigné automatiquement par « sync_referentiel.py ». Ne pas modifier à la main.</t>
  </si>
  <si>
    <t>Information</t>
  </si>
  <si>
    <t>Valeur</t>
  </si>
  <si>
    <t>Remarque</t>
  </si>
  <si>
    <t>Ligne d'eau</t>
  </si>
  <si>
    <t>LC</t>
  </si>
  <si>
    <t>Groupe de niveau suivi par ce classeur</t>
  </si>
  <si>
    <t>Saison</t>
  </si>
  <si>
    <t>2026-2027</t>
  </si>
  <si>
    <t>Classeur de paramétrage source</t>
  </si>
  <si>
    <t>AA - Parametrage 2026-2027.xlsx</t>
  </si>
  <si>
    <t>Version du paramétrage</t>
  </si>
  <si>
    <t>1.3</t>
  </si>
  <si>
    <t>Date de la dernière synchronisation</t>
  </si>
  <si>
    <t>2026-09-05 15:06</t>
  </si>
  <si>
    <t>À relancer après toute modification du paramétrage</t>
  </si>
  <si>
    <t>Objectifs repris</t>
  </si>
  <si>
    <t>Compétences reprises</t>
  </si>
  <si>
    <t>Personnes reprises</t>
  </si>
  <si>
    <t>Tout le club : un encadrant n'est pas nécessairement inscrit dans la ligne qu'il encadre</t>
  </si>
  <si>
    <t>Créneaux repris</t>
  </si>
  <si>
    <t>Responsables de ligne repris</t>
  </si>
  <si>
    <t>Table datée : une ligne par changement en cours de saison</t>
  </si>
  <si>
    <t>Membres de la ligne, calculés en direct</t>
  </si>
  <si>
    <t>Apnéistes rattachés au groupe LC</t>
  </si>
  <si>
    <t>Déduit de la colonne « Groupe(s) » de l'onglet Personnes, sans intervention</t>
  </si>
  <si>
    <t>Pourquoi pas de lien Excel direct ?</t>
  </si>
  <si>
    <t>Une formule pointant vers un autre fichier dépend du chemin sur le disque. Elle casse dès que le classeur est déplacé, renommé, ouvert depuis un autre poste ou synchronisé par OneDrive.</t>
  </si>
  <si>
    <t>Le paramétrage est donc recopié ici, en lecture seule, par un script. C'est exactement ce que fera l'application plus tard.</t>
  </si>
  <si>
    <t>Référentiel de la ligne LC — Compétition</t>
  </si>
  <si>
    <t>Copie du paramétrage du club. Écrasé à chaque synchronisation : ne rien modifier ici.</t>
  </si>
  <si>
    <t>1. OBJECTIFS DE PROGRESSION — maîtrise et acquisition</t>
  </si>
  <si>
    <t>ID</t>
  </si>
  <si>
    <t>Type</t>
  </si>
  <si>
    <t>Famille</t>
  </si>
  <si>
    <t>Intitulé</t>
  </si>
  <si>
    <t>Seuil de répétitions</t>
  </si>
  <si>
    <t>Intervalle max entre départs</t>
  </si>
  <si>
    <t>Critère de validation</t>
  </si>
  <si>
    <t>L4-M1</t>
  </si>
  <si>
    <t>maîtrise</t>
  </si>
  <si>
    <t>DIST</t>
  </si>
  <si>
    <t>125m dyn</t>
  </si>
  <si>
    <t>Pouvoir réaliser la distance sans contrainte particulière, régulièrement, sans incident. — critère qualitatif, non calculable.</t>
  </si>
  <si>
    <t>L4-M2</t>
  </si>
  <si>
    <t>SERIE_HC</t>
  </si>
  <si>
    <t>4 x 50m départ 1'</t>
  </si>
  <si>
    <t>L4-M3</t>
  </si>
  <si>
    <t>STA_DYN</t>
  </si>
  <si>
    <t>1'30 de STA + 75m</t>
  </si>
  <si>
    <t>L4-M4</t>
  </si>
  <si>
    <t>LENT</t>
  </si>
  <si>
    <t>50m lent (2'30)</t>
  </si>
  <si>
    <t>L4-M5</t>
  </si>
  <si>
    <t>BRASSE</t>
  </si>
  <si>
    <t>75m en brasse</t>
  </si>
  <si>
    <t>L4-A1</t>
  </si>
  <si>
    <t>acquisition</t>
  </si>
  <si>
    <t>150m dyn</t>
  </si>
  <si>
    <t>Pouvoir réaliser la distance ou l'exercice une fois de temps en temps en étant mis dans les meilleures conditions.</t>
  </si>
  <si>
    <t>L4-A2</t>
  </si>
  <si>
    <t>4 x 50m départ 55''</t>
  </si>
  <si>
    <t>L4-A3</t>
  </si>
  <si>
    <t>2' de STA + 75m</t>
  </si>
  <si>
    <t>L4-A4</t>
  </si>
  <si>
    <t>50m lent (3')</t>
  </si>
  <si>
    <t>L4-A5</t>
  </si>
  <si>
    <t>100m en brasse</t>
  </si>
  <si>
    <t>2. COMPÉTENCES TECHNIQUES — niveau attendu en LC</t>
  </si>
  <si>
    <t>Code</t>
  </si>
  <si>
    <t>Libellé</t>
  </si>
  <si>
    <t>Niveau attendu</t>
  </si>
  <si>
    <t>Critère observable</t>
  </si>
  <si>
    <t>LEST</t>
  </si>
  <si>
    <t>Lestage</t>
  </si>
  <si>
    <t>expert</t>
  </si>
  <si>
    <t>Assiette horizontale tenue sans compensation musculaire ; flottabilité neutre en fin d'apnée.</t>
  </si>
  <si>
    <t>HYDRO</t>
  </si>
  <si>
    <t>Hydrodynamisme</t>
  </si>
  <si>
    <t>Position hydrodynamique conservée sur toute la distance ; aucun mouvement parasite.</t>
  </si>
  <si>
    <t>PALM_BI</t>
  </si>
  <si>
    <t>Palmage bi-palmes</t>
  </si>
  <si>
    <t>Ondulation propre, amplitude régulière, propulsion issue des hanches et non des cuisses.</t>
  </si>
  <si>
    <t>PALM_MONO</t>
  </si>
  <si>
    <t>Palmage monopalme</t>
  </si>
  <si>
    <t>acquis</t>
  </si>
  <si>
    <t>Ondulation continue tête-bassin-palme, bras en flèche tenus.</t>
  </si>
  <si>
    <t>VIRAGE</t>
  </si>
  <si>
    <t>Virage</t>
  </si>
  <si>
    <t>Virage fluide, sans perte de vitesse notable, sans apnée supplémentaire ; poussée d'au moins 10 m.</t>
  </si>
  <si>
    <t>VENTIL</t>
  </si>
  <si>
    <t>Ventilation</t>
  </si>
  <si>
    <t>Préparation ventilatoire abaissant la fréquence cardiaque, dernière inspiration maîtrisée, protocole de sécurité en sortie, récupération codée respectée.</t>
  </si>
  <si>
    <t>SAUV</t>
  </si>
  <si>
    <t>Sauvetage</t>
  </si>
  <si>
    <t>Sait repérer les signaux hypoxiques chez son binôme et conduire une remontée et un protocole de sauvetage.</t>
  </si>
  <si>
    <t>Brasse DNF</t>
  </si>
  <si>
    <t>Coordination traction-glisse-ondulation, temps de glisse tenu, trajectoire rectiligne.</t>
  </si>
  <si>
    <t>3. CRÉNEAUX DE LA LIGNE — copie du paramétrage</t>
  </si>
  <si>
    <t>Jour</t>
  </si>
  <si>
    <t>Heure début</t>
  </si>
  <si>
    <t>Heure fin</t>
  </si>
  <si>
    <t>Bassin</t>
  </si>
  <si>
    <t>Groupe de niveau</t>
  </si>
  <si>
    <t>Libellé (calculé)</t>
  </si>
  <si>
    <t>Encadrant (ID)</t>
  </si>
  <si>
    <t>Encadrant — nom</t>
  </si>
  <si>
    <t>Encadrant — prénom</t>
  </si>
  <si>
    <t>CR-SAM</t>
  </si>
  <si>
    <t>samedi</t>
  </si>
  <si>
    <t>10h30</t>
  </si>
  <si>
    <t>12h00</t>
  </si>
  <si>
    <t>B50</t>
  </si>
  <si>
    <t>P045</t>
  </si>
  <si>
    <t>SEGUI</t>
  </si>
  <si>
    <t>Danny</t>
  </si>
  <si>
    <t>4. RESPONSABLE DE LIGNE — copie du paramétrage, table datée</t>
  </si>
  <si>
    <t>Date d'effet</t>
  </si>
  <si>
    <t>Personne (ID)</t>
  </si>
  <si>
    <t>Nom</t>
  </si>
  <si>
    <t>Prénom</t>
  </si>
  <si>
    <t>Commentaire</t>
  </si>
  <si>
    <t>5. PERSONNES QUALIFIÉES SÉCURITÉ — copie du paramétrage, club entier</t>
  </si>
  <si>
    <t>Personnes du club et effectif de la ligne</t>
  </si>
  <si>
    <t>Copie du référentiel du club. Le code de la colonne A est attribué automatiquement aux membres du groupe LC : c'est le raccourci de saisie.</t>
  </si>
  <si>
    <t>Rôle déclaré</t>
  </si>
  <si>
    <t>Groupe(s)</t>
  </si>
  <si>
    <t>Objectif de la saison</t>
  </si>
  <si>
    <t>Membre de la ligne</t>
  </si>
  <si>
    <t>Séances suivies</t>
  </si>
  <si>
    <t>Séances tenues</t>
  </si>
  <si>
    <t>Taux de participation</t>
  </si>
  <si>
    <t>Code élève</t>
  </si>
  <si>
    <t>Code encadrant</t>
  </si>
  <si>
    <t>Rang par prénom (calculé)</t>
  </si>
  <si>
    <t>Courriel</t>
  </si>
  <si>
    <t>P100</t>
  </si>
  <si>
    <t>AUBERT</t>
  </si>
  <si>
    <t>Sebastien</t>
  </si>
  <si>
    <t>élève</t>
  </si>
  <si>
    <t>DNF / L4 / LC</t>
  </si>
  <si>
    <t>P101</t>
  </si>
  <si>
    <t>BELHADJ KACEM</t>
  </si>
  <si>
    <t>Mohammed</t>
  </si>
  <si>
    <t>P049</t>
  </si>
  <si>
    <t>BOULANT</t>
  </si>
  <si>
    <t>Guillaume</t>
  </si>
  <si>
    <t>DNF / L4 / LC / STA</t>
  </si>
  <si>
    <t>gboulant@gmail.com</t>
  </si>
  <si>
    <t>P057</t>
  </si>
  <si>
    <t>COLIN DE VERDIERE</t>
  </si>
  <si>
    <t>Antoine</t>
  </si>
  <si>
    <t>antoinecdv@gmail.com</t>
  </si>
  <si>
    <t>P063</t>
  </si>
  <si>
    <t>COLLINET</t>
  </si>
  <si>
    <t>Sabine</t>
  </si>
  <si>
    <t>sabine.collinet@gmail.com</t>
  </si>
  <si>
    <t>P043</t>
  </si>
  <si>
    <t>DUMONT</t>
  </si>
  <si>
    <t>Céline</t>
  </si>
  <si>
    <t>celibouteiller@gmail.com</t>
  </si>
  <si>
    <t>P102</t>
  </si>
  <si>
    <t>DUSSAUD</t>
  </si>
  <si>
    <t>P039</t>
  </si>
  <si>
    <t>FREDON</t>
  </si>
  <si>
    <t>Philippe</t>
  </si>
  <si>
    <t>philippe.fredon@orange.fr</t>
  </si>
  <si>
    <t>P058</t>
  </si>
  <si>
    <t>MAALAOUI</t>
  </si>
  <si>
    <t>Larbi</t>
  </si>
  <si>
    <t>lmaalaoui@yahoo.fr</t>
  </si>
  <si>
    <t>P103</t>
  </si>
  <si>
    <t>NOURA</t>
  </si>
  <si>
    <t>Karim</t>
  </si>
  <si>
    <t>P044</t>
  </si>
  <si>
    <t>PASCAL</t>
  </si>
  <si>
    <t>Alain</t>
  </si>
  <si>
    <t>linux.apa@gmail.com</t>
  </si>
  <si>
    <t>encadrant</t>
  </si>
  <si>
    <t>d.segui@psm-ffessm.fr</t>
  </si>
  <si>
    <t>P053</t>
  </si>
  <si>
    <t>BACHA</t>
  </si>
  <si>
    <t>Achour</t>
  </si>
  <si>
    <t>DNF / L4 / STA</t>
  </si>
  <si>
    <t>P003</t>
  </si>
  <si>
    <t>BARBIER</t>
  </si>
  <si>
    <t>Aurelien</t>
  </si>
  <si>
    <t>DNF / L3 / STA</t>
  </si>
  <si>
    <t>P076</t>
  </si>
  <si>
    <t>BAUTISTA</t>
  </si>
  <si>
    <t>Mary</t>
  </si>
  <si>
    <t>DNF / L2 / STA</t>
  </si>
  <si>
    <t>P030</t>
  </si>
  <si>
    <t>BEAUVALLET</t>
  </si>
  <si>
    <t>Dominique</t>
  </si>
  <si>
    <t>DNF / L1 / STA</t>
  </si>
  <si>
    <t>dombeauvallet@free.fr</t>
  </si>
  <si>
    <t>P019</t>
  </si>
  <si>
    <t>BECHARA</t>
  </si>
  <si>
    <t>Lionel</t>
  </si>
  <si>
    <t>P077</t>
  </si>
  <si>
    <t>BENDER</t>
  </si>
  <si>
    <t>Marc</t>
  </si>
  <si>
    <t>P055</t>
  </si>
  <si>
    <t>BENMANSOUR</t>
  </si>
  <si>
    <t>Ouafa</t>
  </si>
  <si>
    <t>Amiwafa77@yahoo.fr</t>
  </si>
  <si>
    <t>P035</t>
  </si>
  <si>
    <t>BEYL</t>
  </si>
  <si>
    <t>Gabrielle</t>
  </si>
  <si>
    <t>DNF / L3 / L4 / STA</t>
  </si>
  <si>
    <t>g.beyl@outlook.fr</t>
  </si>
  <si>
    <t>P078</t>
  </si>
  <si>
    <t>BEZICOT</t>
  </si>
  <si>
    <t>Patrick</t>
  </si>
  <si>
    <t>P079</t>
  </si>
  <si>
    <t>BIZON</t>
  </si>
  <si>
    <t>Christophe</t>
  </si>
  <si>
    <t>P060</t>
  </si>
  <si>
    <t>BOUGEROL</t>
  </si>
  <si>
    <t>Bruno</t>
  </si>
  <si>
    <t>b_bougerol@yahoo.fr</t>
  </si>
  <si>
    <t>P068</t>
  </si>
  <si>
    <t>BOUHAMMOU</t>
  </si>
  <si>
    <t>Salman</t>
  </si>
  <si>
    <t>P080</t>
  </si>
  <si>
    <t>BRIAULT</t>
  </si>
  <si>
    <t>Beverly</t>
  </si>
  <si>
    <t>P056</t>
  </si>
  <si>
    <t>BRIDENNE</t>
  </si>
  <si>
    <t>philippe.bridenne@gmail.com</t>
  </si>
  <si>
    <t>P081</t>
  </si>
  <si>
    <t>CATHALA</t>
  </si>
  <si>
    <t>Virginie</t>
  </si>
  <si>
    <t>P069</t>
  </si>
  <si>
    <t>CAVATORE</t>
  </si>
  <si>
    <t>Magali</t>
  </si>
  <si>
    <t>P097</t>
  </si>
  <si>
    <t>CHABERNAUD</t>
  </si>
  <si>
    <t>P031</t>
  </si>
  <si>
    <t>CHARDONNET</t>
  </si>
  <si>
    <t>Victorinne</t>
  </si>
  <si>
    <t>DNF / L1 / L2 / STA</t>
  </si>
  <si>
    <t>chardonnetvictorine@gmail.com</t>
  </si>
  <si>
    <t>P022</t>
  </si>
  <si>
    <t>CHIARAMONTE</t>
  </si>
  <si>
    <t>Matthieu</t>
  </si>
  <si>
    <t>P082</t>
  </si>
  <si>
    <t>CODAZZO</t>
  </si>
  <si>
    <t>Franco</t>
  </si>
  <si>
    <t>P006</t>
  </si>
  <si>
    <t>Caroline</t>
  </si>
  <si>
    <t>treso.apneeattitude@outlook.com</t>
  </si>
  <si>
    <t>P011</t>
  </si>
  <si>
    <t>Etienne</t>
  </si>
  <si>
    <t>e.cdv@free.fr</t>
  </si>
  <si>
    <t>P083</t>
  </si>
  <si>
    <t>CORNET-VERNET</t>
  </si>
  <si>
    <t>Sandra</t>
  </si>
  <si>
    <t>P084</t>
  </si>
  <si>
    <t>COSSAIS</t>
  </si>
  <si>
    <t>Monia</t>
  </si>
  <si>
    <t>P007</t>
  </si>
  <si>
    <t>DANSEUX</t>
  </si>
  <si>
    <t>Charline</t>
  </si>
  <si>
    <t>DNF / L2 / L3 / STA</t>
  </si>
  <si>
    <t>charline.danseux@gmail.com</t>
  </si>
  <si>
    <t>P085</t>
  </si>
  <si>
    <t>DE LA BRETESCHE</t>
  </si>
  <si>
    <t>Arnaud</t>
  </si>
  <si>
    <t>P086</t>
  </si>
  <si>
    <t>DEPRETZ</t>
  </si>
  <si>
    <t>P002</t>
  </si>
  <si>
    <t>DESMERGES</t>
  </si>
  <si>
    <t>Antonin</t>
  </si>
  <si>
    <t>P070</t>
  </si>
  <si>
    <t>DEVILLIERS</t>
  </si>
  <si>
    <t>Aurélien</t>
  </si>
  <si>
    <t>P087</t>
  </si>
  <si>
    <t>DUBUISSON</t>
  </si>
  <si>
    <t>P071</t>
  </si>
  <si>
    <t>DUVAL</t>
  </si>
  <si>
    <t>Jérôme</t>
  </si>
  <si>
    <t>P072</t>
  </si>
  <si>
    <t>FIHEL</t>
  </si>
  <si>
    <t>Agnieszka</t>
  </si>
  <si>
    <t>P088</t>
  </si>
  <si>
    <t>FIOR</t>
  </si>
  <si>
    <t>P005</t>
  </si>
  <si>
    <t>FRASCA</t>
  </si>
  <si>
    <t>Benjamin</t>
  </si>
  <si>
    <t>benjamin.frasca@gmail.com</t>
  </si>
  <si>
    <t>P089</t>
  </si>
  <si>
    <t>GARCIA</t>
  </si>
  <si>
    <t>Laurent</t>
  </si>
  <si>
    <t>P027</t>
  </si>
  <si>
    <t>GOBAA</t>
  </si>
  <si>
    <t>Samy</t>
  </si>
  <si>
    <t>P015</t>
  </si>
  <si>
    <t>GOUDOU</t>
  </si>
  <si>
    <t>Jean-François</t>
  </si>
  <si>
    <t>jfgoudou@gmail.com</t>
  </si>
  <si>
    <t>P004</t>
  </si>
  <si>
    <t>GOUSSARD</t>
  </si>
  <si>
    <t>Béatrice</t>
  </si>
  <si>
    <t>bea.davoine@gmail.com</t>
  </si>
  <si>
    <t>P032</t>
  </si>
  <si>
    <t>GRENIER</t>
  </si>
  <si>
    <t>Michael</t>
  </si>
  <si>
    <t>micgren@gmail.com</t>
  </si>
  <si>
    <t>P023</t>
  </si>
  <si>
    <t>GUEGUEN</t>
  </si>
  <si>
    <t>P029</t>
  </si>
  <si>
    <t>Stephane</t>
  </si>
  <si>
    <t>P001</t>
  </si>
  <si>
    <t>GUEVEL</t>
  </si>
  <si>
    <t>aguevel94@gmail.com</t>
  </si>
  <si>
    <t>P040</t>
  </si>
  <si>
    <t>GUGLIELMO</t>
  </si>
  <si>
    <t>Anthony</t>
  </si>
  <si>
    <t>anthony.guglielmo.fra@gmail.com</t>
  </si>
  <si>
    <t>P073</t>
  </si>
  <si>
    <t>GUIBOURT</t>
  </si>
  <si>
    <t>Aude</t>
  </si>
  <si>
    <t>P074</t>
  </si>
  <si>
    <t>HABERT</t>
  </si>
  <si>
    <t>Serge</t>
  </si>
  <si>
    <t>P009</t>
  </si>
  <si>
    <t>HANNOU</t>
  </si>
  <si>
    <t>Cyrille</t>
  </si>
  <si>
    <t>hannou_c@yahoo.fr</t>
  </si>
  <si>
    <t>P098</t>
  </si>
  <si>
    <t>HENRY</t>
  </si>
  <si>
    <t>Thomas</t>
  </si>
  <si>
    <t>P090</t>
  </si>
  <si>
    <t>HERMANS</t>
  </si>
  <si>
    <t>Sylvie</t>
  </si>
  <si>
    <t>P041</t>
  </si>
  <si>
    <t>HOYAU</t>
  </si>
  <si>
    <t>Pierre-Alain</t>
  </si>
  <si>
    <t>pierre-alain.hoyau@univ-eiffel.fr</t>
  </si>
  <si>
    <t>P042</t>
  </si>
  <si>
    <t>INSERGUET</t>
  </si>
  <si>
    <t>David</t>
  </si>
  <si>
    <t>valdav92@gmail.com</t>
  </si>
  <si>
    <t>P024</t>
  </si>
  <si>
    <t>JACQUEMOT</t>
  </si>
  <si>
    <t>Nelly</t>
  </si>
  <si>
    <t>nellyjacquemot@yahoo.fr</t>
  </si>
  <si>
    <t>P014</t>
  </si>
  <si>
    <t>LABAYE</t>
  </si>
  <si>
    <t>Hélène</t>
  </si>
  <si>
    <t>h_labaye@yahoo.fr</t>
  </si>
  <si>
    <t>P008</t>
  </si>
  <si>
    <t>LABROSSE</t>
  </si>
  <si>
    <t>Cyril</t>
  </si>
  <si>
    <t>P012</t>
  </si>
  <si>
    <t>LACOUR</t>
  </si>
  <si>
    <t>etienne.lacour@outlook.fr</t>
  </si>
  <si>
    <t>P025</t>
  </si>
  <si>
    <t>LAMBERT</t>
  </si>
  <si>
    <t>Oman</t>
  </si>
  <si>
    <t>P028</t>
  </si>
  <si>
    <t>LANDEAU</t>
  </si>
  <si>
    <t>Sophie</t>
  </si>
  <si>
    <t>sophiemattioli@yahoo.fr</t>
  </si>
  <si>
    <t>P037</t>
  </si>
  <si>
    <t>LE BRIGAND</t>
  </si>
  <si>
    <t>Fred</t>
  </si>
  <si>
    <t>flebrigand@gmail.com</t>
  </si>
  <si>
    <t>P052</t>
  </si>
  <si>
    <t>Corinne</t>
  </si>
  <si>
    <t>clebrigand@gmail.com</t>
  </si>
  <si>
    <t>P017</t>
  </si>
  <si>
    <t>LEFEBVRE</t>
  </si>
  <si>
    <t>P050</t>
  </si>
  <si>
    <t>LELARGE</t>
  </si>
  <si>
    <t>Gérald</t>
  </si>
  <si>
    <t>glelarge@gmail.com</t>
  </si>
  <si>
    <t>P010</t>
  </si>
  <si>
    <t>LICHTNER</t>
  </si>
  <si>
    <t>Edward</t>
  </si>
  <si>
    <t>edwardlichtner515@gmail.com</t>
  </si>
  <si>
    <t>P018</t>
  </si>
  <si>
    <t>MADE</t>
  </si>
  <si>
    <t>P075</t>
  </si>
  <si>
    <t>MARCHIORI</t>
  </si>
  <si>
    <t>Marie</t>
  </si>
  <si>
    <t>P091</t>
  </si>
  <si>
    <t>MASGRAU</t>
  </si>
  <si>
    <t>Kévin</t>
  </si>
  <si>
    <t>P046</t>
  </si>
  <si>
    <t>MEASSON</t>
  </si>
  <si>
    <t>Yvan</t>
  </si>
  <si>
    <t>ymeasson@isybot.com</t>
  </si>
  <si>
    <t>P054</t>
  </si>
  <si>
    <t>MEMAIN</t>
  </si>
  <si>
    <t>Hervé</t>
  </si>
  <si>
    <t>herve.memain@gmail.com</t>
  </si>
  <si>
    <t>P033</t>
  </si>
  <si>
    <t>MEMHELD</t>
  </si>
  <si>
    <t>François</t>
  </si>
  <si>
    <t>DNF / L2 / L4 / STA</t>
  </si>
  <si>
    <t>francois.memheld@orange.fr</t>
  </si>
  <si>
    <t>P092</t>
  </si>
  <si>
    <t>NIGEN</t>
  </si>
  <si>
    <t>Isabelle</t>
  </si>
  <si>
    <t>P093</t>
  </si>
  <si>
    <t>NOËL</t>
  </si>
  <si>
    <t>Vincent</t>
  </si>
  <si>
    <t>P020</t>
  </si>
  <si>
    <t>PACTET</t>
  </si>
  <si>
    <t>Lucas</t>
  </si>
  <si>
    <t>P059</t>
  </si>
  <si>
    <t>PALUD</t>
  </si>
  <si>
    <t>Sébastien</t>
  </si>
  <si>
    <t>sebastien.palud@gmail.com</t>
  </si>
  <si>
    <t>P016</t>
  </si>
  <si>
    <t>PEINADO</t>
  </si>
  <si>
    <t>Jérémy</t>
  </si>
  <si>
    <t>P064</t>
  </si>
  <si>
    <t>SAINT MARTIN</t>
  </si>
  <si>
    <t>Leo</t>
  </si>
  <si>
    <t>leo.saintmartin@outlook.fr</t>
  </si>
  <si>
    <t>P094</t>
  </si>
  <si>
    <t>SEVEDO</t>
  </si>
  <si>
    <t>Theo</t>
  </si>
  <si>
    <t>P099</t>
  </si>
  <si>
    <t>SIKORA</t>
  </si>
  <si>
    <t>Viktor</t>
  </si>
  <si>
    <t>P047</t>
  </si>
  <si>
    <t>STANKIEWICZ</t>
  </si>
  <si>
    <t>Katarina</t>
  </si>
  <si>
    <t>kasia.milena@gmail.com</t>
  </si>
  <si>
    <t>P095</t>
  </si>
  <si>
    <t>TESSON</t>
  </si>
  <si>
    <t>Marine</t>
  </si>
  <si>
    <t>P026</t>
  </si>
  <si>
    <t>VALENTINI</t>
  </si>
  <si>
    <t>Pauline</t>
  </si>
  <si>
    <t>p.valentini@hotmail.fr</t>
  </si>
  <si>
    <t>P062</t>
  </si>
  <si>
    <t>VENOT</t>
  </si>
  <si>
    <t>Eric</t>
  </si>
  <si>
    <t>ericvenot@hotmail.com</t>
  </si>
  <si>
    <t>P036</t>
  </si>
  <si>
    <t>WALLON</t>
  </si>
  <si>
    <t>Sandry</t>
  </si>
  <si>
    <t>sandry.wallon@gmail.com</t>
  </si>
  <si>
    <t>P096</t>
  </si>
  <si>
    <t>P013</t>
  </si>
  <si>
    <t>WANG</t>
  </si>
  <si>
    <t>Francis</t>
  </si>
  <si>
    <t>frawan@gmail.com</t>
  </si>
  <si>
    <t>P021</t>
  </si>
  <si>
    <t>YOUNSSI</t>
  </si>
  <si>
    <t>Mariem</t>
  </si>
  <si>
    <t>P065</t>
  </si>
  <si>
    <t>Suah</t>
  </si>
  <si>
    <t>Calendrier des séances — ligne LC — Compétition</t>
  </si>
  <si>
    <t>Choisissez le créneau : jour, bassin et groupe se remplissent seuls. Le responsable de ligne est déduit de l'onglet Responsables.</t>
  </si>
  <si>
    <t>ID séance</t>
  </si>
  <si>
    <t>Date</t>
  </si>
  <si>
    <t>Créneau</t>
  </si>
  <si>
    <t>Créneau (ID)</t>
  </si>
  <si>
    <t>Groupe</t>
  </si>
  <si>
    <t>Nature</t>
  </si>
  <si>
    <t>Statut</t>
  </si>
  <si>
    <t>Directeur de bassin — début du nom</t>
  </si>
  <si>
    <t>DP (ID)</t>
  </si>
  <si>
    <t>DP — nom</t>
  </si>
  <si>
    <t>DP — prénom</t>
  </si>
  <si>
    <t>Responsable remplaçant — début du nom</t>
  </si>
  <si>
    <t>Responsable (ID)</t>
  </si>
  <si>
    <t>Resp. — nom</t>
  </si>
  <si>
    <t>Resp. — prénom</t>
  </si>
  <si>
    <t>Plan de séance (texte ou lien)</t>
  </si>
  <si>
    <t>Nb de présents</t>
  </si>
  <si>
    <t>Contrôle</t>
  </si>
  <si>
    <t>CR-SAM — samedi 10h30-12h00 · B50 [CR-SAM]</t>
  </si>
  <si>
    <t>planifiée</t>
  </si>
  <si>
    <t>Présences et observations</t>
  </si>
  <si>
    <t>Une ligne par participant présent : l'existence de la ligne vaut présence. Les encadrants sont dans l'onglet Calendrier.</t>
  </si>
  <si>
    <t>Apnéiste — code ou début du nom</t>
  </si>
  <si>
    <t>Apnéiste (ID)</t>
  </si>
  <si>
    <t>Qualité de réalisation</t>
  </si>
  <si>
    <t>Observation de l'encadrant</t>
  </si>
  <si>
    <t>Suivi des objectifs — ligne LC — Compétition</t>
  </si>
  <si>
    <t>Liste construite automatiquement depuis l'onglet Personnes. Saisissez le meilleur nombre de répétitions réussies au cours d'une même séance.</t>
  </si>
  <si>
    <t>OBJECTIFS EN MAÎTRISE</t>
  </si>
  <si>
    <t>OBJECTIFS EN ACQUISITION</t>
  </si>
  <si>
    <t>seuil →</t>
  </si>
  <si>
    <t>Nb rép. L4-M1</t>
  </si>
  <si>
    <t>% L4-M1</t>
  </si>
  <si>
    <t>Nb rép. L4-M2</t>
  </si>
  <si>
    <t>% L4-M2</t>
  </si>
  <si>
    <t>Nb rép. L4-M3</t>
  </si>
  <si>
    <t>% L4-M3</t>
  </si>
  <si>
    <t>Nb rép. L4-M4</t>
  </si>
  <si>
    <t>% L4-M4</t>
  </si>
  <si>
    <t>Nb rép. L4-M5</t>
  </si>
  <si>
    <t>% L4-M5</t>
  </si>
  <si>
    <t>Statut L4-A1</t>
  </si>
  <si>
    <t>Statut L4-A2</t>
  </si>
  <si>
    <t>Statut L4-A3</t>
  </si>
  <si>
    <t>Statut L4-A4</t>
  </si>
  <si>
    <t>Statut L4-A5</t>
  </si>
  <si>
    <t>Mis à jour par</t>
  </si>
  <si>
    <t>le</t>
  </si>
  <si>
    <t>Suivi des compétences — ligne LC — Compétition</t>
  </si>
  <si>
    <t>Liste construite automatiquement. Échelle à quatre paliers ; la ligne « niveau attendu » vient du référentiel.</t>
  </si>
  <si>
    <t>Niveau attendu →</t>
  </si>
  <si>
    <t>Acquises ou expertes</t>
  </si>
  <si>
    <t>Hors niveau attendu</t>
  </si>
  <si>
    <t>Avis des encadrants</t>
  </si>
  <si>
    <t>Tableau apnéistes × encadrants, une colonne par encadrant et deux campagnes. Liste des apnéistes construite automatiquement.</t>
  </si>
  <si>
    <t>Campagne →</t>
  </si>
  <si>
    <t>Campagne 1</t>
  </si>
  <si>
    <t>Campagne 2</t>
  </si>
  <si>
    <t>Encadrant (sélection) →</t>
  </si>
  <si>
    <t>ID →</t>
  </si>
  <si>
    <t>Nom →</t>
  </si>
  <si>
    <t>Prénom →</t>
  </si>
  <si>
    <t>Avis</t>
  </si>
  <si>
    <t>Commentaires</t>
  </si>
  <si>
    <t>Registre des événements de sécurité</t>
  </si>
  <si>
    <t>Tout incident est daté, qualifié et rattaché à une séance. La dernière colonne compte les antécédents de l'apnéiste.</t>
  </si>
  <si>
    <t>Gravité</t>
  </si>
  <si>
    <t>Contexte</t>
  </si>
  <si>
    <t>Suites données</t>
  </si>
  <si>
    <t>Déclaré par — début du nom</t>
  </si>
  <si>
    <t>Déclarant (ID)</t>
  </si>
  <si>
    <t>Déclarant — nom</t>
  </si>
  <si>
    <t>Déclarant — prénom</t>
  </si>
  <si>
    <t>Antécédents</t>
  </si>
  <si>
    <t>Zones de confort et d'inconfort</t>
  </si>
  <si>
    <t>Indicateur du plan d'entraînement : confort de 0-50 m à 0-75 m, inconfort de 50-85 m à 75-90 m en fin de formation.</t>
  </si>
  <si>
    <t>Confort de (m)</t>
  </si>
  <si>
    <t>Confort à (m)</t>
  </si>
  <si>
    <t>Inconfort de (m)</t>
  </si>
  <si>
    <t>Inconfort à (m)</t>
  </si>
  <si>
    <t>Évalué par — début du nom</t>
  </si>
  <si>
    <t>Évaluateur (ID)</t>
  </si>
  <si>
    <t>Évaluateur — nom</t>
  </si>
  <si>
    <t>Évaluateur — prénom</t>
  </si>
  <si>
    <t>Tableau de bord — ligne LC — Compétition</t>
  </si>
  <si>
    <t>Tout est calculé, par une seule méthode, visible et reproductible.</t>
  </si>
  <si>
    <t>Indicateur</t>
  </si>
  <si>
    <t>Séances planifiées non encore tenues</t>
  </si>
  <si>
    <t>Séances annulées ou fermées</t>
  </si>
  <si>
    <t>Séances tenues sans couverture complète</t>
  </si>
  <si>
    <t>Fréquentation moyenne d'une séance tenue</t>
  </si>
  <si>
    <t>Fréquentation la plus faible</t>
  </si>
  <si>
    <t>Fréquentation la plus forte</t>
  </si>
  <si>
    <t>Fréquentation par jour de la semaine</t>
  </si>
  <si>
    <t>Fréquentation moyenne</t>
  </si>
  <si>
    <t>lundi</t>
  </si>
  <si>
    <t>mardi</t>
  </si>
  <si>
    <t>mercredi</t>
  </si>
  <si>
    <t>jeudi</t>
  </si>
  <si>
    <t>vendredi</t>
  </si>
  <si>
    <t>dimanche</t>
  </si>
  <si>
    <t>Validation des objectifs en maîtrise</t>
  </si>
  <si>
    <t>Objectif</t>
  </si>
  <si>
    <t>Ont validé</t>
  </si>
  <si>
    <t>En progression</t>
  </si>
  <si>
    <t>Taux de validation</t>
  </si>
  <si>
    <t>Effectif, saisie et sécurité</t>
  </si>
  <si>
    <t>Apnéistes rattachés à la ligne</t>
  </si>
  <si>
    <t>Participations enregistrées</t>
  </si>
  <si>
    <t>Lignes de présence en anomalie</t>
  </si>
  <si>
    <t>dont invités hors ligne</t>
  </si>
  <si>
    <t>Événements de sécurité déclarés</t>
  </si>
  <si>
    <t>dont graves</t>
  </si>
  <si>
    <t>Personnes triées par prénom</t>
  </si>
  <si>
    <t>Jours</t>
  </si>
  <si>
    <t>Niveaux de compétence</t>
  </si>
  <si>
    <t>Statut d'acquisition</t>
  </si>
  <si>
    <t>Natures de séance</t>
  </si>
  <si>
    <t>Statuts de séance</t>
  </si>
  <si>
    <t>Avis d'encadrant</t>
  </si>
  <si>
    <t>Types d'événement</t>
  </si>
  <si>
    <t>Gravités</t>
  </si>
  <si>
    <t>non acquis</t>
  </si>
  <si>
    <t>non tenté</t>
  </si>
  <si>
    <t>en difficulté</t>
  </si>
  <si>
    <t>ordinaire</t>
  </si>
  <si>
    <t>absentéiste</t>
  </si>
  <si>
    <t>perte de contrôle moteur (PCM)</t>
  </si>
  <si>
    <t>mineur</t>
  </si>
  <si>
    <t>en cours</t>
  </si>
  <si>
    <t>non réussi</t>
  </si>
  <si>
    <t>conforme</t>
  </si>
  <si>
    <t>technique</t>
  </si>
  <si>
    <t>tenue</t>
  </si>
  <si>
    <t>dernier tiers</t>
  </si>
  <si>
    <t>samba</t>
  </si>
  <si>
    <t>significatif</t>
  </si>
  <si>
    <t>réussi</t>
  </si>
  <si>
    <t>à l'aise</t>
  </si>
  <si>
    <t>hypercapnique</t>
  </si>
  <si>
    <t>annulée</t>
  </si>
  <si>
    <t>dans la moyenne</t>
  </si>
  <si>
    <t>syncope</t>
  </si>
  <si>
    <t>grave</t>
  </si>
  <si>
    <t>mixte</t>
  </si>
  <si>
    <t>fermée</t>
  </si>
  <si>
    <t>premier tiers</t>
  </si>
  <si>
    <t>arrêt de séance</t>
  </si>
  <si>
    <t>hypoxique</t>
  </si>
  <si>
    <t>prêt pour le niveau supérieur</t>
  </si>
  <si>
    <t>malaise</t>
  </si>
  <si>
    <t>test maximal</t>
  </si>
  <si>
    <t>barotraumatisme</t>
  </si>
  <si>
    <t>RIFAA</t>
  </si>
  <si>
    <t>autre</t>
  </si>
  <si>
    <t>PSM</t>
  </si>
  <si>
    <t>examen</t>
  </si>
  <si>
    <t>formation</t>
  </si>
  <si>
    <t>tutorat</t>
  </si>
  <si>
    <t>multi-lignes</t>
  </si>
  <si>
    <t>Avis2</t>
  </si>
  <si>
    <t>Avis3</t>
  </si>
  <si>
    <t>Avis4</t>
  </si>
  <si>
    <t>Avis5</t>
  </si>
  <si>
    <t>Avis6</t>
  </si>
  <si>
    <t>Avis7</t>
  </si>
  <si>
    <t>Avis8</t>
  </si>
  <si>
    <t>Avis9</t>
  </si>
  <si>
    <t>Avis10</t>
  </si>
  <si>
    <t>Avis11</t>
  </si>
  <si>
    <t>Avis12</t>
  </si>
  <si>
    <t>Commentaires13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</si>
</sst>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Calibri"/>
      <family val="2"/>
      <scheme val="minor"/>
    </font>
    <font>
      <b/>
      <sz val="16"/>
      <color rgb="FF1F4E5F"/>
      <name val="Arial"/>
      <family val="2"/>
    </font>
    <font>
      <b/>
      <sz val="12"/>
      <color rgb="FF1F4E5F"/>
      <name val="Arial"/>
      <family val="2"/>
    </font>
    <font>
      <sz val="10"/>
      <name val="Arial"/>
      <family val="2"/>
    </font>
    <font>
      <b/>
      <sz val="14"/>
      <color rgb="FF1F4E5F"/>
      <name val="Arial"/>
      <family val="2"/>
    </font>
    <font>
      <i/>
      <sz val="9"/>
      <color rgb="FF808080"/>
      <name val="Arial"/>
      <family val="2"/>
    </font>
    <font>
      <b/>
      <sz val="10"/>
      <color rgb="FFFFFFFF"/>
      <name val="Arial"/>
      <family val="2"/>
    </font>
    <font>
      <i/>
      <sz val="10"/>
      <color rgb="FF31859B"/>
      <name val="Arial"/>
      <family val="2"/>
    </font>
    <font>
      <sz val="10"/>
      <color rgb="FF000000"/>
      <name val="Arial"/>
      <family val="2"/>
    </font>
    <font>
      <b/>
      <sz val="9"/>
      <color rgb="FF1F4E5F"/>
      <name val="Arial"/>
      <family val="2"/>
    </font>
  </fonts>
  <fills count="8">
    <fill>
      <patternFill patternType="none"/>
    </fill>
    <fill>
      <patternFill patternType="gray125"/>
    </fill>
    <fill>
      <patternFill patternType="solid">
        <fgColor rgb="FF1F4E5F"/>
      </patternFill>
    </fill>
    <fill>
      <patternFill patternType="solid">
        <fgColor rgb="FFFFFFFF"/>
      </patternFill>
    </fill>
    <fill>
      <patternFill patternType="solid">
        <fgColor rgb="FFDDEBF7"/>
      </patternFill>
    </fill>
    <fill>
      <patternFill patternType="solid">
        <fgColor rgb="FFEDEDED"/>
      </patternFill>
    </fill>
    <fill>
      <patternFill patternType="solid">
        <fgColor rgb="FFE2EFDA"/>
      </patternFill>
    </fill>
    <fill>
      <patternFill patternType="solid">
        <fgColor rgb="FFD9E7E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0" borderId="0" xfId="0" applyFont="1"/>
    <xf numFmtId="0" fontId="6" fillId="2" borderId="1" xfId="0" applyFont="1" applyFill="1" applyBorder="1" applyAlignment="1">
      <alignment vertical="center" wrapText="1"/>
    </xf>
    <xf numFmtId="0" fontId="3" fillId="3" borderId="1" xfId="0" applyFont="1" applyFill="1" applyBorder="1" applyAlignment="1">
      <alignment vertical="top"/>
    </xf>
    <xf numFmtId="0" fontId="7" fillId="4" borderId="1" xfId="0" applyFont="1" applyFill="1" applyBorder="1" applyAlignment="1">
      <alignment vertical="top"/>
    </xf>
    <xf numFmtId="0" fontId="3" fillId="3" borderId="1" xfId="0" applyFont="1" applyFill="1" applyBorder="1" applyAlignment="1">
      <alignment vertical="top" wrapText="1"/>
    </xf>
    <xf numFmtId="0" fontId="8" fillId="5" borderId="1" xfId="0" applyFont="1" applyFill="1" applyBorder="1" applyAlignment="1">
      <alignment vertical="top"/>
    </xf>
    <xf numFmtId="0" fontId="7" fillId="4" borderId="1" xfId="0" applyFont="1" applyFill="1" applyBorder="1" applyAlignment="1">
      <alignment vertical="top" wrapText="1"/>
    </xf>
    <xf numFmtId="14" fontId="7" fillId="4" borderId="1" xfId="0" applyNumberFormat="1" applyFont="1" applyFill="1" applyBorder="1" applyAlignment="1">
      <alignment vertical="top"/>
    </xf>
    <xf numFmtId="164" fontId="8" fillId="5" borderId="1" xfId="0" applyNumberFormat="1" applyFont="1" applyFill="1" applyBorder="1" applyAlignment="1">
      <alignment vertical="top"/>
    </xf>
    <xf numFmtId="14" fontId="3" fillId="3" borderId="1" xfId="0" applyNumberFormat="1" applyFont="1" applyFill="1" applyBorder="1" applyAlignment="1">
      <alignment vertical="top"/>
    </xf>
    <xf numFmtId="0" fontId="3" fillId="6" borderId="1" xfId="0" applyFont="1" applyFill="1" applyBorder="1" applyAlignment="1">
      <alignment vertical="top"/>
    </xf>
    <xf numFmtId="0" fontId="9" fillId="0" borderId="0" xfId="0" applyFont="1"/>
    <xf numFmtId="0" fontId="9" fillId="0" borderId="0" xfId="0" applyFont="1" applyAlignment="1">
      <alignment wrapText="1"/>
    </xf>
    <xf numFmtId="0" fontId="6" fillId="2" borderId="1" xfId="0" applyFont="1" applyFill="1" applyBorder="1" applyAlignment="1">
      <alignment horizontal="center" vertical="center" wrapText="1"/>
    </xf>
    <xf numFmtId="9" fontId="8" fillId="5" borderId="1" xfId="0" applyNumberFormat="1" applyFont="1" applyFill="1" applyBorder="1" applyAlignment="1">
      <alignment vertical="top"/>
    </xf>
    <xf numFmtId="0" fontId="9" fillId="0" borderId="0" xfId="0" applyFont="1" applyAlignment="1">
      <alignment horizontal="right"/>
    </xf>
    <xf numFmtId="0" fontId="8" fillId="7" borderId="1" xfId="0" applyFont="1" applyFill="1" applyBorder="1" applyAlignment="1">
      <alignment horizontal="center"/>
    </xf>
    <xf numFmtId="0" fontId="3" fillId="6" borderId="1" xfId="0" applyFont="1" applyFill="1" applyBorder="1" applyAlignment="1">
      <alignment horizontal="center"/>
    </xf>
    <xf numFmtId="165" fontId="8" fillId="5" borderId="1" xfId="0" applyNumberFormat="1" applyFont="1" applyFill="1" applyBorder="1" applyAlignment="1">
      <alignment vertical="top"/>
    </xf>
    <xf numFmtId="0" fontId="6" fillId="2" borderId="1" xfId="0" applyFont="1" applyFill="1" applyBorder="1"/>
    <xf numFmtId="0" fontId="6" fillId="2" borderId="0" xfId="0" applyFont="1" applyFill="1"/>
    <xf numFmtId="0" fontId="6"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bjectifs" displayName="Objectifs" ref="A5:G25">
  <autoFilter ref="A5:G25" xr:uid="{00000000-0009-0000-0100-000001000000}"/>
  <tableColumns count="7">
    <tableColumn id="1" xr3:uid="{00000000-0010-0000-0000-000001000000}" name="ID"/>
    <tableColumn id="2" xr3:uid="{00000000-0010-0000-0000-000002000000}" name="Type"/>
    <tableColumn id="3" xr3:uid="{00000000-0010-0000-0000-000003000000}" name="Famille"/>
    <tableColumn id="4" xr3:uid="{00000000-0010-0000-0000-000004000000}" name="Intitulé"/>
    <tableColumn id="5" xr3:uid="{00000000-0010-0000-0000-000005000000}" name="Seuil de répétitions"/>
    <tableColumn id="6" xr3:uid="{00000000-0010-0000-0000-000006000000}" name="Intervalle max entre départs"/>
    <tableColumn id="7" xr3:uid="{00000000-0010-0000-0000-000007000000}" name="Critère de validation"/>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petences" displayName="Competences" ref="A29:D49">
  <autoFilter ref="A29:D49" xr:uid="{00000000-0009-0000-0100-000002000000}"/>
  <tableColumns count="4">
    <tableColumn id="1" xr3:uid="{00000000-0010-0000-0100-000001000000}" name="Code"/>
    <tableColumn id="2" xr3:uid="{00000000-0010-0000-0100-000002000000}" name="Libellé"/>
    <tableColumn id="3" xr3:uid="{00000000-0010-0000-0100-000003000000}" name="Niveau attendu"/>
    <tableColumn id="4" xr3:uid="{00000000-0010-0000-0100-000004000000}" name="Critère observabl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eneaux_Ref" displayName="Creneaux_Ref" ref="A53:J63">
  <autoFilter ref="A53:J63" xr:uid="{00000000-0009-0000-0100-000003000000}"/>
  <tableColumns count="10">
    <tableColumn id="1" xr3:uid="{00000000-0010-0000-0200-000001000000}" name="ID"/>
    <tableColumn id="2" xr3:uid="{00000000-0010-0000-0200-000002000000}" name="Jour"/>
    <tableColumn id="3" xr3:uid="{00000000-0010-0000-0200-000003000000}" name="Heure début"/>
    <tableColumn id="4" xr3:uid="{00000000-0010-0000-0200-000004000000}" name="Heure fin"/>
    <tableColumn id="5" xr3:uid="{00000000-0010-0000-0200-000005000000}" name="Bassin"/>
    <tableColumn id="6" xr3:uid="{00000000-0010-0000-0200-000006000000}" name="Groupe de niveau"/>
    <tableColumn id="7" xr3:uid="{00000000-0010-0000-0200-000007000000}" name="Libellé (calculé)"/>
    <tableColumn id="8" xr3:uid="{00000000-0010-0000-0200-000008000000}" name="Encadrant (ID)"/>
    <tableColumn id="9" xr3:uid="{00000000-0010-0000-0200-000009000000}" name="Encadrant — nom"/>
    <tableColumn id="10" xr3:uid="{00000000-0010-0000-0200-00000A000000}" name="Encadrant — prénom"/>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ponsables" displayName="Responsables" ref="A67:E77">
  <autoFilter ref="A67:E77" xr:uid="{00000000-0009-0000-0100-000004000000}"/>
  <tableColumns count="5">
    <tableColumn id="1" xr3:uid="{00000000-0010-0000-0300-000001000000}" name="Date d'effet"/>
    <tableColumn id="2" xr3:uid="{00000000-0010-0000-0300-000002000000}" name="Personne (ID)"/>
    <tableColumn id="3" xr3:uid="{00000000-0010-0000-0300-000003000000}" name="Nom"/>
    <tableColumn id="4" xr3:uid="{00000000-0010-0000-0300-000004000000}" name="Prénom"/>
    <tableColumn id="5" xr3:uid="{00000000-0010-0000-0300-000005000000}" name="Commentaire"/>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Qualifs_Securite" displayName="Qualifs_Securite" ref="A80:C110">
  <autoFilter ref="A80:C110" xr:uid="{00000000-0009-0000-0100-000005000000}"/>
  <tableColumns count="3">
    <tableColumn id="1" xr3:uid="{00000000-0010-0000-0400-000001000000}" name="Personne (ID)"/>
    <tableColumn id="2" xr3:uid="{00000000-0010-0000-0400-000002000000}" name="Nom"/>
    <tableColumn id="3" xr3:uid="{00000000-0010-0000-0400-000003000000}" name="Prénom"/>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ersonnes" displayName="Personnes" ref="A4:P154">
  <autoFilter ref="A4:P154" xr:uid="{00000000-0009-0000-0100-000006000000}"/>
  <tableColumns count="16">
    <tableColumn id="1" xr3:uid="{00000000-0010-0000-0500-000001000000}" name="Code"/>
    <tableColumn id="2" xr3:uid="{00000000-0010-0000-0500-000002000000}" name="ID"/>
    <tableColumn id="3" xr3:uid="{00000000-0010-0000-0500-000003000000}" name="Nom"/>
    <tableColumn id="4" xr3:uid="{00000000-0010-0000-0500-000004000000}" name="Prénom"/>
    <tableColumn id="5" xr3:uid="{00000000-0010-0000-0500-000005000000}" name="Rôle déclaré"/>
    <tableColumn id="6" xr3:uid="{00000000-0010-0000-0500-000006000000}" name="Groupe(s)"/>
    <tableColumn id="7" xr3:uid="{00000000-0010-0000-0500-000007000000}" name="Objectif de la saison"/>
    <tableColumn id="8" xr3:uid="{00000000-0010-0000-0500-000008000000}" name="Membre de la ligne"/>
    <tableColumn id="9" xr3:uid="{00000000-0010-0000-0500-000009000000}" name="Séances suivies"/>
    <tableColumn id="10" xr3:uid="{00000000-0010-0000-0500-00000A000000}" name="Séances tenues"/>
    <tableColumn id="11" xr3:uid="{00000000-0010-0000-0500-00000B000000}" name="Taux de participation"/>
    <tableColumn id="12" xr3:uid="{00000000-0010-0000-0500-00000C000000}" name="Code élève"/>
    <tableColumn id="13" xr3:uid="{00000000-0010-0000-0500-00000D000000}" name="Code encadrant"/>
    <tableColumn id="14" xr3:uid="{00000000-0010-0000-0500-00000E000000}" name="Libellé (calculé)"/>
    <tableColumn id="15" xr3:uid="{00000000-0010-0000-0500-00000F000000}" name="Rang par prénom (calculé)"/>
    <tableColumn id="16" xr3:uid="{00000000-0010-0000-0500-000010000000}" name="Courriel"/>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alendrier" displayName="Calendrier" ref="A4:U48">
  <autoFilter ref="A4:U48" xr:uid="{00000000-0009-0000-0100-000007000000}"/>
  <tableColumns count="21">
    <tableColumn id="1" xr3:uid="{00000000-0010-0000-0600-000001000000}" name="ID séance"/>
    <tableColumn id="2" xr3:uid="{00000000-0010-0000-0600-000002000000}" name="Date"/>
    <tableColumn id="3" xr3:uid="{00000000-0010-0000-0600-000003000000}" name="Jour"/>
    <tableColumn id="4" xr3:uid="{00000000-0010-0000-0600-000004000000}" name="Créneau"/>
    <tableColumn id="5" xr3:uid="{00000000-0010-0000-0600-000005000000}" name="Créneau (ID)"/>
    <tableColumn id="6" xr3:uid="{00000000-0010-0000-0600-000006000000}" name="Bassin"/>
    <tableColumn id="7" xr3:uid="{00000000-0010-0000-0600-000007000000}" name="Groupe"/>
    <tableColumn id="8" xr3:uid="{00000000-0010-0000-0600-000008000000}" name="Nature"/>
    <tableColumn id="9" xr3:uid="{00000000-0010-0000-0600-000009000000}" name="Statut"/>
    <tableColumn id="10" xr3:uid="{00000000-0010-0000-0600-00000A000000}" name="Directeur de bassin — début du nom"/>
    <tableColumn id="11" xr3:uid="{00000000-0010-0000-0600-00000B000000}" name="DP (ID)"/>
    <tableColumn id="12" xr3:uid="{00000000-0010-0000-0600-00000C000000}" name="DP — nom"/>
    <tableColumn id="13" xr3:uid="{00000000-0010-0000-0600-00000D000000}" name="DP — prénom"/>
    <tableColumn id="14" xr3:uid="{00000000-0010-0000-0600-00000E000000}" name="Responsable remplaçant — début du nom"/>
    <tableColumn id="15" xr3:uid="{00000000-0010-0000-0600-00000F000000}" name="Responsable (ID)"/>
    <tableColumn id="16" xr3:uid="{00000000-0010-0000-0600-000010000000}" name="Resp. — nom"/>
    <tableColumn id="17" xr3:uid="{00000000-0010-0000-0600-000011000000}" name="Resp. — prénom"/>
    <tableColumn id="18" xr3:uid="{00000000-0010-0000-0600-000012000000}" name="Plan de séance (texte ou lien)"/>
    <tableColumn id="19" xr3:uid="{00000000-0010-0000-0600-000013000000}" name="Commentaire"/>
    <tableColumn id="20" xr3:uid="{00000000-0010-0000-0600-000014000000}" name="Nb de présents"/>
    <tableColumn id="21" xr3:uid="{00000000-0010-0000-0600-000015000000}" name="Contrôle"/>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esences" displayName="Presences" ref="A4:H504">
  <autoFilter ref="A4:H504" xr:uid="{00000000-0009-0000-0100-000008000000}"/>
  <tableColumns count="8">
    <tableColumn id="1" xr3:uid="{00000000-0010-0000-0700-000001000000}" name="ID séance"/>
    <tableColumn id="2" xr3:uid="{00000000-0010-0000-0700-000002000000}" name="Apnéiste — code ou début du nom"/>
    <tableColumn id="3" xr3:uid="{00000000-0010-0000-0700-000003000000}" name="Apnéiste (ID)"/>
    <tableColumn id="4" xr3:uid="{00000000-0010-0000-0700-000004000000}" name="Nom"/>
    <tableColumn id="5" xr3:uid="{00000000-0010-0000-0700-000005000000}" name="Prénom"/>
    <tableColumn id="6" xr3:uid="{00000000-0010-0000-0700-000006000000}" name="Qualité de réalisation"/>
    <tableColumn id="7" xr3:uid="{00000000-0010-0000-0700-000007000000}" name="Observation de l'encadrant"/>
    <tableColumn id="8" xr3:uid="{00000000-0010-0000-0700-000008000000}" name="Contrôle"/>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uivi_Objectifs" displayName="Suivi_Objectifs" ref="A7:U107">
  <autoFilter ref="A7:U107" xr:uid="{00000000-0009-0000-0100-000009000000}"/>
  <tableColumns count="21">
    <tableColumn id="1" xr3:uid="{00000000-0010-0000-0800-000001000000}" name="Code"/>
    <tableColumn id="2" xr3:uid="{00000000-0010-0000-0800-000002000000}" name="ID"/>
    <tableColumn id="3" xr3:uid="{00000000-0010-0000-0800-000003000000}" name="Nom"/>
    <tableColumn id="4" xr3:uid="{00000000-0010-0000-0800-000004000000}" name="Prénom"/>
    <tableColumn id="5" xr3:uid="{00000000-0010-0000-0800-000005000000}" name="Nb rép. L4-M1"/>
    <tableColumn id="6" xr3:uid="{00000000-0010-0000-0800-000006000000}" name="% L4-M1"/>
    <tableColumn id="7" xr3:uid="{00000000-0010-0000-0800-000007000000}" name="Nb rép. L4-M2"/>
    <tableColumn id="8" xr3:uid="{00000000-0010-0000-0800-000008000000}" name="% L4-M2"/>
    <tableColumn id="9" xr3:uid="{00000000-0010-0000-0800-000009000000}" name="Nb rép. L4-M3"/>
    <tableColumn id="10" xr3:uid="{00000000-0010-0000-0800-00000A000000}" name="% L4-M3"/>
    <tableColumn id="11" xr3:uid="{00000000-0010-0000-0800-00000B000000}" name="Nb rép. L4-M4"/>
    <tableColumn id="12" xr3:uid="{00000000-0010-0000-0800-00000C000000}" name="% L4-M4"/>
    <tableColumn id="13" xr3:uid="{00000000-0010-0000-0800-00000D000000}" name="Nb rép. L4-M5"/>
    <tableColumn id="14" xr3:uid="{00000000-0010-0000-0800-00000E000000}" name="% L4-M5"/>
    <tableColumn id="15" xr3:uid="{00000000-0010-0000-0800-00000F000000}" name="Statut L4-A1"/>
    <tableColumn id="16" xr3:uid="{00000000-0010-0000-0800-000010000000}" name="Statut L4-A2"/>
    <tableColumn id="17" xr3:uid="{00000000-0010-0000-0800-000011000000}" name="Statut L4-A3"/>
    <tableColumn id="18" xr3:uid="{00000000-0010-0000-0800-000012000000}" name="Statut L4-A4"/>
    <tableColumn id="19" xr3:uid="{00000000-0010-0000-0800-000013000000}" name="Statut L4-A5"/>
    <tableColumn id="20" xr3:uid="{00000000-0010-0000-0800-000014000000}" name="Mis à jour par"/>
    <tableColumn id="21" xr3:uid="{00000000-0010-0000-0800-000015000000}" name="le"/>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uivi_Competences" displayName="Suivi_Competences" ref="A5:P105">
  <autoFilter ref="A5:P105" xr:uid="{00000000-0009-0000-0100-00000A000000}"/>
  <tableColumns count="16">
    <tableColumn id="1" xr3:uid="{00000000-0010-0000-0900-000001000000}" name="Code"/>
    <tableColumn id="2" xr3:uid="{00000000-0010-0000-0900-000002000000}" name="ID"/>
    <tableColumn id="3" xr3:uid="{00000000-0010-0000-0900-000003000000}" name="Nom"/>
    <tableColumn id="4" xr3:uid="{00000000-0010-0000-0900-000004000000}" name="Prénom"/>
    <tableColumn id="5" xr3:uid="{00000000-0010-0000-0900-000005000000}" name="Lestage"/>
    <tableColumn id="6" xr3:uid="{00000000-0010-0000-0900-000006000000}" name="Hydrodynamisme"/>
    <tableColumn id="7" xr3:uid="{00000000-0010-0000-0900-000007000000}" name="Palmage bi-palmes"/>
    <tableColumn id="8" xr3:uid="{00000000-0010-0000-0900-000008000000}" name="Palmage monopalme"/>
    <tableColumn id="9" xr3:uid="{00000000-0010-0000-0900-000009000000}" name="Virage"/>
    <tableColumn id="10" xr3:uid="{00000000-0010-0000-0900-00000A000000}" name="Ventilation"/>
    <tableColumn id="11" xr3:uid="{00000000-0010-0000-0900-00000B000000}" name="Sauvetage"/>
    <tableColumn id="12" xr3:uid="{00000000-0010-0000-0900-00000C000000}" name="Brasse DNF"/>
    <tableColumn id="13" xr3:uid="{00000000-0010-0000-0900-00000D000000}" name="Acquises ou expertes"/>
    <tableColumn id="14" xr3:uid="{00000000-0010-0000-0900-00000E000000}" name="Hors niveau attendu"/>
    <tableColumn id="15" xr3:uid="{00000000-0010-0000-0900-00000F000000}" name="Mis à jour par"/>
    <tableColumn id="16" xr3:uid="{00000000-0010-0000-0900-000010000000}" name="le"/>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Avis_Encadrants" displayName="Avis_Encadrants" ref="A9:R109">
  <autoFilter ref="A9:R109" xr:uid="{00000000-0009-0000-0100-00000B000000}"/>
  <tableColumns count="18">
    <tableColumn id="1" xr3:uid="{00000000-0010-0000-0A00-000001000000}" name="Code"/>
    <tableColumn id="2" xr3:uid="{00000000-0010-0000-0A00-000002000000}" name="ID"/>
    <tableColumn id="3" xr3:uid="{00000000-0010-0000-0A00-000003000000}" name="Nom"/>
    <tableColumn id="4" xr3:uid="{00000000-0010-0000-0A00-000004000000}" name="Prénom"/>
    <tableColumn id="5" xr3:uid="{00000000-0010-0000-0A00-000005000000}" name="Avis"/>
    <tableColumn id="6" xr3:uid="{00000000-0010-0000-0A00-000006000000}" name="Avis2"/>
    <tableColumn id="7" xr3:uid="{00000000-0010-0000-0A00-000007000000}" name="Avis3"/>
    <tableColumn id="8" xr3:uid="{00000000-0010-0000-0A00-000008000000}" name="Avis4"/>
    <tableColumn id="9" xr3:uid="{00000000-0010-0000-0A00-000009000000}" name="Avis5"/>
    <tableColumn id="10" xr3:uid="{00000000-0010-0000-0A00-00000A000000}" name="Avis6"/>
    <tableColumn id="11" xr3:uid="{00000000-0010-0000-0A00-00000B000000}" name="Commentaires"/>
    <tableColumn id="12" xr3:uid="{00000000-0010-0000-0A00-00000C000000}" name="Avis7"/>
    <tableColumn id="13" xr3:uid="{00000000-0010-0000-0A00-00000D000000}" name="Avis8"/>
    <tableColumn id="14" xr3:uid="{00000000-0010-0000-0A00-00000E000000}" name="Avis9"/>
    <tableColumn id="15" xr3:uid="{00000000-0010-0000-0A00-00000F000000}" name="Avis10"/>
    <tableColumn id="16" xr3:uid="{00000000-0010-0000-0A00-000010000000}" name="Avis11"/>
    <tableColumn id="17" xr3:uid="{00000000-0010-0000-0A00-000011000000}" name="Avis12"/>
    <tableColumn id="18" xr3:uid="{00000000-0010-0000-0A00-000012000000}" name="Commentaires13"/>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venements_Securite" displayName="Evenements_Securite" ref="A4:P104">
  <autoFilter ref="A4:P104" xr:uid="{00000000-0009-0000-0100-00000C000000}"/>
  <tableColumns count="16">
    <tableColumn id="1" xr3:uid="{00000000-0010-0000-0B00-000001000000}" name="ID"/>
    <tableColumn id="2" xr3:uid="{00000000-0010-0000-0B00-000002000000}" name="Date"/>
    <tableColumn id="3" xr3:uid="{00000000-0010-0000-0B00-000003000000}" name="ID séance"/>
    <tableColumn id="4" xr3:uid="{00000000-0010-0000-0B00-000004000000}" name="Apnéiste — code ou début du nom"/>
    <tableColumn id="5" xr3:uid="{00000000-0010-0000-0B00-000005000000}" name="Apnéiste (ID)"/>
    <tableColumn id="6" xr3:uid="{00000000-0010-0000-0B00-000006000000}" name="Nom"/>
    <tableColumn id="7" xr3:uid="{00000000-0010-0000-0B00-000007000000}" name="Prénom"/>
    <tableColumn id="8" xr3:uid="{00000000-0010-0000-0B00-000008000000}" name="Type"/>
    <tableColumn id="9" xr3:uid="{00000000-0010-0000-0B00-000009000000}" name="Gravité"/>
    <tableColumn id="10" xr3:uid="{00000000-0010-0000-0B00-00000A000000}" name="Contexte"/>
    <tableColumn id="11" xr3:uid="{00000000-0010-0000-0B00-00000B000000}" name="Suites données"/>
    <tableColumn id="12" xr3:uid="{00000000-0010-0000-0B00-00000C000000}" name="Déclaré par — début du nom"/>
    <tableColumn id="13" xr3:uid="{00000000-0010-0000-0B00-00000D000000}" name="Déclarant (ID)"/>
    <tableColumn id="14" xr3:uid="{00000000-0010-0000-0B00-00000E000000}" name="Déclarant — nom"/>
    <tableColumn id="15" xr3:uid="{00000000-0010-0000-0B00-00000F000000}" name="Déclarant — prénom"/>
    <tableColumn id="16" xr3:uid="{00000000-0010-0000-0B00-000010000000}" name="Antécédents"/>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Zones_Physiologiques" displayName="Zones_Physiologiques" ref="A4:N5">
  <autoFilter ref="A4:N5" xr:uid="{00000000-0009-0000-0100-00000D000000}"/>
  <tableColumns count="14">
    <tableColumn id="1" xr3:uid="{00000000-0010-0000-0C00-000001000000}" name="Apnéiste — code ou début du nom"/>
    <tableColumn id="2" xr3:uid="{00000000-0010-0000-0C00-000002000000}" name="Apnéiste (ID)"/>
    <tableColumn id="3" xr3:uid="{00000000-0010-0000-0C00-000003000000}" name="Nom"/>
    <tableColumn id="4" xr3:uid="{00000000-0010-0000-0C00-000004000000}" name="Prénom"/>
    <tableColumn id="5" xr3:uid="{00000000-0010-0000-0C00-000005000000}" name="Date"/>
    <tableColumn id="6" xr3:uid="{00000000-0010-0000-0C00-000006000000}" name="Confort de (m)"/>
    <tableColumn id="7" xr3:uid="{00000000-0010-0000-0C00-000007000000}" name="Confort à (m)"/>
    <tableColumn id="8" xr3:uid="{00000000-0010-0000-0C00-000008000000}" name="Inconfort de (m)"/>
    <tableColumn id="9" xr3:uid="{00000000-0010-0000-0C00-000009000000}" name="Inconfort à (m)"/>
    <tableColumn id="10" xr3:uid="{00000000-0010-0000-0C00-00000A000000}" name="Évalué par — début du nom"/>
    <tableColumn id="11" xr3:uid="{00000000-0010-0000-0C00-00000B000000}" name="Évaluateur (ID)"/>
    <tableColumn id="12" xr3:uid="{00000000-0010-0000-0C00-00000C000000}" name="Évaluateur — nom"/>
    <tableColumn id="13" xr3:uid="{00000000-0010-0000-0C00-00000D000000}" name="Évaluateur — prénom"/>
    <tableColumn id="14" xr3:uid="{00000000-0010-0000-0C00-00000E000000}" name="Commentaire"/>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election" displayName="Selection" ref="A1:A151">
  <autoFilter ref="A1:A151" xr:uid="{00000000-0009-0000-0100-00000E000000}"/>
  <tableColumns count="1">
    <tableColumn id="1" xr3:uid="{00000000-0010-0000-0D00-000001000000}" name="Personnes triées par prénom"/>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tabSelected="1" workbookViewId="0"/>
  </sheetViews>
  <sheetFormatPr baseColWidth="10" defaultColWidth="8.83203125" defaultRowHeight="15" x14ac:dyDescent="0.2"/>
  <cols>
    <col min="1" max="1" width="4" customWidth="1"/>
    <col min="2" max="2" width="118" customWidth="1"/>
  </cols>
  <sheetData>
    <row r="1" spans="1:2" ht="20" x14ac:dyDescent="0.2">
      <c r="A1" s="1" t="s">
        <v>0</v>
      </c>
    </row>
    <row r="4" spans="1:2" ht="16" x14ac:dyDescent="0.2">
      <c r="B4" s="2" t="s">
        <v>1</v>
      </c>
    </row>
    <row r="5" spans="1:2" ht="28" customHeight="1" x14ac:dyDescent="0.2">
      <c r="B5" s="3" t="s">
        <v>2</v>
      </c>
    </row>
    <row r="6" spans="1:2" ht="28" customHeight="1" x14ac:dyDescent="0.2">
      <c r="B6" s="3" t="s">
        <v>3</v>
      </c>
    </row>
    <row r="8" spans="1:2" ht="16" x14ac:dyDescent="0.2">
      <c r="B8" s="2" t="s">
        <v>4</v>
      </c>
    </row>
    <row r="9" spans="1:2" ht="14" customHeight="1" x14ac:dyDescent="0.2">
      <c r="B9" s="3" t="s">
        <v>5</v>
      </c>
    </row>
    <row r="10" spans="1:2" ht="14" customHeight="1" x14ac:dyDescent="0.2">
      <c r="B10" s="3" t="s">
        <v>6</v>
      </c>
    </row>
    <row r="11" spans="1:2" ht="14" customHeight="1" x14ac:dyDescent="0.2">
      <c r="B11" s="3" t="s">
        <v>7</v>
      </c>
    </row>
    <row r="12" spans="1:2" ht="42" customHeight="1" x14ac:dyDescent="0.2">
      <c r="B12" s="3" t="s">
        <v>8</v>
      </c>
    </row>
    <row r="14" spans="1:2" ht="16" x14ac:dyDescent="0.2">
      <c r="B14" s="2" t="s">
        <v>9</v>
      </c>
    </row>
    <row r="15" spans="1:2" ht="56" customHeight="1" x14ac:dyDescent="0.2">
      <c r="B15" s="3" t="s">
        <v>10</v>
      </c>
    </row>
    <row r="17" spans="2:2" ht="16" x14ac:dyDescent="0.2">
      <c r="B17" s="2" t="s">
        <v>11</v>
      </c>
    </row>
    <row r="18" spans="2:2" ht="56" customHeight="1" x14ac:dyDescent="0.2">
      <c r="B18" s="3" t="s">
        <v>12</v>
      </c>
    </row>
    <row r="20" spans="2:2" ht="16" x14ac:dyDescent="0.2">
      <c r="B20" s="2" t="s">
        <v>13</v>
      </c>
    </row>
    <row r="21" spans="2:2" ht="28" customHeight="1" x14ac:dyDescent="0.2">
      <c r="B21" s="3" t="s">
        <v>14</v>
      </c>
    </row>
    <row r="22" spans="2:2" ht="28" customHeight="1" x14ac:dyDescent="0.2">
      <c r="B22" s="3" t="s">
        <v>15</v>
      </c>
    </row>
    <row r="23" spans="2:2" ht="28" customHeight="1" x14ac:dyDescent="0.2">
      <c r="B23" s="3" t="s">
        <v>16</v>
      </c>
    </row>
    <row r="24" spans="2:2" ht="14" customHeight="1" x14ac:dyDescent="0.2">
      <c r="B24" s="3" t="s">
        <v>17</v>
      </c>
    </row>
    <row r="25" spans="2:2" ht="28" customHeight="1" x14ac:dyDescent="0.2">
      <c r="B25" s="3" t="s">
        <v>18</v>
      </c>
    </row>
    <row r="26" spans="2:2" ht="14" customHeight="1" x14ac:dyDescent="0.2">
      <c r="B26" s="3" t="s">
        <v>19</v>
      </c>
    </row>
    <row r="27" spans="2:2" ht="14" customHeight="1" x14ac:dyDescent="0.2">
      <c r="B27" s="3" t="s">
        <v>20</v>
      </c>
    </row>
    <row r="28" spans="2:2" ht="28" customHeight="1" x14ac:dyDescent="0.2">
      <c r="B28" s="3" t="s">
        <v>21</v>
      </c>
    </row>
    <row r="30" spans="2:2" ht="16" x14ac:dyDescent="0.2">
      <c r="B30" s="2" t="s">
        <v>22</v>
      </c>
    </row>
    <row r="31" spans="2:2" ht="14" customHeight="1" x14ac:dyDescent="0.2">
      <c r="B31" s="3" t="s">
        <v>23</v>
      </c>
    </row>
    <row r="32" spans="2:2" ht="14" customHeight="1" x14ac:dyDescent="0.2">
      <c r="B32" s="3" t="s">
        <v>24</v>
      </c>
    </row>
    <row r="33" spans="2:2" ht="14" customHeight="1" x14ac:dyDescent="0.2">
      <c r="B33" s="3" t="s">
        <v>25</v>
      </c>
    </row>
    <row r="34" spans="2:2" ht="14" customHeight="1" x14ac:dyDescent="0.2">
      <c r="B34" s="3" t="s">
        <v>26</v>
      </c>
    </row>
    <row r="35" spans="2:2" ht="28" customHeight="1" x14ac:dyDescent="0.2">
      <c r="B35" s="3" t="s">
        <v>27</v>
      </c>
    </row>
    <row r="37" spans="2:2" ht="16" x14ac:dyDescent="0.2">
      <c r="B37" s="2" t="s">
        <v>28</v>
      </c>
    </row>
    <row r="38" spans="2:2" ht="14" customHeight="1" x14ac:dyDescent="0.2">
      <c r="B38" s="3"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5F"/>
  </sheetPr>
  <dimension ref="A1:C21"/>
  <sheetViews>
    <sheetView workbookViewId="0"/>
  </sheetViews>
  <sheetFormatPr baseColWidth="10" defaultColWidth="8.83203125" defaultRowHeight="15" x14ac:dyDescent="0.2"/>
  <cols>
    <col min="1" max="1" width="40" customWidth="1"/>
    <col min="2" max="2" width="46" customWidth="1"/>
    <col min="3" max="3" width="60" customWidth="1"/>
  </cols>
  <sheetData>
    <row r="1" spans="1:3" ht="18" x14ac:dyDescent="0.2">
      <c r="A1" s="4" t="s">
        <v>30</v>
      </c>
    </row>
    <row r="2" spans="1:3" x14ac:dyDescent="0.2">
      <c r="A2" s="5" t="s">
        <v>31</v>
      </c>
    </row>
    <row r="4" spans="1:3" ht="32" customHeight="1" x14ac:dyDescent="0.2">
      <c r="A4" s="6" t="s">
        <v>32</v>
      </c>
      <c r="B4" s="6" t="s">
        <v>33</v>
      </c>
      <c r="C4" s="6" t="s">
        <v>34</v>
      </c>
    </row>
    <row r="5" spans="1:3" x14ac:dyDescent="0.2">
      <c r="A5" s="7" t="s">
        <v>35</v>
      </c>
      <c r="B5" s="8" t="s">
        <v>36</v>
      </c>
      <c r="C5" s="9" t="s">
        <v>37</v>
      </c>
    </row>
    <row r="6" spans="1:3" x14ac:dyDescent="0.2">
      <c r="A6" s="7" t="s">
        <v>38</v>
      </c>
      <c r="B6" s="8" t="s">
        <v>39</v>
      </c>
      <c r="C6" s="9"/>
    </row>
    <row r="7" spans="1:3" x14ac:dyDescent="0.2">
      <c r="A7" s="7" t="s">
        <v>40</v>
      </c>
      <c r="B7" s="8" t="s">
        <v>41</v>
      </c>
      <c r="C7" s="9"/>
    </row>
    <row r="8" spans="1:3" x14ac:dyDescent="0.2">
      <c r="A8" s="7" t="s">
        <v>42</v>
      </c>
      <c r="B8" s="8" t="s">
        <v>43</v>
      </c>
      <c r="C8" s="9"/>
    </row>
    <row r="9" spans="1:3" x14ac:dyDescent="0.2">
      <c r="A9" s="7" t="s">
        <v>44</v>
      </c>
      <c r="B9" s="8" t="s">
        <v>45</v>
      </c>
      <c r="C9" s="9" t="s">
        <v>46</v>
      </c>
    </row>
    <row r="10" spans="1:3" x14ac:dyDescent="0.2">
      <c r="A10" s="7" t="s">
        <v>47</v>
      </c>
      <c r="B10" s="8">
        <v>10</v>
      </c>
      <c r="C10" s="9"/>
    </row>
    <row r="11" spans="1:3" x14ac:dyDescent="0.2">
      <c r="A11" s="7" t="s">
        <v>48</v>
      </c>
      <c r="B11" s="8">
        <v>8</v>
      </c>
      <c r="C11" s="9"/>
    </row>
    <row r="12" spans="1:3" ht="28" x14ac:dyDescent="0.2">
      <c r="A12" s="7" t="s">
        <v>49</v>
      </c>
      <c r="B12" s="8">
        <v>97</v>
      </c>
      <c r="C12" s="9" t="s">
        <v>50</v>
      </c>
    </row>
    <row r="13" spans="1:3" x14ac:dyDescent="0.2">
      <c r="A13" s="7" t="s">
        <v>51</v>
      </c>
      <c r="B13" s="8">
        <v>1</v>
      </c>
      <c r="C13" s="9"/>
    </row>
    <row r="14" spans="1:3" x14ac:dyDescent="0.2">
      <c r="A14" s="7" t="s">
        <v>52</v>
      </c>
      <c r="B14" s="8">
        <v>0</v>
      </c>
      <c r="C14" s="9" t="s">
        <v>53</v>
      </c>
    </row>
    <row r="16" spans="1:3" ht="16" x14ac:dyDescent="0.2">
      <c r="A16" s="2" t="s">
        <v>54</v>
      </c>
    </row>
    <row r="17" spans="1:3" ht="28" x14ac:dyDescent="0.2">
      <c r="A17" s="7" t="s">
        <v>55</v>
      </c>
      <c r="B17" s="10">
        <f>COUNTIF(Personnes!$H$5:$H$154,"oui")</f>
        <v>13</v>
      </c>
      <c r="C17" s="9" t="s">
        <v>56</v>
      </c>
    </row>
    <row r="19" spans="1:3" ht="16" x14ac:dyDescent="0.2">
      <c r="A19" s="2" t="s">
        <v>57</v>
      </c>
    </row>
    <row r="20" spans="1:3" ht="56" customHeight="1" x14ac:dyDescent="0.2">
      <c r="A20" s="3" t="s">
        <v>58</v>
      </c>
    </row>
    <row r="21" spans="1:3" ht="42" customHeight="1" x14ac:dyDescent="0.2">
      <c r="A21" s="3" t="s">
        <v>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5F"/>
  </sheetPr>
  <dimension ref="A1:J110"/>
  <sheetViews>
    <sheetView workbookViewId="0">
      <pane ySplit="5" topLeftCell="A6" activePane="bottomLeft" state="frozen"/>
      <selection pane="bottomLeft"/>
    </sheetView>
  </sheetViews>
  <sheetFormatPr baseColWidth="10" defaultColWidth="8.83203125" defaultRowHeight="15" x14ac:dyDescent="0.2"/>
  <cols>
    <col min="1" max="1" width="10" customWidth="1"/>
    <col min="2" max="2" width="12" customWidth="1"/>
    <col min="3" max="3" width="11" customWidth="1"/>
    <col min="4" max="4" width="26" customWidth="1"/>
    <col min="5" max="5" width="12" customWidth="1"/>
    <col min="6" max="6" width="13" customWidth="1"/>
    <col min="7" max="7" width="74" customWidth="1"/>
  </cols>
  <sheetData>
    <row r="1" spans="1:7" ht="18" x14ac:dyDescent="0.2">
      <c r="A1" s="4" t="s">
        <v>60</v>
      </c>
    </row>
    <row r="2" spans="1:7" x14ac:dyDescent="0.2">
      <c r="A2" s="5" t="s">
        <v>61</v>
      </c>
    </row>
    <row r="4" spans="1:7" ht="16" x14ac:dyDescent="0.2">
      <c r="A4" s="2" t="s">
        <v>62</v>
      </c>
    </row>
    <row r="5" spans="1:7" ht="32" customHeight="1" x14ac:dyDescent="0.2">
      <c r="A5" s="6" t="s">
        <v>63</v>
      </c>
      <c r="B5" s="6" t="s">
        <v>64</v>
      </c>
      <c r="C5" s="6" t="s">
        <v>65</v>
      </c>
      <c r="D5" s="6" t="s">
        <v>66</v>
      </c>
      <c r="E5" s="6" t="s">
        <v>67</v>
      </c>
      <c r="F5" s="6" t="s">
        <v>68</v>
      </c>
      <c r="G5" s="6" t="s">
        <v>69</v>
      </c>
    </row>
    <row r="6" spans="1:7" ht="28" x14ac:dyDescent="0.2">
      <c r="A6" s="8" t="s">
        <v>70</v>
      </c>
      <c r="B6" s="8" t="s">
        <v>71</v>
      </c>
      <c r="C6" s="8" t="s">
        <v>72</v>
      </c>
      <c r="D6" s="11" t="s">
        <v>73</v>
      </c>
      <c r="E6" s="8"/>
      <c r="F6" s="8"/>
      <c r="G6" s="11" t="s">
        <v>74</v>
      </c>
    </row>
    <row r="7" spans="1:7" ht="28" x14ac:dyDescent="0.2">
      <c r="A7" s="8" t="s">
        <v>75</v>
      </c>
      <c r="B7" s="8" t="s">
        <v>71</v>
      </c>
      <c r="C7" s="8" t="s">
        <v>76</v>
      </c>
      <c r="D7" s="11" t="s">
        <v>77</v>
      </c>
      <c r="E7" s="8"/>
      <c r="F7" s="8"/>
      <c r="G7" s="11" t="s">
        <v>74</v>
      </c>
    </row>
    <row r="8" spans="1:7" ht="28" x14ac:dyDescent="0.2">
      <c r="A8" s="8" t="s">
        <v>78</v>
      </c>
      <c r="B8" s="8" t="s">
        <v>71</v>
      </c>
      <c r="C8" s="8" t="s">
        <v>79</v>
      </c>
      <c r="D8" s="11" t="s">
        <v>80</v>
      </c>
      <c r="E8" s="8"/>
      <c r="F8" s="8"/>
      <c r="G8" s="11" t="s">
        <v>74</v>
      </c>
    </row>
    <row r="9" spans="1:7" ht="28" x14ac:dyDescent="0.2">
      <c r="A9" s="8" t="s">
        <v>81</v>
      </c>
      <c r="B9" s="8" t="s">
        <v>71</v>
      </c>
      <c r="C9" s="8" t="s">
        <v>82</v>
      </c>
      <c r="D9" s="11" t="s">
        <v>83</v>
      </c>
      <c r="E9" s="8"/>
      <c r="F9" s="8"/>
      <c r="G9" s="11" t="s">
        <v>74</v>
      </c>
    </row>
    <row r="10" spans="1:7" ht="28" x14ac:dyDescent="0.2">
      <c r="A10" s="8" t="s">
        <v>84</v>
      </c>
      <c r="B10" s="8" t="s">
        <v>71</v>
      </c>
      <c r="C10" s="8" t="s">
        <v>85</v>
      </c>
      <c r="D10" s="11" t="s">
        <v>86</v>
      </c>
      <c r="E10" s="8"/>
      <c r="F10" s="8"/>
      <c r="G10" s="11" t="s">
        <v>74</v>
      </c>
    </row>
    <row r="11" spans="1:7" ht="28" x14ac:dyDescent="0.2">
      <c r="A11" s="8" t="s">
        <v>87</v>
      </c>
      <c r="B11" s="8" t="s">
        <v>88</v>
      </c>
      <c r="C11" s="8" t="s">
        <v>72</v>
      </c>
      <c r="D11" s="11" t="s">
        <v>89</v>
      </c>
      <c r="E11" s="8">
        <v>1</v>
      </c>
      <c r="F11" s="8"/>
      <c r="G11" s="11" t="s">
        <v>90</v>
      </c>
    </row>
    <row r="12" spans="1:7" ht="28" x14ac:dyDescent="0.2">
      <c r="A12" s="8" t="s">
        <v>91</v>
      </c>
      <c r="B12" s="8" t="s">
        <v>88</v>
      </c>
      <c r="C12" s="8" t="s">
        <v>76</v>
      </c>
      <c r="D12" s="11" t="s">
        <v>92</v>
      </c>
      <c r="E12" s="8">
        <v>1</v>
      </c>
      <c r="F12" s="8"/>
      <c r="G12" s="11" t="s">
        <v>90</v>
      </c>
    </row>
    <row r="13" spans="1:7" ht="28" x14ac:dyDescent="0.2">
      <c r="A13" s="8" t="s">
        <v>93</v>
      </c>
      <c r="B13" s="8" t="s">
        <v>88</v>
      </c>
      <c r="C13" s="8" t="s">
        <v>79</v>
      </c>
      <c r="D13" s="11" t="s">
        <v>94</v>
      </c>
      <c r="E13" s="8">
        <v>1</v>
      </c>
      <c r="F13" s="8"/>
      <c r="G13" s="11" t="s">
        <v>90</v>
      </c>
    </row>
    <row r="14" spans="1:7" ht="28" x14ac:dyDescent="0.2">
      <c r="A14" s="8" t="s">
        <v>95</v>
      </c>
      <c r="B14" s="8" t="s">
        <v>88</v>
      </c>
      <c r="C14" s="8" t="s">
        <v>82</v>
      </c>
      <c r="D14" s="11" t="s">
        <v>96</v>
      </c>
      <c r="E14" s="8">
        <v>1</v>
      </c>
      <c r="F14" s="8"/>
      <c r="G14" s="11" t="s">
        <v>90</v>
      </c>
    </row>
    <row r="15" spans="1:7" ht="28" x14ac:dyDescent="0.2">
      <c r="A15" s="8" t="s">
        <v>97</v>
      </c>
      <c r="B15" s="8" t="s">
        <v>88</v>
      </c>
      <c r="C15" s="8" t="s">
        <v>85</v>
      </c>
      <c r="D15" s="11" t="s">
        <v>98</v>
      </c>
      <c r="E15" s="8">
        <v>1</v>
      </c>
      <c r="F15" s="8"/>
      <c r="G15" s="11" t="s">
        <v>90</v>
      </c>
    </row>
    <row r="16" spans="1:7" x14ac:dyDescent="0.2">
      <c r="A16" s="8"/>
      <c r="B16" s="8"/>
      <c r="C16" s="8"/>
      <c r="D16" s="11"/>
      <c r="E16" s="8"/>
      <c r="F16" s="8"/>
      <c r="G16" s="11"/>
    </row>
    <row r="17" spans="1:7" x14ac:dyDescent="0.2">
      <c r="A17" s="8"/>
      <c r="B17" s="8"/>
      <c r="C17" s="8"/>
      <c r="D17" s="11"/>
      <c r="E17" s="8"/>
      <c r="F17" s="8"/>
      <c r="G17" s="11"/>
    </row>
    <row r="18" spans="1:7" x14ac:dyDescent="0.2">
      <c r="A18" s="8"/>
      <c r="B18" s="8"/>
      <c r="C18" s="8"/>
      <c r="D18" s="11"/>
      <c r="E18" s="8"/>
      <c r="F18" s="8"/>
      <c r="G18" s="11"/>
    </row>
    <row r="19" spans="1:7" x14ac:dyDescent="0.2">
      <c r="A19" s="8"/>
      <c r="B19" s="8"/>
      <c r="C19" s="8"/>
      <c r="D19" s="11"/>
      <c r="E19" s="8"/>
      <c r="F19" s="8"/>
      <c r="G19" s="11"/>
    </row>
    <row r="20" spans="1:7" x14ac:dyDescent="0.2">
      <c r="A20" s="8"/>
      <c r="B20" s="8"/>
      <c r="C20" s="8"/>
      <c r="D20" s="11"/>
      <c r="E20" s="8"/>
      <c r="F20" s="8"/>
      <c r="G20" s="11"/>
    </row>
    <row r="21" spans="1:7" x14ac:dyDescent="0.2">
      <c r="A21" s="8"/>
      <c r="B21" s="8"/>
      <c r="C21" s="8"/>
      <c r="D21" s="11"/>
      <c r="E21" s="8"/>
      <c r="F21" s="8"/>
      <c r="G21" s="11"/>
    </row>
    <row r="22" spans="1:7" x14ac:dyDescent="0.2">
      <c r="A22" s="8"/>
      <c r="B22" s="8"/>
      <c r="C22" s="8"/>
      <c r="D22" s="11"/>
      <c r="E22" s="8"/>
      <c r="F22" s="8"/>
      <c r="G22" s="11"/>
    </row>
    <row r="23" spans="1:7" x14ac:dyDescent="0.2">
      <c r="A23" s="8"/>
      <c r="B23" s="8"/>
      <c r="C23" s="8"/>
      <c r="D23" s="11"/>
      <c r="E23" s="8"/>
      <c r="F23" s="8"/>
      <c r="G23" s="11"/>
    </row>
    <row r="24" spans="1:7" x14ac:dyDescent="0.2">
      <c r="A24" s="8"/>
      <c r="B24" s="8"/>
      <c r="C24" s="8"/>
      <c r="D24" s="11"/>
      <c r="E24" s="8"/>
      <c r="F24" s="8"/>
      <c r="G24" s="11"/>
    </row>
    <row r="25" spans="1:7" x14ac:dyDescent="0.2">
      <c r="A25" s="8"/>
      <c r="B25" s="8"/>
      <c r="C25" s="8"/>
      <c r="D25" s="11"/>
      <c r="E25" s="8"/>
      <c r="F25" s="8"/>
      <c r="G25" s="11"/>
    </row>
    <row r="28" spans="1:7" ht="16" x14ac:dyDescent="0.2">
      <c r="A28" s="2" t="s">
        <v>99</v>
      </c>
    </row>
    <row r="29" spans="1:7" ht="32" customHeight="1" x14ac:dyDescent="0.2">
      <c r="A29" s="6" t="s">
        <v>100</v>
      </c>
      <c r="B29" s="6" t="s">
        <v>101</v>
      </c>
      <c r="C29" s="6" t="s">
        <v>102</v>
      </c>
      <c r="D29" s="6" t="s">
        <v>103</v>
      </c>
    </row>
    <row r="30" spans="1:7" ht="56" x14ac:dyDescent="0.2">
      <c r="A30" s="8" t="s">
        <v>104</v>
      </c>
      <c r="B30" s="8" t="s">
        <v>105</v>
      </c>
      <c r="C30" s="8" t="s">
        <v>106</v>
      </c>
      <c r="D30" s="11" t="s">
        <v>107</v>
      </c>
    </row>
    <row r="31" spans="1:7" ht="42" x14ac:dyDescent="0.2">
      <c r="A31" s="8" t="s">
        <v>108</v>
      </c>
      <c r="B31" s="8" t="s">
        <v>109</v>
      </c>
      <c r="C31" s="8" t="s">
        <v>106</v>
      </c>
      <c r="D31" s="11" t="s">
        <v>110</v>
      </c>
    </row>
    <row r="32" spans="1:7" ht="42" x14ac:dyDescent="0.2">
      <c r="A32" s="8" t="s">
        <v>111</v>
      </c>
      <c r="B32" s="8" t="s">
        <v>112</v>
      </c>
      <c r="C32" s="8" t="s">
        <v>106</v>
      </c>
      <c r="D32" s="11" t="s">
        <v>113</v>
      </c>
    </row>
    <row r="33" spans="1:4" ht="42" x14ac:dyDescent="0.2">
      <c r="A33" s="8" t="s">
        <v>114</v>
      </c>
      <c r="B33" s="8" t="s">
        <v>115</v>
      </c>
      <c r="C33" s="8" t="s">
        <v>116</v>
      </c>
      <c r="D33" s="11" t="s">
        <v>117</v>
      </c>
    </row>
    <row r="34" spans="1:4" ht="56" x14ac:dyDescent="0.2">
      <c r="A34" s="8" t="s">
        <v>118</v>
      </c>
      <c r="B34" s="8" t="s">
        <v>119</v>
      </c>
      <c r="C34" s="8" t="s">
        <v>106</v>
      </c>
      <c r="D34" s="11" t="s">
        <v>120</v>
      </c>
    </row>
    <row r="35" spans="1:4" ht="84" x14ac:dyDescent="0.2">
      <c r="A35" s="8" t="s">
        <v>121</v>
      </c>
      <c r="B35" s="8" t="s">
        <v>122</v>
      </c>
      <c r="C35" s="8" t="s">
        <v>106</v>
      </c>
      <c r="D35" s="11" t="s">
        <v>123</v>
      </c>
    </row>
    <row r="36" spans="1:4" ht="56" x14ac:dyDescent="0.2">
      <c r="A36" s="8" t="s">
        <v>124</v>
      </c>
      <c r="B36" s="8" t="s">
        <v>125</v>
      </c>
      <c r="C36" s="8" t="s">
        <v>106</v>
      </c>
      <c r="D36" s="11" t="s">
        <v>126</v>
      </c>
    </row>
    <row r="37" spans="1:4" ht="42" x14ac:dyDescent="0.2">
      <c r="A37" s="8" t="s">
        <v>85</v>
      </c>
      <c r="B37" s="8" t="s">
        <v>127</v>
      </c>
      <c r="C37" s="8" t="s">
        <v>106</v>
      </c>
      <c r="D37" s="11" t="s">
        <v>128</v>
      </c>
    </row>
    <row r="38" spans="1:4" x14ac:dyDescent="0.2">
      <c r="A38" s="8"/>
      <c r="B38" s="8"/>
      <c r="C38" s="8"/>
      <c r="D38" s="11"/>
    </row>
    <row r="39" spans="1:4" x14ac:dyDescent="0.2">
      <c r="A39" s="8"/>
      <c r="B39" s="8"/>
      <c r="C39" s="8"/>
      <c r="D39" s="11"/>
    </row>
    <row r="40" spans="1:4" x14ac:dyDescent="0.2">
      <c r="A40" s="8"/>
      <c r="B40" s="8"/>
      <c r="C40" s="8"/>
      <c r="D40" s="11"/>
    </row>
    <row r="41" spans="1:4" x14ac:dyDescent="0.2">
      <c r="A41" s="8"/>
      <c r="B41" s="8"/>
      <c r="C41" s="8"/>
      <c r="D41" s="11"/>
    </row>
    <row r="42" spans="1:4" x14ac:dyDescent="0.2">
      <c r="A42" s="8"/>
      <c r="B42" s="8"/>
      <c r="C42" s="8"/>
      <c r="D42" s="11"/>
    </row>
    <row r="43" spans="1:4" x14ac:dyDescent="0.2">
      <c r="A43" s="8"/>
      <c r="B43" s="8"/>
      <c r="C43" s="8"/>
      <c r="D43" s="11"/>
    </row>
    <row r="44" spans="1:4" x14ac:dyDescent="0.2">
      <c r="A44" s="8"/>
      <c r="B44" s="8"/>
      <c r="C44" s="8"/>
      <c r="D44" s="11"/>
    </row>
    <row r="45" spans="1:4" x14ac:dyDescent="0.2">
      <c r="A45" s="8"/>
      <c r="B45" s="8"/>
      <c r="C45" s="8"/>
      <c r="D45" s="11"/>
    </row>
    <row r="46" spans="1:4" x14ac:dyDescent="0.2">
      <c r="A46" s="8"/>
      <c r="B46" s="8"/>
      <c r="C46" s="8"/>
      <c r="D46" s="11"/>
    </row>
    <row r="47" spans="1:4" x14ac:dyDescent="0.2">
      <c r="A47" s="8"/>
      <c r="B47" s="8"/>
      <c r="C47" s="8"/>
      <c r="D47" s="11"/>
    </row>
    <row r="48" spans="1:4" x14ac:dyDescent="0.2">
      <c r="A48" s="8"/>
      <c r="B48" s="8"/>
      <c r="C48" s="8"/>
      <c r="D48" s="11"/>
    </row>
    <row r="49" spans="1:10" x14ac:dyDescent="0.2">
      <c r="A49" s="8"/>
      <c r="B49" s="8"/>
      <c r="C49" s="8"/>
      <c r="D49" s="11"/>
    </row>
    <row r="52" spans="1:10" ht="16" x14ac:dyDescent="0.2">
      <c r="A52" s="2" t="s">
        <v>129</v>
      </c>
    </row>
    <row r="53" spans="1:10" ht="42" x14ac:dyDescent="0.2">
      <c r="A53" s="6" t="s">
        <v>63</v>
      </c>
      <c r="B53" s="6" t="s">
        <v>130</v>
      </c>
      <c r="C53" s="6" t="s">
        <v>131</v>
      </c>
      <c r="D53" s="6" t="s">
        <v>132</v>
      </c>
      <c r="E53" s="6" t="s">
        <v>133</v>
      </c>
      <c r="F53" s="6" t="s">
        <v>134</v>
      </c>
      <c r="G53" s="6" t="s">
        <v>135</v>
      </c>
      <c r="H53" s="6" t="s">
        <v>136</v>
      </c>
      <c r="I53" s="6" t="s">
        <v>137</v>
      </c>
      <c r="J53" s="6" t="s">
        <v>138</v>
      </c>
    </row>
    <row r="54" spans="1:10" x14ac:dyDescent="0.2">
      <c r="A54" s="8" t="s">
        <v>139</v>
      </c>
      <c r="B54" s="8" t="s">
        <v>140</v>
      </c>
      <c r="C54" s="8" t="s">
        <v>141</v>
      </c>
      <c r="D54" s="8" t="s">
        <v>142</v>
      </c>
      <c r="E54" s="8" t="s">
        <v>143</v>
      </c>
      <c r="F54" s="8" t="s">
        <v>36</v>
      </c>
      <c r="G54" s="10"/>
      <c r="H54" s="8" t="s">
        <v>144</v>
      </c>
      <c r="I54" s="8" t="s">
        <v>145</v>
      </c>
      <c r="J54" t="s">
        <v>146</v>
      </c>
    </row>
    <row r="55" spans="1:10" x14ac:dyDescent="0.2">
      <c r="A55" s="8"/>
      <c r="B55" s="8"/>
      <c r="C55" s="8"/>
      <c r="D55" s="8"/>
      <c r="E55" s="8"/>
      <c r="F55" s="8"/>
      <c r="G55" s="10"/>
      <c r="H55" s="8"/>
      <c r="I55" s="8"/>
    </row>
    <row r="56" spans="1:10" x14ac:dyDescent="0.2">
      <c r="A56" s="8"/>
      <c r="B56" s="8"/>
      <c r="C56" s="8"/>
      <c r="D56" s="8"/>
      <c r="E56" s="8"/>
      <c r="F56" s="8"/>
      <c r="G56" s="10"/>
      <c r="H56" s="8"/>
      <c r="I56" s="8"/>
    </row>
    <row r="57" spans="1:10" x14ac:dyDescent="0.2">
      <c r="A57" s="8"/>
      <c r="B57" s="8"/>
      <c r="C57" s="8"/>
      <c r="D57" s="8"/>
      <c r="E57" s="8"/>
      <c r="F57" s="8"/>
      <c r="G57" s="10"/>
      <c r="H57" s="8"/>
      <c r="I57" s="8"/>
    </row>
    <row r="58" spans="1:10" x14ac:dyDescent="0.2">
      <c r="A58" s="8"/>
      <c r="B58" s="8"/>
      <c r="C58" s="8"/>
      <c r="D58" s="8"/>
      <c r="E58" s="8"/>
      <c r="F58" s="8"/>
      <c r="G58" s="10"/>
      <c r="H58" s="8"/>
      <c r="I58" s="8"/>
    </row>
    <row r="59" spans="1:10" x14ac:dyDescent="0.2">
      <c r="A59" s="8"/>
      <c r="B59" s="8"/>
      <c r="C59" s="8"/>
      <c r="D59" s="8"/>
      <c r="E59" s="8"/>
      <c r="F59" s="8"/>
      <c r="G59" s="10"/>
      <c r="H59" s="8"/>
      <c r="I59" s="8"/>
    </row>
    <row r="60" spans="1:10" x14ac:dyDescent="0.2">
      <c r="A60" s="8"/>
      <c r="B60" s="8"/>
      <c r="C60" s="8"/>
      <c r="D60" s="8"/>
      <c r="E60" s="8"/>
      <c r="F60" s="8"/>
      <c r="G60" s="10"/>
      <c r="H60" s="8"/>
      <c r="I60" s="8"/>
    </row>
    <row r="61" spans="1:10" x14ac:dyDescent="0.2">
      <c r="A61" s="8"/>
      <c r="B61" s="8"/>
      <c r="C61" s="8"/>
      <c r="D61" s="8"/>
      <c r="E61" s="8"/>
      <c r="F61" s="8"/>
      <c r="G61" s="10"/>
      <c r="H61" s="8"/>
      <c r="I61" s="8"/>
    </row>
    <row r="62" spans="1:10" x14ac:dyDescent="0.2">
      <c r="A62" s="8"/>
      <c r="B62" s="8"/>
      <c r="C62" s="8"/>
      <c r="D62" s="8"/>
      <c r="E62" s="8"/>
      <c r="F62" s="8"/>
      <c r="G62" s="10"/>
      <c r="H62" s="8"/>
      <c r="I62" s="8"/>
    </row>
    <row r="63" spans="1:10" x14ac:dyDescent="0.2">
      <c r="A63" s="8"/>
      <c r="B63" s="8"/>
      <c r="C63" s="8"/>
      <c r="D63" s="8"/>
      <c r="E63" s="8"/>
      <c r="F63" s="8"/>
      <c r="G63" s="10"/>
      <c r="H63" s="8"/>
      <c r="I63" s="8"/>
    </row>
    <row r="66" spans="1:5" ht="16" x14ac:dyDescent="0.2">
      <c r="A66" s="2" t="s">
        <v>147</v>
      </c>
    </row>
    <row r="67" spans="1:5" ht="28" x14ac:dyDescent="0.2">
      <c r="A67" s="6" t="s">
        <v>148</v>
      </c>
      <c r="B67" s="6" t="s">
        <v>149</v>
      </c>
      <c r="C67" s="6" t="s">
        <v>150</v>
      </c>
      <c r="D67" s="6" t="s">
        <v>151</v>
      </c>
      <c r="E67" s="6" t="s">
        <v>152</v>
      </c>
    </row>
    <row r="68" spans="1:5" x14ac:dyDescent="0.2">
      <c r="A68" s="12"/>
      <c r="B68" s="8"/>
      <c r="C68" s="8"/>
      <c r="D68" s="8"/>
      <c r="E68" s="11"/>
    </row>
    <row r="69" spans="1:5" x14ac:dyDescent="0.2">
      <c r="A69" s="12"/>
      <c r="B69" s="8"/>
      <c r="C69" s="8"/>
      <c r="D69" s="8"/>
      <c r="E69" s="11"/>
    </row>
    <row r="70" spans="1:5" x14ac:dyDescent="0.2">
      <c r="A70" s="12"/>
      <c r="B70" s="8"/>
      <c r="C70" s="8"/>
      <c r="D70" s="8"/>
      <c r="E70" s="11"/>
    </row>
    <row r="71" spans="1:5" x14ac:dyDescent="0.2">
      <c r="A71" s="12"/>
      <c r="B71" s="8"/>
      <c r="C71" s="8"/>
      <c r="D71" s="8"/>
      <c r="E71" s="11"/>
    </row>
    <row r="72" spans="1:5" x14ac:dyDescent="0.2">
      <c r="A72" s="12"/>
      <c r="B72" s="8"/>
      <c r="C72" s="8"/>
      <c r="D72" s="8"/>
      <c r="E72" s="11"/>
    </row>
    <row r="73" spans="1:5" x14ac:dyDescent="0.2">
      <c r="A73" s="12"/>
      <c r="B73" s="8"/>
      <c r="C73" s="8"/>
      <c r="D73" s="8"/>
      <c r="E73" s="11"/>
    </row>
    <row r="74" spans="1:5" x14ac:dyDescent="0.2">
      <c r="A74" s="12"/>
      <c r="B74" s="8"/>
      <c r="C74" s="8"/>
      <c r="D74" s="8"/>
      <c r="E74" s="11"/>
    </row>
    <row r="75" spans="1:5" x14ac:dyDescent="0.2">
      <c r="A75" s="12"/>
      <c r="B75" s="8"/>
      <c r="C75" s="8"/>
      <c r="D75" s="8"/>
      <c r="E75" s="11"/>
    </row>
    <row r="76" spans="1:5" x14ac:dyDescent="0.2">
      <c r="A76" s="12"/>
      <c r="B76" s="8"/>
      <c r="C76" s="8"/>
      <c r="D76" s="8"/>
      <c r="E76" s="11"/>
    </row>
    <row r="77" spans="1:5" x14ac:dyDescent="0.2">
      <c r="A77" s="12"/>
      <c r="B77" s="8"/>
      <c r="C77" s="8"/>
      <c r="D77" s="8"/>
      <c r="E77" s="11"/>
    </row>
    <row r="79" spans="1:5" ht="16" x14ac:dyDescent="0.2">
      <c r="A79" s="2" t="s">
        <v>153</v>
      </c>
    </row>
    <row r="80" spans="1:5" ht="28" x14ac:dyDescent="0.2">
      <c r="A80" s="6" t="s">
        <v>149</v>
      </c>
      <c r="B80" s="6" t="s">
        <v>150</v>
      </c>
      <c r="C80" s="6" t="s">
        <v>151</v>
      </c>
    </row>
    <row r="81" spans="1:3" x14ac:dyDescent="0.2">
      <c r="A81" s="8"/>
      <c r="B81" s="8"/>
      <c r="C81" s="8"/>
    </row>
    <row r="82" spans="1:3" x14ac:dyDescent="0.2">
      <c r="A82" s="8"/>
      <c r="B82" s="8"/>
      <c r="C82" s="8"/>
    </row>
    <row r="83" spans="1:3" x14ac:dyDescent="0.2">
      <c r="A83" s="8"/>
      <c r="B83" s="8"/>
      <c r="C83" s="8"/>
    </row>
    <row r="84" spans="1:3" x14ac:dyDescent="0.2">
      <c r="A84" s="8"/>
      <c r="B84" s="8"/>
      <c r="C84" s="8"/>
    </row>
    <row r="85" spans="1:3" x14ac:dyDescent="0.2">
      <c r="A85" s="8"/>
      <c r="B85" s="8"/>
      <c r="C85" s="8"/>
    </row>
    <row r="86" spans="1:3" x14ac:dyDescent="0.2">
      <c r="A86" s="8"/>
      <c r="B86" s="8"/>
      <c r="C86" s="8"/>
    </row>
    <row r="87" spans="1:3" x14ac:dyDescent="0.2">
      <c r="A87" s="8"/>
      <c r="B87" s="8"/>
      <c r="C87" s="8"/>
    </row>
    <row r="88" spans="1:3" x14ac:dyDescent="0.2">
      <c r="A88" s="8"/>
      <c r="B88" s="8"/>
      <c r="C88" s="8"/>
    </row>
    <row r="89" spans="1:3" x14ac:dyDescent="0.2">
      <c r="A89" s="8"/>
      <c r="B89" s="8"/>
      <c r="C89" s="8"/>
    </row>
    <row r="90" spans="1:3" x14ac:dyDescent="0.2">
      <c r="A90" s="8"/>
      <c r="B90" s="8"/>
      <c r="C90" s="8"/>
    </row>
    <row r="91" spans="1:3" x14ac:dyDescent="0.2">
      <c r="A91" s="8"/>
      <c r="B91" s="8"/>
      <c r="C91" s="8"/>
    </row>
    <row r="92" spans="1:3" x14ac:dyDescent="0.2">
      <c r="A92" s="8"/>
      <c r="B92" s="8"/>
      <c r="C92" s="8"/>
    </row>
    <row r="93" spans="1:3" x14ac:dyDescent="0.2">
      <c r="A93" s="8"/>
      <c r="B93" s="8"/>
      <c r="C93" s="8"/>
    </row>
    <row r="94" spans="1:3" x14ac:dyDescent="0.2">
      <c r="A94" s="8"/>
      <c r="B94" s="8"/>
      <c r="C94" s="8"/>
    </row>
    <row r="95" spans="1:3" x14ac:dyDescent="0.2">
      <c r="A95" s="8"/>
      <c r="B95" s="8"/>
      <c r="C95" s="8"/>
    </row>
    <row r="96" spans="1:3" x14ac:dyDescent="0.2">
      <c r="A96" s="8"/>
      <c r="B96" s="8"/>
      <c r="C96" s="8"/>
    </row>
    <row r="97" spans="1:3" x14ac:dyDescent="0.2">
      <c r="A97" s="8"/>
      <c r="B97" s="8"/>
      <c r="C97" s="8"/>
    </row>
    <row r="98" spans="1:3" x14ac:dyDescent="0.2">
      <c r="A98" s="8"/>
      <c r="B98" s="8"/>
      <c r="C98" s="8"/>
    </row>
    <row r="99" spans="1:3" x14ac:dyDescent="0.2">
      <c r="A99" s="8"/>
      <c r="B99" s="8"/>
      <c r="C99" s="8"/>
    </row>
    <row r="100" spans="1:3" x14ac:dyDescent="0.2">
      <c r="A100" s="8"/>
      <c r="B100" s="8"/>
      <c r="C100" s="8"/>
    </row>
    <row r="101" spans="1:3" x14ac:dyDescent="0.2">
      <c r="A101" s="8"/>
      <c r="B101" s="8"/>
      <c r="C101" s="8"/>
    </row>
    <row r="102" spans="1:3" x14ac:dyDescent="0.2">
      <c r="A102" s="8"/>
      <c r="B102" s="8"/>
      <c r="C102" s="8"/>
    </row>
    <row r="103" spans="1:3" x14ac:dyDescent="0.2">
      <c r="A103" s="8"/>
      <c r="B103" s="8"/>
      <c r="C103" s="8"/>
    </row>
    <row r="104" spans="1:3" x14ac:dyDescent="0.2">
      <c r="A104" s="8"/>
      <c r="B104" s="8"/>
      <c r="C104" s="8"/>
    </row>
    <row r="105" spans="1:3" x14ac:dyDescent="0.2">
      <c r="A105" s="8"/>
      <c r="B105" s="8"/>
      <c r="C105" s="8"/>
    </row>
    <row r="106" spans="1:3" x14ac:dyDescent="0.2">
      <c r="A106" s="8"/>
      <c r="B106" s="8"/>
      <c r="C106" s="8"/>
    </row>
    <row r="107" spans="1:3" x14ac:dyDescent="0.2">
      <c r="A107" s="8"/>
      <c r="B107" s="8"/>
      <c r="C107" s="8"/>
    </row>
    <row r="108" spans="1:3" x14ac:dyDescent="0.2">
      <c r="A108" s="8"/>
      <c r="B108" s="8"/>
      <c r="C108" s="8"/>
    </row>
    <row r="109" spans="1:3" x14ac:dyDescent="0.2">
      <c r="A109" s="8"/>
      <c r="B109" s="8"/>
      <c r="C109" s="8"/>
    </row>
    <row r="110" spans="1:3" x14ac:dyDescent="0.2">
      <c r="A110" s="8"/>
      <c r="B110" s="8"/>
      <c r="C110" s="8"/>
    </row>
  </sheetData>
  <pageMargins left="0.75" right="0.75" top="1" bottom="1" header="0.5" footer="0.5"/>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5F"/>
  </sheetPr>
  <dimension ref="A1:P154"/>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8" customWidth="1"/>
    <col min="2" max="2" width="10" customWidth="1"/>
    <col min="3" max="3" width="22" customWidth="1"/>
    <col min="4" max="4" width="16" customWidth="1"/>
    <col min="5" max="5" width="18" customWidth="1"/>
    <col min="6" max="6" width="14" customWidth="1"/>
    <col min="7" max="7" width="38" customWidth="1"/>
    <col min="8" max="8" width="12" customWidth="1"/>
    <col min="9" max="10" width="11" customWidth="1"/>
    <col min="11" max="11" width="12" customWidth="1"/>
    <col min="12" max="12" width="10" customWidth="1"/>
    <col min="13" max="13" width="12" customWidth="1"/>
    <col min="14" max="14" width="34" customWidth="1"/>
    <col min="15" max="15" width="12" customWidth="1"/>
    <col min="16" max="16" width="30" customWidth="1"/>
  </cols>
  <sheetData>
    <row r="1" spans="1:16" ht="18" x14ac:dyDescent="0.2">
      <c r="A1" s="4" t="s">
        <v>154</v>
      </c>
    </row>
    <row r="2" spans="1:16" x14ac:dyDescent="0.2">
      <c r="A2" s="5" t="s">
        <v>155</v>
      </c>
    </row>
    <row r="4" spans="1:16" ht="32" customHeight="1" x14ac:dyDescent="0.2">
      <c r="A4" s="6" t="s">
        <v>100</v>
      </c>
      <c r="B4" s="6" t="s">
        <v>63</v>
      </c>
      <c r="C4" s="6" t="s">
        <v>150</v>
      </c>
      <c r="D4" s="6" t="s">
        <v>151</v>
      </c>
      <c r="E4" s="6" t="s">
        <v>156</v>
      </c>
      <c r="F4" s="6" t="s">
        <v>157</v>
      </c>
      <c r="G4" s="6" t="s">
        <v>158</v>
      </c>
      <c r="H4" s="6" t="s">
        <v>159</v>
      </c>
      <c r="I4" s="6" t="s">
        <v>160</v>
      </c>
      <c r="J4" s="6" t="s">
        <v>161</v>
      </c>
      <c r="K4" s="6" t="s">
        <v>162</v>
      </c>
      <c r="L4" s="6" t="s">
        <v>163</v>
      </c>
      <c r="M4" s="6" t="s">
        <v>164</v>
      </c>
      <c r="N4" s="6" t="s">
        <v>135</v>
      </c>
      <c r="O4" s="6" t="s">
        <v>165</v>
      </c>
      <c r="P4" s="6" t="s">
        <v>166</v>
      </c>
    </row>
    <row r="5" spans="1:16" x14ac:dyDescent="0.2">
      <c r="A5" s="10">
        <f>IF($H5="","",COUNTIF($H$5:$H5,"oui"))</f>
        <v>1</v>
      </c>
      <c r="B5" s="8" t="s">
        <v>167</v>
      </c>
      <c r="C5" s="8" t="s">
        <v>168</v>
      </c>
      <c r="D5" s="8" t="s">
        <v>169</v>
      </c>
      <c r="E5" s="8" t="s">
        <v>170</v>
      </c>
      <c r="F5" s="8" t="s">
        <v>171</v>
      </c>
      <c r="G5" s="11"/>
      <c r="H5" s="10" t="str">
        <f t="shared" ref="H5:H36" si="0">IF($B5="","",IF(ISNUMBER(SEARCH("/LC/","/"&amp;SUBSTITUTE($F5," / ","/")&amp;"/")),"oui",""))</f>
        <v>oui</v>
      </c>
      <c r="I5" s="10">
        <f>IF($H5="","",COUNTIF(Presences!$C$5:$C$504,$B5))</f>
        <v>0</v>
      </c>
      <c r="J5" s="10">
        <f>IF($H5="","",Tableau_de_bord!$B$5)</f>
        <v>0</v>
      </c>
      <c r="K5" s="13" t="str">
        <f t="shared" ref="K5:K36" si="1">IFERROR(IF($J5=0,"",$I5/$J5),"")</f>
        <v/>
      </c>
      <c r="L5" s="10">
        <f>IF($H5&lt;&gt;"oui","",IF(OR($E5="élève",$E5="élève et encadrant"),COUNTIFS($H$5:$H5,"oui",$E$5:$E5,"élève")+COUNTIFS($H$5:$H5,"oui",$E$5:$E5,"élève et encadrant"),""))</f>
        <v>1</v>
      </c>
      <c r="M5" s="10" t="str">
        <f>IF($H5&lt;&gt;"oui","",IF(OR($E5="encadrant",$E5="élève et encadrant"),COUNTIFS($H$5:$H5,"oui",$E$5:$E5,"encadrant")+COUNTIFS($H$5:$H5,"oui",$E$5:$E5,"élève et encadrant"),""))</f>
        <v/>
      </c>
      <c r="N5" s="10" t="str">
        <f t="shared" ref="N5:N36" si="2">IF($B5="","",TRIM(IF($D5="",$C5,$D5&amp;" "&amp;$C5))&amp;" ["&amp;$B5&amp;"]")</f>
        <v>Sebastien AUBERT [P100]</v>
      </c>
      <c r="O5" s="10">
        <f>IF($B5="","",COUNTIF(Personnes!$D$5:$D$154,"&lt;"&amp;$D5)+COUNTIF($D$5:$D5,$D5))</f>
        <v>82</v>
      </c>
      <c r="P5" s="8"/>
    </row>
    <row r="6" spans="1:16" x14ac:dyDescent="0.2">
      <c r="A6" s="10">
        <f>IF($H6="","",COUNTIF($H$5:$H6,"oui"))</f>
        <v>2</v>
      </c>
      <c r="B6" s="8" t="s">
        <v>172</v>
      </c>
      <c r="C6" s="8" t="s">
        <v>173</v>
      </c>
      <c r="D6" s="8" t="s">
        <v>174</v>
      </c>
      <c r="E6" s="8" t="s">
        <v>170</v>
      </c>
      <c r="F6" s="8" t="s">
        <v>171</v>
      </c>
      <c r="G6" s="11"/>
      <c r="H6" s="10" t="str">
        <f t="shared" si="0"/>
        <v>oui</v>
      </c>
      <c r="I6" s="10">
        <f>IF($H6="","",COUNTIF(Presences!$C$5:$C$504,$B6))</f>
        <v>0</v>
      </c>
      <c r="J6" s="10">
        <f>IF($H6="","",Tableau_de_bord!$B$5)</f>
        <v>0</v>
      </c>
      <c r="K6" s="13" t="str">
        <f t="shared" si="1"/>
        <v/>
      </c>
      <c r="L6" s="10">
        <f>IF($H6&lt;&gt;"oui","",IF(OR($E6="élève",$E6="élève et encadrant"),COUNTIFS($H$5:$H6,"oui",$E$5:$E6,"élève")+COUNTIFS($H$5:$H6,"oui",$E$5:$E6,"élève et encadrant"),""))</f>
        <v>2</v>
      </c>
      <c r="M6" s="10" t="str">
        <f>IF($H6&lt;&gt;"oui","",IF(OR($E6="encadrant",$E6="élève et encadrant"),COUNTIFS($H$5:$H6,"oui",$E$5:$E6,"encadrant")+COUNTIFS($H$5:$H6,"oui",$E$5:$E6,"élève et encadrant"),""))</f>
        <v/>
      </c>
      <c r="N6" s="10" t="str">
        <f t="shared" si="2"/>
        <v>Mohammed BELHADJ KACEM [P101]</v>
      </c>
      <c r="O6" s="10">
        <f>IF($B6="","",COUNTIF(Personnes!$D$5:$D$154,"&lt;"&amp;$D6)+COUNTIF($D$5:$D6,$D6))</f>
        <v>67</v>
      </c>
      <c r="P6" s="8"/>
    </row>
    <row r="7" spans="1:16" x14ac:dyDescent="0.2">
      <c r="A7" s="10">
        <f>IF($H7="","",COUNTIF($H$5:$H7,"oui"))</f>
        <v>3</v>
      </c>
      <c r="B7" s="8" t="s">
        <v>175</v>
      </c>
      <c r="C7" s="8" t="s">
        <v>176</v>
      </c>
      <c r="D7" s="8" t="s">
        <v>177</v>
      </c>
      <c r="E7" s="8" t="s">
        <v>170</v>
      </c>
      <c r="F7" s="8" t="s">
        <v>178</v>
      </c>
      <c r="G7" s="11"/>
      <c r="H7" s="10" t="str">
        <f t="shared" si="0"/>
        <v>oui</v>
      </c>
      <c r="I7" s="10">
        <f>IF($H7="","",COUNTIF(Presences!$C$5:$C$504,$B7))</f>
        <v>0</v>
      </c>
      <c r="J7" s="10">
        <f>IF($H7="","",Tableau_de_bord!$B$5)</f>
        <v>0</v>
      </c>
      <c r="K7" s="13" t="str">
        <f t="shared" si="1"/>
        <v/>
      </c>
      <c r="L7" s="10">
        <f>IF($H7&lt;&gt;"oui","",IF(OR($E7="élève",$E7="élève et encadrant"),COUNTIFS($H$5:$H7,"oui",$E$5:$E7,"élève")+COUNTIFS($H$5:$H7,"oui",$E$5:$E7,"élève et encadrant"),""))</f>
        <v>3</v>
      </c>
      <c r="M7" s="10" t="str">
        <f>IF($H7&lt;&gt;"oui","",IF(OR($E7="encadrant",$E7="élève et encadrant"),COUNTIFS($H$5:$H7,"oui",$E$5:$E7,"encadrant")+COUNTIFS($H$5:$H7,"oui",$E$5:$E7,"élève et encadrant"),""))</f>
        <v/>
      </c>
      <c r="N7" s="10" t="str">
        <f t="shared" si="2"/>
        <v>Guillaume BOULANT [P049]</v>
      </c>
      <c r="O7" s="10">
        <f>IF($B7="","",COUNTIF(Personnes!$D$5:$D$154,"&lt;"&amp;$D7)+COUNTIF($D$5:$D7,$D7))</f>
        <v>41</v>
      </c>
      <c r="P7" s="8" t="s">
        <v>179</v>
      </c>
    </row>
    <row r="8" spans="1:16" x14ac:dyDescent="0.2">
      <c r="A8" s="10">
        <f>IF($H8="","",COUNTIF($H$5:$H8,"oui"))</f>
        <v>4</v>
      </c>
      <c r="B8" s="8" t="s">
        <v>180</v>
      </c>
      <c r="C8" s="8" t="s">
        <v>181</v>
      </c>
      <c r="D8" s="8" t="s">
        <v>182</v>
      </c>
      <c r="E8" s="8" t="s">
        <v>170</v>
      </c>
      <c r="F8" s="8" t="s">
        <v>171</v>
      </c>
      <c r="G8" s="11"/>
      <c r="H8" s="10" t="str">
        <f t="shared" si="0"/>
        <v>oui</v>
      </c>
      <c r="I8" s="10">
        <f>IF($H8="","",COUNTIF(Presences!$C$5:$C$504,$B8))</f>
        <v>0</v>
      </c>
      <c r="J8" s="10">
        <f>IF($H8="","",Tableau_de_bord!$B$5)</f>
        <v>0</v>
      </c>
      <c r="K8" s="13" t="str">
        <f t="shared" si="1"/>
        <v/>
      </c>
      <c r="L8" s="10">
        <f>IF($H8&lt;&gt;"oui","",IF(OR($E8="élève",$E8="élève et encadrant"),COUNTIFS($H$5:$H8,"oui",$E$5:$E8,"élève")+COUNTIFS($H$5:$H8,"oui",$E$5:$E8,"élève et encadrant"),""))</f>
        <v>4</v>
      </c>
      <c r="M8" s="10" t="str">
        <f>IF($H8&lt;&gt;"oui","",IF(OR($E8="encadrant",$E8="élève et encadrant"),COUNTIFS($H$5:$H8,"oui",$E$5:$E8,"encadrant")+COUNTIFS($H$5:$H8,"oui",$E$5:$E8,"élève et encadrant"),""))</f>
        <v/>
      </c>
      <c r="N8" s="10" t="str">
        <f t="shared" si="2"/>
        <v>Antoine COLIN DE VERDIERE [P057]</v>
      </c>
      <c r="O8" s="10">
        <f>IF($B8="","",COUNTIF(Personnes!$D$5:$D$154,"&lt;"&amp;$D8)+COUNTIF($D$5:$D8,$D8))</f>
        <v>8</v>
      </c>
      <c r="P8" s="8" t="s">
        <v>183</v>
      </c>
    </row>
    <row r="9" spans="1:16" x14ac:dyDescent="0.2">
      <c r="A9" s="10">
        <f>IF($H9="","",COUNTIF($H$5:$H9,"oui"))</f>
        <v>5</v>
      </c>
      <c r="B9" s="8" t="s">
        <v>184</v>
      </c>
      <c r="C9" s="8" t="s">
        <v>185</v>
      </c>
      <c r="D9" s="8" t="s">
        <v>186</v>
      </c>
      <c r="E9" s="8" t="s">
        <v>170</v>
      </c>
      <c r="F9" s="8" t="s">
        <v>171</v>
      </c>
      <c r="G9" s="11"/>
      <c r="H9" s="10" t="str">
        <f t="shared" si="0"/>
        <v>oui</v>
      </c>
      <c r="I9" s="10">
        <f>IF($H9="","",COUNTIF(Presences!$C$5:$C$504,$B9))</f>
        <v>0</v>
      </c>
      <c r="J9" s="10">
        <f>IF($H9="","",Tableau_de_bord!$B$5)</f>
        <v>0</v>
      </c>
      <c r="K9" s="13" t="str">
        <f t="shared" si="1"/>
        <v/>
      </c>
      <c r="L9" s="10">
        <f>IF($H9&lt;&gt;"oui","",IF(OR($E9="élève",$E9="élève et encadrant"),COUNTIFS($H$5:$H9,"oui",$E$5:$E9,"élève")+COUNTIFS($H$5:$H9,"oui",$E$5:$E9,"élève et encadrant"),""))</f>
        <v>5</v>
      </c>
      <c r="M9" s="10" t="str">
        <f>IF($H9&lt;&gt;"oui","",IF(OR($E9="encadrant",$E9="élève et encadrant"),COUNTIFS($H$5:$H9,"oui",$E$5:$E9,"encadrant")+COUNTIFS($H$5:$H9,"oui",$E$5:$E9,"élève et encadrant"),""))</f>
        <v/>
      </c>
      <c r="N9" s="10" t="str">
        <f t="shared" si="2"/>
        <v>Sabine COLLINET [P063]</v>
      </c>
      <c r="O9" s="10">
        <f>IF($B9="","",COUNTIF(Personnes!$D$5:$D$154,"&lt;"&amp;$D9)+COUNTIF($D$5:$D9,$D9))</f>
        <v>77</v>
      </c>
      <c r="P9" s="8" t="s">
        <v>187</v>
      </c>
    </row>
    <row r="10" spans="1:16" x14ac:dyDescent="0.2">
      <c r="A10" s="10">
        <f>IF($H10="","",COUNTIF($H$5:$H10,"oui"))</f>
        <v>6</v>
      </c>
      <c r="B10" s="8" t="s">
        <v>188</v>
      </c>
      <c r="C10" s="8" t="s">
        <v>189</v>
      </c>
      <c r="D10" s="8" t="s">
        <v>190</v>
      </c>
      <c r="E10" s="8" t="s">
        <v>170</v>
      </c>
      <c r="F10" s="8" t="s">
        <v>178</v>
      </c>
      <c r="G10" s="11"/>
      <c r="H10" s="10" t="str">
        <f t="shared" si="0"/>
        <v>oui</v>
      </c>
      <c r="I10" s="10">
        <f>IF($H10="","",COUNTIF(Presences!$C$5:$C$504,$B10))</f>
        <v>0</v>
      </c>
      <c r="J10" s="10">
        <f>IF($H10="","",Tableau_de_bord!$B$5)</f>
        <v>0</v>
      </c>
      <c r="K10" s="13" t="str">
        <f t="shared" si="1"/>
        <v/>
      </c>
      <c r="L10" s="10">
        <f>IF($H10&lt;&gt;"oui","",IF(OR($E10="élève",$E10="élève et encadrant"),COUNTIFS($H$5:$H10,"oui",$E$5:$E10,"élève")+COUNTIFS($H$5:$H10,"oui",$E$5:$E10,"élève et encadrant"),""))</f>
        <v>6</v>
      </c>
      <c r="M10" s="10" t="str">
        <f>IF($H10&lt;&gt;"oui","",IF(OR($E10="encadrant",$E10="élève et encadrant"),COUNTIFS($H$5:$H10,"oui",$E$5:$E10,"encadrant")+COUNTIFS($H$5:$H10,"oui",$E$5:$E10,"élève et encadrant"),""))</f>
        <v/>
      </c>
      <c r="N10" s="10" t="str">
        <f t="shared" si="2"/>
        <v>Céline DUMONT [P043]</v>
      </c>
      <c r="O10" s="10">
        <f>IF($B10="","",COUNTIF(Personnes!$D$5:$D$154,"&lt;"&amp;$D10)+COUNTIF($D$5:$D10,$D10))</f>
        <v>19</v>
      </c>
      <c r="P10" s="8" t="s">
        <v>191</v>
      </c>
    </row>
    <row r="11" spans="1:16" x14ac:dyDescent="0.2">
      <c r="A11" s="10">
        <f>IF($H11="","",COUNTIF($H$5:$H11,"oui"))</f>
        <v>7</v>
      </c>
      <c r="B11" s="8" t="s">
        <v>192</v>
      </c>
      <c r="C11" s="8" t="s">
        <v>193</v>
      </c>
      <c r="D11" s="8" t="s">
        <v>169</v>
      </c>
      <c r="E11" s="8" t="s">
        <v>170</v>
      </c>
      <c r="F11" s="8" t="s">
        <v>171</v>
      </c>
      <c r="G11" s="11"/>
      <c r="H11" s="10" t="str">
        <f t="shared" si="0"/>
        <v>oui</v>
      </c>
      <c r="I11" s="10">
        <f>IF($H11="","",COUNTIF(Presences!$C$5:$C$504,$B11))</f>
        <v>0</v>
      </c>
      <c r="J11" s="10">
        <f>IF($H11="","",Tableau_de_bord!$B$5)</f>
        <v>0</v>
      </c>
      <c r="K11" s="13" t="str">
        <f t="shared" si="1"/>
        <v/>
      </c>
      <c r="L11" s="10">
        <f>IF($H11&lt;&gt;"oui","",IF(OR($E11="élève",$E11="élève et encadrant"),COUNTIFS($H$5:$H11,"oui",$E$5:$E11,"élève")+COUNTIFS($H$5:$H11,"oui",$E$5:$E11,"élève et encadrant"),""))</f>
        <v>7</v>
      </c>
      <c r="M11" s="10" t="str">
        <f>IF($H11&lt;&gt;"oui","",IF(OR($E11="encadrant",$E11="élève et encadrant"),COUNTIFS($H$5:$H11,"oui",$E$5:$E11,"encadrant")+COUNTIFS($H$5:$H11,"oui",$E$5:$E11,"élève et encadrant"),""))</f>
        <v/>
      </c>
      <c r="N11" s="10" t="str">
        <f t="shared" si="2"/>
        <v>Sebastien DUSSAUD [P102]</v>
      </c>
      <c r="O11" s="10">
        <f>IF($B11="","",COUNTIF(Personnes!$D$5:$D$154,"&lt;"&amp;$D11)+COUNTIF($D$5:$D11,$D11))</f>
        <v>83</v>
      </c>
      <c r="P11" s="8"/>
    </row>
    <row r="12" spans="1:16" x14ac:dyDescent="0.2">
      <c r="A12" s="10">
        <f>IF($H12="","",COUNTIF($H$5:$H12,"oui"))</f>
        <v>8</v>
      </c>
      <c r="B12" s="8" t="s">
        <v>194</v>
      </c>
      <c r="C12" s="8" t="s">
        <v>195</v>
      </c>
      <c r="D12" s="8" t="s">
        <v>196</v>
      </c>
      <c r="E12" s="8" t="s">
        <v>170</v>
      </c>
      <c r="F12" s="8" t="s">
        <v>178</v>
      </c>
      <c r="G12" s="11"/>
      <c r="H12" s="10" t="str">
        <f t="shared" si="0"/>
        <v>oui</v>
      </c>
      <c r="I12" s="10">
        <f>IF($H12="","",COUNTIF(Presences!$C$5:$C$504,$B12))</f>
        <v>0</v>
      </c>
      <c r="J12" s="10">
        <f>IF($H12="","",Tableau_de_bord!$B$5)</f>
        <v>0</v>
      </c>
      <c r="K12" s="13" t="str">
        <f t="shared" si="1"/>
        <v/>
      </c>
      <c r="L12" s="10">
        <f>IF($H12&lt;&gt;"oui","",IF(OR($E12="élève",$E12="élève et encadrant"),COUNTIFS($H$5:$H12,"oui",$E$5:$E12,"élève")+COUNTIFS($H$5:$H12,"oui",$E$5:$E12,"élève et encadrant"),""))</f>
        <v>8</v>
      </c>
      <c r="M12" s="10" t="str">
        <f>IF($H12&lt;&gt;"oui","",IF(OR($E12="encadrant",$E12="élève et encadrant"),COUNTIFS($H$5:$H12,"oui",$E$5:$E12,"encadrant")+COUNTIFS($H$5:$H12,"oui",$E$5:$E12,"élève et encadrant"),""))</f>
        <v/>
      </c>
      <c r="N12" s="10" t="str">
        <f t="shared" si="2"/>
        <v>Philippe FREDON [P039]</v>
      </c>
      <c r="O12" s="10">
        <f>IF($B12="","",COUNTIF(Personnes!$D$5:$D$154,"&lt;"&amp;$D12)+COUNTIF($D$5:$D12,$D12))</f>
        <v>74</v>
      </c>
      <c r="P12" s="8" t="s">
        <v>197</v>
      </c>
    </row>
    <row r="13" spans="1:16" x14ac:dyDescent="0.2">
      <c r="A13" s="10">
        <f>IF($H13="","",COUNTIF($H$5:$H13,"oui"))</f>
        <v>9</v>
      </c>
      <c r="B13" s="8" t="s">
        <v>198</v>
      </c>
      <c r="C13" s="8" t="s">
        <v>199</v>
      </c>
      <c r="D13" s="8" t="s">
        <v>200</v>
      </c>
      <c r="E13" s="8" t="s">
        <v>170</v>
      </c>
      <c r="F13" s="8" t="s">
        <v>171</v>
      </c>
      <c r="G13" s="11"/>
      <c r="H13" s="10" t="str">
        <f t="shared" si="0"/>
        <v>oui</v>
      </c>
      <c r="I13" s="10">
        <f>IF($H13="","",COUNTIF(Presences!$C$5:$C$504,$B13))</f>
        <v>0</v>
      </c>
      <c r="J13" s="10">
        <f>IF($H13="","",Tableau_de_bord!$B$5)</f>
        <v>0</v>
      </c>
      <c r="K13" s="13" t="str">
        <f t="shared" si="1"/>
        <v/>
      </c>
      <c r="L13" s="10">
        <f>IF($H13&lt;&gt;"oui","",IF(OR($E13="élève",$E13="élève et encadrant"),COUNTIFS($H$5:$H13,"oui",$E$5:$E13,"élève")+COUNTIFS($H$5:$H13,"oui",$E$5:$E13,"élève et encadrant"),""))</f>
        <v>9</v>
      </c>
      <c r="M13" s="10" t="str">
        <f>IF($H13&lt;&gt;"oui","",IF(OR($E13="encadrant",$E13="élève et encadrant"),COUNTIFS($H$5:$H13,"oui",$E$5:$E13,"encadrant")+COUNTIFS($H$5:$H13,"oui",$E$5:$E13,"élève et encadrant"),""))</f>
        <v/>
      </c>
      <c r="N13" s="10" t="str">
        <f t="shared" si="2"/>
        <v>Larbi MAALAOUI [P058]</v>
      </c>
      <c r="O13" s="10">
        <f>IF($B13="","",COUNTIF(Personnes!$D$5:$D$154,"&lt;"&amp;$D13)+COUNTIF($D$5:$D13,$D13))</f>
        <v>53</v>
      </c>
      <c r="P13" s="8" t="s">
        <v>201</v>
      </c>
    </row>
    <row r="14" spans="1:16" x14ac:dyDescent="0.2">
      <c r="A14" s="10">
        <f>IF($H14="","",COUNTIF($H$5:$H14,"oui"))</f>
        <v>10</v>
      </c>
      <c r="B14" s="8" t="s">
        <v>202</v>
      </c>
      <c r="C14" s="8" t="s">
        <v>203</v>
      </c>
      <c r="D14" s="8" t="s">
        <v>204</v>
      </c>
      <c r="E14" s="8" t="s">
        <v>170</v>
      </c>
      <c r="F14" s="8" t="s">
        <v>171</v>
      </c>
      <c r="G14" s="11"/>
      <c r="H14" s="10" t="str">
        <f t="shared" si="0"/>
        <v>oui</v>
      </c>
      <c r="I14" s="10">
        <f>IF($H14="","",COUNTIF(Presences!$C$5:$C$504,$B14))</f>
        <v>0</v>
      </c>
      <c r="J14" s="10">
        <f>IF($H14="","",Tableau_de_bord!$B$5)</f>
        <v>0</v>
      </c>
      <c r="K14" s="13" t="str">
        <f t="shared" si="1"/>
        <v/>
      </c>
      <c r="L14" s="10">
        <f>IF($H14&lt;&gt;"oui","",IF(OR($E14="élève",$E14="élève et encadrant"),COUNTIFS($H$5:$H14,"oui",$E$5:$E14,"élève")+COUNTIFS($H$5:$H14,"oui",$E$5:$E14,"élève et encadrant"),""))</f>
        <v>10</v>
      </c>
      <c r="M14" s="10" t="str">
        <f>IF($H14&lt;&gt;"oui","",IF(OR($E14="encadrant",$E14="élève et encadrant"),COUNTIFS($H$5:$H14,"oui",$E$5:$E14,"encadrant")+COUNTIFS($H$5:$H14,"oui",$E$5:$E14,"élève et encadrant"),""))</f>
        <v/>
      </c>
      <c r="N14" s="10" t="str">
        <f t="shared" si="2"/>
        <v>Karim NOURA [P103]</v>
      </c>
      <c r="O14" s="10">
        <f>IF($B14="","",COUNTIF(Personnes!$D$5:$D$154,"&lt;"&amp;$D14)+COUNTIF($D$5:$D14,$D14))</f>
        <v>50</v>
      </c>
      <c r="P14" s="8"/>
    </row>
    <row r="15" spans="1:16" x14ac:dyDescent="0.2">
      <c r="A15" s="10">
        <f>IF($H15="","",COUNTIF($H$5:$H15,"oui"))</f>
        <v>11</v>
      </c>
      <c r="B15" s="8" t="s">
        <v>205</v>
      </c>
      <c r="C15" s="8" t="s">
        <v>206</v>
      </c>
      <c r="D15" s="8" t="s">
        <v>207</v>
      </c>
      <c r="E15" s="8" t="s">
        <v>170</v>
      </c>
      <c r="F15" s="8" t="s">
        <v>178</v>
      </c>
      <c r="G15" s="11"/>
      <c r="H15" s="10" t="str">
        <f t="shared" si="0"/>
        <v>oui</v>
      </c>
      <c r="I15" s="10">
        <f>IF($H15="","",COUNTIF(Presences!$C$5:$C$504,$B15))</f>
        <v>0</v>
      </c>
      <c r="J15" s="10">
        <f>IF($H15="","",Tableau_de_bord!$B$5)</f>
        <v>0</v>
      </c>
      <c r="K15" s="13" t="str">
        <f t="shared" si="1"/>
        <v/>
      </c>
      <c r="L15" s="10">
        <f>IF($H15&lt;&gt;"oui","",IF(OR($E15="élève",$E15="élève et encadrant"),COUNTIFS($H$5:$H15,"oui",$E$5:$E15,"élève")+COUNTIFS($H$5:$H15,"oui",$E$5:$E15,"élève et encadrant"),""))</f>
        <v>11</v>
      </c>
      <c r="M15" s="10" t="str">
        <f>IF($H15&lt;&gt;"oui","",IF(OR($E15="encadrant",$E15="élève et encadrant"),COUNTIFS($H$5:$H15,"oui",$E$5:$E15,"encadrant")+COUNTIFS($H$5:$H15,"oui",$E$5:$E15,"élève et encadrant"),""))</f>
        <v/>
      </c>
      <c r="N15" s="10" t="str">
        <f t="shared" si="2"/>
        <v>Alain PASCAL [P044]</v>
      </c>
      <c r="O15" s="10">
        <f>IF($B15="","",COUNTIF(Personnes!$D$5:$D$154,"&lt;"&amp;$D15)+COUNTIF($D$5:$D15,$D15))</f>
        <v>3</v>
      </c>
      <c r="P15" s="8" t="s">
        <v>208</v>
      </c>
    </row>
    <row r="16" spans="1:16" x14ac:dyDescent="0.2">
      <c r="A16" s="10">
        <f>IF($H16="","",COUNTIF($H$5:$H16,"oui"))</f>
        <v>12</v>
      </c>
      <c r="B16" s="8" t="s">
        <v>144</v>
      </c>
      <c r="C16" s="8" t="s">
        <v>145</v>
      </c>
      <c r="D16" s="8" t="s">
        <v>146</v>
      </c>
      <c r="E16" s="8" t="s">
        <v>209</v>
      </c>
      <c r="F16" s="8" t="s">
        <v>171</v>
      </c>
      <c r="G16" s="11"/>
      <c r="H16" s="10" t="str">
        <f t="shared" si="0"/>
        <v>oui</v>
      </c>
      <c r="I16" s="10">
        <f>IF($H16="","",COUNTIF(Presences!$C$5:$C$504,$B16))</f>
        <v>0</v>
      </c>
      <c r="J16" s="10">
        <f>IF($H16="","",Tableau_de_bord!$B$5)</f>
        <v>0</v>
      </c>
      <c r="K16" s="13" t="str">
        <f t="shared" si="1"/>
        <v/>
      </c>
      <c r="L16" s="10" t="str">
        <f>IF($H16&lt;&gt;"oui","",IF(OR($E16="élève",$E16="élève et encadrant"),COUNTIFS($H$5:$H16,"oui",$E$5:$E16,"élève")+COUNTIFS($H$5:$H16,"oui",$E$5:$E16,"élève et encadrant"),""))</f>
        <v/>
      </c>
      <c r="M16" s="10">
        <f>IF($H16&lt;&gt;"oui","",IF(OR($E16="encadrant",$E16="élève et encadrant"),COUNTIFS($H$5:$H16,"oui",$E$5:$E16,"encadrant")+COUNTIFS($H$5:$H16,"oui",$E$5:$E16,"élève et encadrant"),""))</f>
        <v>1</v>
      </c>
      <c r="N16" s="10" t="str">
        <f t="shared" si="2"/>
        <v>Danny SEGUI [P045]</v>
      </c>
      <c r="O16" s="10">
        <f>IF($B16="","",COUNTIF(Personnes!$D$5:$D$154,"&lt;"&amp;$D16)+COUNTIF($D$5:$D16,$D16))</f>
        <v>27</v>
      </c>
      <c r="P16" s="8" t="s">
        <v>210</v>
      </c>
    </row>
    <row r="17" spans="1:16" x14ac:dyDescent="0.2">
      <c r="A17" s="10">
        <f>IF($H17="","",COUNTIF($H$5:$H17,"oui"))</f>
        <v>13</v>
      </c>
      <c r="B17" s="8" t="s">
        <v>144</v>
      </c>
      <c r="C17" s="8" t="s">
        <v>145</v>
      </c>
      <c r="D17" s="8" t="s">
        <v>146</v>
      </c>
      <c r="E17" s="8" t="s">
        <v>170</v>
      </c>
      <c r="F17" s="8" t="s">
        <v>171</v>
      </c>
      <c r="G17" s="11"/>
      <c r="H17" s="10" t="str">
        <f t="shared" si="0"/>
        <v>oui</v>
      </c>
      <c r="I17" s="10">
        <f>IF($H17="","",COUNTIF(Presences!$C$5:$C$504,$B17))</f>
        <v>0</v>
      </c>
      <c r="J17" s="10">
        <f>IF($H17="","",Tableau_de_bord!$B$5)</f>
        <v>0</v>
      </c>
      <c r="K17" s="13" t="str">
        <f t="shared" si="1"/>
        <v/>
      </c>
      <c r="L17" s="10">
        <f>IF($H17&lt;&gt;"oui","",IF(OR($E17="élève",$E17="élève et encadrant"),COUNTIFS($H$5:$H17,"oui",$E$5:$E17,"élève")+COUNTIFS($H$5:$H17,"oui",$E$5:$E17,"élève et encadrant"),""))</f>
        <v>12</v>
      </c>
      <c r="M17" s="10" t="str">
        <f>IF($H17&lt;&gt;"oui","",IF(OR($E17="encadrant",$E17="élève et encadrant"),COUNTIFS($H$5:$H17,"oui",$E$5:$E17,"encadrant")+COUNTIFS($H$5:$H17,"oui",$E$5:$E17,"élève et encadrant"),""))</f>
        <v/>
      </c>
      <c r="N17" s="10" t="str">
        <f t="shared" si="2"/>
        <v>Danny SEGUI [P045]</v>
      </c>
      <c r="O17" s="10">
        <f>IF($B17="","",COUNTIF(Personnes!$D$5:$D$154,"&lt;"&amp;$D17)+COUNTIF($D$5:$D17,$D17))</f>
        <v>28</v>
      </c>
      <c r="P17" s="8" t="s">
        <v>210</v>
      </c>
    </row>
    <row r="18" spans="1:16" x14ac:dyDescent="0.2">
      <c r="A18" s="10" t="str">
        <f>IF($H18="","",COUNTIF($H$5:$H18,"oui"))</f>
        <v/>
      </c>
      <c r="B18" s="8" t="s">
        <v>211</v>
      </c>
      <c r="C18" s="8" t="s">
        <v>212</v>
      </c>
      <c r="D18" s="8" t="s">
        <v>213</v>
      </c>
      <c r="E18" s="8"/>
      <c r="F18" s="8" t="s">
        <v>214</v>
      </c>
      <c r="G18" s="11"/>
      <c r="H18" s="10" t="str">
        <f t="shared" si="0"/>
        <v/>
      </c>
      <c r="I18" s="10" t="str">
        <f>IF($H18="","",COUNTIF(Presences!$C$5:$C$504,$B18))</f>
        <v/>
      </c>
      <c r="J18" s="10" t="str">
        <f>IF($H18="","",Tableau_de_bord!$B$5)</f>
        <v/>
      </c>
      <c r="K18" s="13" t="str">
        <f t="shared" si="1"/>
        <v/>
      </c>
      <c r="L18" s="10" t="str">
        <f>IF($H18&lt;&gt;"oui","",IF(OR($E18="élève",$E18="élève et encadrant"),COUNTIFS($H$5:$H18,"oui",$E$5:$E18,"élève")+COUNTIFS($H$5:$H18,"oui",$E$5:$E18,"élève et encadrant"),""))</f>
        <v/>
      </c>
      <c r="M18" s="10" t="str">
        <f>IF($H18&lt;&gt;"oui","",IF(OR($E18="encadrant",$E18="élève et encadrant"),COUNTIFS($H$5:$H18,"oui",$E$5:$E18,"encadrant")+COUNTIFS($H$5:$H18,"oui",$E$5:$E18,"élève et encadrant"),""))</f>
        <v/>
      </c>
      <c r="N18" s="10" t="str">
        <f t="shared" si="2"/>
        <v>Achour BACHA [P053]</v>
      </c>
      <c r="O18" s="10">
        <f>IF($B18="","",COUNTIF(Personnes!$D$5:$D$154,"&lt;"&amp;$D18)+COUNTIF($D$5:$D18,$D18))</f>
        <v>1</v>
      </c>
      <c r="P18" s="8"/>
    </row>
    <row r="19" spans="1:16" x14ac:dyDescent="0.2">
      <c r="A19" s="10" t="str">
        <f>IF($H19="","",COUNTIF($H$5:$H19,"oui"))</f>
        <v/>
      </c>
      <c r="B19" s="8" t="s">
        <v>215</v>
      </c>
      <c r="C19" s="8" t="s">
        <v>216</v>
      </c>
      <c r="D19" s="8" t="s">
        <v>217</v>
      </c>
      <c r="E19" s="8"/>
      <c r="F19" s="8" t="s">
        <v>218</v>
      </c>
      <c r="G19" s="11"/>
      <c r="H19" s="10" t="str">
        <f t="shared" si="0"/>
        <v/>
      </c>
      <c r="I19" s="10" t="str">
        <f>IF($H19="","",COUNTIF(Presences!$C$5:$C$504,$B19))</f>
        <v/>
      </c>
      <c r="J19" s="10" t="str">
        <f>IF($H19="","",Tableau_de_bord!$B$5)</f>
        <v/>
      </c>
      <c r="K19" s="13" t="str">
        <f t="shared" si="1"/>
        <v/>
      </c>
      <c r="L19" s="10" t="str">
        <f>IF($H19&lt;&gt;"oui","",IF(OR($E19="élève",$E19="élève et encadrant"),COUNTIFS($H$5:$H19,"oui",$E$5:$E19,"élève")+COUNTIFS($H$5:$H19,"oui",$E$5:$E19,"élève et encadrant"),""))</f>
        <v/>
      </c>
      <c r="M19" s="10" t="str">
        <f>IF($H19&lt;&gt;"oui","",IF(OR($E19="encadrant",$E19="élève et encadrant"),COUNTIFS($H$5:$H19,"oui",$E$5:$E19,"encadrant")+COUNTIFS($H$5:$H19,"oui",$E$5:$E19,"élève et encadrant"),""))</f>
        <v/>
      </c>
      <c r="N19" s="10" t="str">
        <f t="shared" si="2"/>
        <v>Aurelien BARBIER [P003]</v>
      </c>
      <c r="O19" s="10">
        <f>IF($B19="","",COUNTIF(Personnes!$D$5:$D$154,"&lt;"&amp;$D19)+COUNTIF($D$5:$D19,$D19))</f>
        <v>12</v>
      </c>
      <c r="P19" s="8"/>
    </row>
    <row r="20" spans="1:16" x14ac:dyDescent="0.2">
      <c r="A20" s="10" t="str">
        <f>IF($H20="","",COUNTIF($H$5:$H20,"oui"))</f>
        <v/>
      </c>
      <c r="B20" s="8" t="s">
        <v>219</v>
      </c>
      <c r="C20" s="8" t="s">
        <v>220</v>
      </c>
      <c r="D20" s="8" t="s">
        <v>221</v>
      </c>
      <c r="E20" s="8"/>
      <c r="F20" s="8" t="s">
        <v>222</v>
      </c>
      <c r="G20" s="11"/>
      <c r="H20" s="10" t="str">
        <f t="shared" si="0"/>
        <v/>
      </c>
      <c r="I20" s="10" t="str">
        <f>IF($H20="","",COUNTIF(Presences!$C$5:$C$504,$B20))</f>
        <v/>
      </c>
      <c r="J20" s="10" t="str">
        <f>IF($H20="","",Tableau_de_bord!$B$5)</f>
        <v/>
      </c>
      <c r="K20" s="13" t="str">
        <f t="shared" si="1"/>
        <v/>
      </c>
      <c r="L20" s="10" t="str">
        <f>IF($H20&lt;&gt;"oui","",IF(OR($E20="élève",$E20="élève et encadrant"),COUNTIFS($H$5:$H20,"oui",$E$5:$E20,"élève")+COUNTIFS($H$5:$H20,"oui",$E$5:$E20,"élève et encadrant"),""))</f>
        <v/>
      </c>
      <c r="M20" s="10" t="str">
        <f>IF($H20&lt;&gt;"oui","",IF(OR($E20="encadrant",$E20="élève et encadrant"),COUNTIFS($H$5:$H20,"oui",$E$5:$E20,"encadrant")+COUNTIFS($H$5:$H20,"oui",$E$5:$E20,"élève et encadrant"),""))</f>
        <v/>
      </c>
      <c r="N20" s="10" t="str">
        <f t="shared" si="2"/>
        <v>Mary BAUTISTA [P076]</v>
      </c>
      <c r="O20" s="10">
        <f>IF($B20="","",COUNTIF(Personnes!$D$5:$D$154,"&lt;"&amp;$D20)+COUNTIF($D$5:$D20,$D20))</f>
        <v>63</v>
      </c>
      <c r="P20" s="8"/>
    </row>
    <row r="21" spans="1:16" x14ac:dyDescent="0.2">
      <c r="A21" s="10" t="str">
        <f>IF($H21="","",COUNTIF($H$5:$H21,"oui"))</f>
        <v/>
      </c>
      <c r="B21" s="8" t="s">
        <v>223</v>
      </c>
      <c r="C21" s="8" t="s">
        <v>224</v>
      </c>
      <c r="D21" s="8" t="s">
        <v>225</v>
      </c>
      <c r="E21" s="8"/>
      <c r="F21" s="8" t="s">
        <v>226</v>
      </c>
      <c r="G21" s="11"/>
      <c r="H21" s="10" t="str">
        <f t="shared" si="0"/>
        <v/>
      </c>
      <c r="I21" s="10" t="str">
        <f>IF($H21="","",COUNTIF(Presences!$C$5:$C$504,$B21))</f>
        <v/>
      </c>
      <c r="J21" s="10" t="str">
        <f>IF($H21="","",Tableau_de_bord!$B$5)</f>
        <v/>
      </c>
      <c r="K21" s="13" t="str">
        <f t="shared" si="1"/>
        <v/>
      </c>
      <c r="L21" s="10" t="str">
        <f>IF($H21&lt;&gt;"oui","",IF(OR($E21="élève",$E21="élève et encadrant"),COUNTIFS($H$5:$H21,"oui",$E$5:$E21,"élève")+COUNTIFS($H$5:$H21,"oui",$E$5:$E21,"élève et encadrant"),""))</f>
        <v/>
      </c>
      <c r="M21" s="10" t="str">
        <f>IF($H21&lt;&gt;"oui","",IF(OR($E21="encadrant",$E21="élève et encadrant"),COUNTIFS($H$5:$H21,"oui",$E$5:$E21,"encadrant")+COUNTIFS($H$5:$H21,"oui",$E$5:$E21,"élève et encadrant"),""))</f>
        <v/>
      </c>
      <c r="N21" s="10" t="str">
        <f t="shared" si="2"/>
        <v>Dominique BEAUVALLET [P030]</v>
      </c>
      <c r="O21" s="10">
        <f>IF($B21="","",COUNTIF(Personnes!$D$5:$D$154,"&lt;"&amp;$D21)+COUNTIF($D$5:$D21,$D21))</f>
        <v>30</v>
      </c>
      <c r="P21" s="8" t="s">
        <v>227</v>
      </c>
    </row>
    <row r="22" spans="1:16" x14ac:dyDescent="0.2">
      <c r="A22" s="10" t="str">
        <f>IF($H22="","",COUNTIF($H$5:$H22,"oui"))</f>
        <v/>
      </c>
      <c r="B22" s="8" t="s">
        <v>228</v>
      </c>
      <c r="C22" s="8" t="s">
        <v>229</v>
      </c>
      <c r="D22" s="8" t="s">
        <v>230</v>
      </c>
      <c r="E22" s="8"/>
      <c r="F22" s="8" t="s">
        <v>214</v>
      </c>
      <c r="G22" s="11"/>
      <c r="H22" s="10" t="str">
        <f t="shared" si="0"/>
        <v/>
      </c>
      <c r="I22" s="10" t="str">
        <f>IF($H22="","",COUNTIF(Presences!$C$5:$C$504,$B22))</f>
        <v/>
      </c>
      <c r="J22" s="10" t="str">
        <f>IF($H22="","",Tableau_de_bord!$B$5)</f>
        <v/>
      </c>
      <c r="K22" s="13" t="str">
        <f t="shared" si="1"/>
        <v/>
      </c>
      <c r="L22" s="10" t="str">
        <f>IF($H22&lt;&gt;"oui","",IF(OR($E22="élève",$E22="élève et encadrant"),COUNTIFS($H$5:$H22,"oui",$E$5:$E22,"élève")+COUNTIFS($H$5:$H22,"oui",$E$5:$E22,"élève et encadrant"),""))</f>
        <v/>
      </c>
      <c r="M22" s="10" t="str">
        <f>IF($H22&lt;&gt;"oui","",IF(OR($E22="encadrant",$E22="élève et encadrant"),COUNTIFS($H$5:$H22,"oui",$E$5:$E22,"encadrant")+COUNTIFS($H$5:$H22,"oui",$E$5:$E22,"élève et encadrant"),""))</f>
        <v/>
      </c>
      <c r="N22" s="10" t="str">
        <f t="shared" si="2"/>
        <v>Lionel BECHARA [P019]</v>
      </c>
      <c r="O22" s="10">
        <f>IF($B22="","",COUNTIF(Personnes!$D$5:$D$154,"&lt;"&amp;$D22)+COUNTIF($D$5:$D22,$D22))</f>
        <v>56</v>
      </c>
      <c r="P22" s="8"/>
    </row>
    <row r="23" spans="1:16" x14ac:dyDescent="0.2">
      <c r="A23" s="10" t="str">
        <f>IF($H23="","",COUNTIF($H$5:$H23,"oui"))</f>
        <v/>
      </c>
      <c r="B23" s="8" t="s">
        <v>231</v>
      </c>
      <c r="C23" s="8" t="s">
        <v>232</v>
      </c>
      <c r="D23" s="8" t="s">
        <v>233</v>
      </c>
      <c r="E23" s="8"/>
      <c r="F23" s="8" t="s">
        <v>222</v>
      </c>
      <c r="G23" s="11"/>
      <c r="H23" s="10" t="str">
        <f t="shared" si="0"/>
        <v/>
      </c>
      <c r="I23" s="10" t="str">
        <f>IF($H23="","",COUNTIF(Presences!$C$5:$C$504,$B23))</f>
        <v/>
      </c>
      <c r="J23" s="10" t="str">
        <f>IF($H23="","",Tableau_de_bord!$B$5)</f>
        <v/>
      </c>
      <c r="K23" s="13" t="str">
        <f t="shared" si="1"/>
        <v/>
      </c>
      <c r="L23" s="10" t="str">
        <f>IF($H23&lt;&gt;"oui","",IF(OR($E23="élève",$E23="élève et encadrant"),COUNTIFS($H$5:$H23,"oui",$E$5:$E23,"élève")+COUNTIFS($H$5:$H23,"oui",$E$5:$E23,"élève et encadrant"),""))</f>
        <v/>
      </c>
      <c r="M23" s="10" t="str">
        <f>IF($H23&lt;&gt;"oui","",IF(OR($E23="encadrant",$E23="élève et encadrant"),COUNTIFS($H$5:$H23,"oui",$E$5:$E23,"encadrant")+COUNTIFS($H$5:$H23,"oui",$E$5:$E23,"élève et encadrant"),""))</f>
        <v/>
      </c>
      <c r="N23" s="10" t="str">
        <f t="shared" si="2"/>
        <v>Marc BENDER [P077]</v>
      </c>
      <c r="O23" s="10">
        <f>IF($B23="","",COUNTIF(Personnes!$D$5:$D$154,"&lt;"&amp;$D23)+COUNTIF($D$5:$D23,$D23))</f>
        <v>59</v>
      </c>
      <c r="P23" s="8"/>
    </row>
    <row r="24" spans="1:16" x14ac:dyDescent="0.2">
      <c r="A24" s="10" t="str">
        <f>IF($H24="","",COUNTIF($H$5:$H24,"oui"))</f>
        <v/>
      </c>
      <c r="B24" s="8" t="s">
        <v>234</v>
      </c>
      <c r="C24" s="8" t="s">
        <v>235</v>
      </c>
      <c r="D24" s="8" t="s">
        <v>236</v>
      </c>
      <c r="E24" s="8"/>
      <c r="F24" s="8" t="s">
        <v>222</v>
      </c>
      <c r="G24" s="11"/>
      <c r="H24" s="10" t="str">
        <f t="shared" si="0"/>
        <v/>
      </c>
      <c r="I24" s="10" t="str">
        <f>IF($H24="","",COUNTIF(Presences!$C$5:$C$504,$B24))</f>
        <v/>
      </c>
      <c r="J24" s="10" t="str">
        <f>IF($H24="","",Tableau_de_bord!$B$5)</f>
        <v/>
      </c>
      <c r="K24" s="13" t="str">
        <f t="shared" si="1"/>
        <v/>
      </c>
      <c r="L24" s="10" t="str">
        <f>IF($H24&lt;&gt;"oui","",IF(OR($E24="élève",$E24="élève et encadrant"),COUNTIFS($H$5:$H24,"oui",$E$5:$E24,"élève")+COUNTIFS($H$5:$H24,"oui",$E$5:$E24,"élève et encadrant"),""))</f>
        <v/>
      </c>
      <c r="M24" s="10" t="str">
        <f>IF($H24&lt;&gt;"oui","",IF(OR($E24="encadrant",$E24="élève et encadrant"),COUNTIFS($H$5:$H24,"oui",$E$5:$E24,"encadrant")+COUNTIFS($H$5:$H24,"oui",$E$5:$E24,"élève et encadrant"),""))</f>
        <v/>
      </c>
      <c r="N24" s="10" t="str">
        <f t="shared" si="2"/>
        <v>Ouafa BENMANSOUR [P055]</v>
      </c>
      <c r="O24" s="10">
        <f>IF($B24="","",COUNTIF(Personnes!$D$5:$D$154,"&lt;"&amp;$D24)+COUNTIF($D$5:$D24,$D24))</f>
        <v>71</v>
      </c>
      <c r="P24" s="8" t="s">
        <v>237</v>
      </c>
    </row>
    <row r="25" spans="1:16" x14ac:dyDescent="0.2">
      <c r="A25" s="10" t="str">
        <f>IF($H25="","",COUNTIF($H$5:$H25,"oui"))</f>
        <v/>
      </c>
      <c r="B25" s="8" t="s">
        <v>238</v>
      </c>
      <c r="C25" s="8" t="s">
        <v>239</v>
      </c>
      <c r="D25" s="8" t="s">
        <v>240</v>
      </c>
      <c r="E25" s="8"/>
      <c r="F25" s="8" t="s">
        <v>241</v>
      </c>
      <c r="G25" s="11"/>
      <c r="H25" s="10" t="str">
        <f t="shared" si="0"/>
        <v/>
      </c>
      <c r="I25" s="10" t="str">
        <f>IF($H25="","",COUNTIF(Presences!$C$5:$C$504,$B25))</f>
        <v/>
      </c>
      <c r="J25" s="10" t="str">
        <f>IF($H25="","",Tableau_de_bord!$B$5)</f>
        <v/>
      </c>
      <c r="K25" s="13" t="str">
        <f t="shared" si="1"/>
        <v/>
      </c>
      <c r="L25" s="10" t="str">
        <f>IF($H25&lt;&gt;"oui","",IF(OR($E25="élève",$E25="élève et encadrant"),COUNTIFS($H$5:$H25,"oui",$E$5:$E25,"élève")+COUNTIFS($H$5:$H25,"oui",$E$5:$E25,"élève et encadrant"),""))</f>
        <v/>
      </c>
      <c r="M25" s="10" t="str">
        <f>IF($H25&lt;&gt;"oui","",IF(OR($E25="encadrant",$E25="élève et encadrant"),COUNTIFS($H$5:$H25,"oui",$E$5:$E25,"encadrant")+COUNTIFS($H$5:$H25,"oui",$E$5:$E25,"élève et encadrant"),""))</f>
        <v/>
      </c>
      <c r="N25" s="10" t="str">
        <f t="shared" si="2"/>
        <v>Gabrielle BEYL [P035]</v>
      </c>
      <c r="O25" s="10">
        <f>IF($B25="","",COUNTIF(Personnes!$D$5:$D$154,"&lt;"&amp;$D25)+COUNTIF($D$5:$D25,$D25))</f>
        <v>39</v>
      </c>
      <c r="P25" s="8" t="s">
        <v>242</v>
      </c>
    </row>
    <row r="26" spans="1:16" x14ac:dyDescent="0.2">
      <c r="A26" s="10" t="str">
        <f>IF($H26="","",COUNTIF($H$5:$H26,"oui"))</f>
        <v/>
      </c>
      <c r="B26" s="8" t="s">
        <v>243</v>
      </c>
      <c r="C26" s="8" t="s">
        <v>244</v>
      </c>
      <c r="D26" s="8" t="s">
        <v>245</v>
      </c>
      <c r="E26" s="8"/>
      <c r="F26" s="8" t="s">
        <v>222</v>
      </c>
      <c r="G26" s="11"/>
      <c r="H26" s="10" t="str">
        <f t="shared" si="0"/>
        <v/>
      </c>
      <c r="I26" s="10" t="str">
        <f>IF($H26="","",COUNTIF(Presences!$C$5:$C$504,$B26))</f>
        <v/>
      </c>
      <c r="J26" s="10" t="str">
        <f>IF($H26="","",Tableau_de_bord!$B$5)</f>
        <v/>
      </c>
      <c r="K26" s="13" t="str">
        <f t="shared" si="1"/>
        <v/>
      </c>
      <c r="L26" s="10" t="str">
        <f>IF($H26&lt;&gt;"oui","",IF(OR($E26="élève",$E26="élève et encadrant"),COUNTIFS($H$5:$H26,"oui",$E$5:$E26,"élève")+COUNTIFS($H$5:$H26,"oui",$E$5:$E26,"élève et encadrant"),""))</f>
        <v/>
      </c>
      <c r="M26" s="10" t="str">
        <f>IF($H26&lt;&gt;"oui","",IF(OR($E26="encadrant",$E26="élève et encadrant"),COUNTIFS($H$5:$H26,"oui",$E$5:$E26,"encadrant")+COUNTIFS($H$5:$H26,"oui",$E$5:$E26,"élève et encadrant"),""))</f>
        <v/>
      </c>
      <c r="N26" s="10" t="str">
        <f t="shared" si="2"/>
        <v>Patrick BEZICOT [P078]</v>
      </c>
      <c r="O26" s="10">
        <f>IF($B26="","",COUNTIF(Personnes!$D$5:$D$154,"&lt;"&amp;$D26)+COUNTIF($D$5:$D26,$D26))</f>
        <v>72</v>
      </c>
      <c r="P26" s="8"/>
    </row>
    <row r="27" spans="1:16" x14ac:dyDescent="0.2">
      <c r="A27" s="10" t="str">
        <f>IF($H27="","",COUNTIF($H$5:$H27,"oui"))</f>
        <v/>
      </c>
      <c r="B27" s="8" t="s">
        <v>246</v>
      </c>
      <c r="C27" s="8" t="s">
        <v>247</v>
      </c>
      <c r="D27" s="8" t="s">
        <v>248</v>
      </c>
      <c r="E27" s="8"/>
      <c r="F27" s="8" t="s">
        <v>222</v>
      </c>
      <c r="G27" s="11"/>
      <c r="H27" s="10" t="str">
        <f t="shared" si="0"/>
        <v/>
      </c>
      <c r="I27" s="10" t="str">
        <f>IF($H27="","",COUNTIF(Presences!$C$5:$C$504,$B27))</f>
        <v/>
      </c>
      <c r="J27" s="10" t="str">
        <f>IF($H27="","",Tableau_de_bord!$B$5)</f>
        <v/>
      </c>
      <c r="K27" s="13" t="str">
        <f t="shared" si="1"/>
        <v/>
      </c>
      <c r="L27" s="10" t="str">
        <f>IF($H27&lt;&gt;"oui","",IF(OR($E27="élève",$E27="élève et encadrant"),COUNTIFS($H$5:$H27,"oui",$E$5:$E27,"élève")+COUNTIFS($H$5:$H27,"oui",$E$5:$E27,"élève et encadrant"),""))</f>
        <v/>
      </c>
      <c r="M27" s="10" t="str">
        <f>IF($H27&lt;&gt;"oui","",IF(OR($E27="encadrant",$E27="élève et encadrant"),COUNTIFS($H$5:$H27,"oui",$E$5:$E27,"encadrant")+COUNTIFS($H$5:$H27,"oui",$E$5:$E27,"élève et encadrant"),""))</f>
        <v/>
      </c>
      <c r="N27" s="10" t="str">
        <f t="shared" si="2"/>
        <v>Christophe BIZON [P079]</v>
      </c>
      <c r="O27" s="10">
        <f>IF($B27="","",COUNTIF(Personnes!$D$5:$D$154,"&lt;"&amp;$D27)+COUNTIF($D$5:$D27,$D27))</f>
        <v>22</v>
      </c>
      <c r="P27" s="8"/>
    </row>
    <row r="28" spans="1:16" x14ac:dyDescent="0.2">
      <c r="A28" s="10" t="str">
        <f>IF($H28="","",COUNTIF($H$5:$H28,"oui"))</f>
        <v/>
      </c>
      <c r="B28" s="8" t="s">
        <v>249</v>
      </c>
      <c r="C28" s="8" t="s">
        <v>250</v>
      </c>
      <c r="D28" s="8" t="s">
        <v>251</v>
      </c>
      <c r="E28" s="8"/>
      <c r="F28" s="8" t="s">
        <v>222</v>
      </c>
      <c r="G28" s="11"/>
      <c r="H28" s="10" t="str">
        <f t="shared" si="0"/>
        <v/>
      </c>
      <c r="I28" s="10" t="str">
        <f>IF($H28="","",COUNTIF(Presences!$C$5:$C$504,$B28))</f>
        <v/>
      </c>
      <c r="J28" s="10" t="str">
        <f>IF($H28="","",Tableau_de_bord!$B$5)</f>
        <v/>
      </c>
      <c r="K28" s="13" t="str">
        <f t="shared" si="1"/>
        <v/>
      </c>
      <c r="L28" s="10" t="str">
        <f>IF($H28&lt;&gt;"oui","",IF(OR($E28="élève",$E28="élève et encadrant"),COUNTIFS($H$5:$H28,"oui",$E$5:$E28,"élève")+COUNTIFS($H$5:$H28,"oui",$E$5:$E28,"élève et encadrant"),""))</f>
        <v/>
      </c>
      <c r="M28" s="10" t="str">
        <f>IF($H28&lt;&gt;"oui","",IF(OR($E28="encadrant",$E28="élève et encadrant"),COUNTIFS($H$5:$H28,"oui",$E$5:$E28,"encadrant")+COUNTIFS($H$5:$H28,"oui",$E$5:$E28,"élève et encadrant"),""))</f>
        <v/>
      </c>
      <c r="N28" s="10" t="str">
        <f t="shared" si="2"/>
        <v>Bruno BOUGEROL [P060]</v>
      </c>
      <c r="O28" s="10">
        <f>IF($B28="","",COUNTIF(Personnes!$D$5:$D$154,"&lt;"&amp;$D28)+COUNTIF($D$5:$D28,$D28))</f>
        <v>17</v>
      </c>
      <c r="P28" s="8" t="s">
        <v>252</v>
      </c>
    </row>
    <row r="29" spans="1:16" x14ac:dyDescent="0.2">
      <c r="A29" s="10" t="str">
        <f>IF($H29="","",COUNTIF($H$5:$H29,"oui"))</f>
        <v/>
      </c>
      <c r="B29" s="8" t="s">
        <v>253</v>
      </c>
      <c r="C29" s="8" t="s">
        <v>254</v>
      </c>
      <c r="D29" s="8" t="s">
        <v>255</v>
      </c>
      <c r="E29" s="8"/>
      <c r="F29" s="8" t="s">
        <v>218</v>
      </c>
      <c r="G29" s="11"/>
      <c r="H29" s="10" t="str">
        <f t="shared" si="0"/>
        <v/>
      </c>
      <c r="I29" s="10" t="str">
        <f>IF($H29="","",COUNTIF(Presences!$C$5:$C$504,$B29))</f>
        <v/>
      </c>
      <c r="J29" s="10" t="str">
        <f>IF($H29="","",Tableau_de_bord!$B$5)</f>
        <v/>
      </c>
      <c r="K29" s="13" t="str">
        <f t="shared" si="1"/>
        <v/>
      </c>
      <c r="L29" s="10" t="str">
        <f>IF($H29&lt;&gt;"oui","",IF(OR($E29="élève",$E29="élève et encadrant"),COUNTIFS($H$5:$H29,"oui",$E$5:$E29,"élève")+COUNTIFS($H$5:$H29,"oui",$E$5:$E29,"élève et encadrant"),""))</f>
        <v/>
      </c>
      <c r="M29" s="10" t="str">
        <f>IF($H29&lt;&gt;"oui","",IF(OR($E29="encadrant",$E29="élève et encadrant"),COUNTIFS($H$5:$H29,"oui",$E$5:$E29,"encadrant")+COUNTIFS($H$5:$H29,"oui",$E$5:$E29,"élève et encadrant"),""))</f>
        <v/>
      </c>
      <c r="N29" s="10" t="str">
        <f t="shared" si="2"/>
        <v>Salman BOUHAMMOU [P068]</v>
      </c>
      <c r="O29" s="10">
        <f>IF($B29="","",COUNTIF(Personnes!$D$5:$D$154,"&lt;"&amp;$D29)+COUNTIF($D$5:$D29,$D29))</f>
        <v>78</v>
      </c>
      <c r="P29" s="8"/>
    </row>
    <row r="30" spans="1:16" x14ac:dyDescent="0.2">
      <c r="A30" s="10" t="str">
        <f>IF($H30="","",COUNTIF($H$5:$H30,"oui"))</f>
        <v/>
      </c>
      <c r="B30" s="8" t="s">
        <v>256</v>
      </c>
      <c r="C30" s="8" t="s">
        <v>257</v>
      </c>
      <c r="D30" s="8" t="s">
        <v>258</v>
      </c>
      <c r="E30" s="8"/>
      <c r="F30" s="8" t="s">
        <v>222</v>
      </c>
      <c r="G30" s="11"/>
      <c r="H30" s="10" t="str">
        <f t="shared" si="0"/>
        <v/>
      </c>
      <c r="I30" s="10" t="str">
        <f>IF($H30="","",COUNTIF(Presences!$C$5:$C$504,$B30))</f>
        <v/>
      </c>
      <c r="J30" s="10" t="str">
        <f>IF($H30="","",Tableau_de_bord!$B$5)</f>
        <v/>
      </c>
      <c r="K30" s="13" t="str">
        <f t="shared" si="1"/>
        <v/>
      </c>
      <c r="L30" s="10" t="str">
        <f>IF($H30&lt;&gt;"oui","",IF(OR($E30="élève",$E30="élève et encadrant"),COUNTIFS($H$5:$H30,"oui",$E$5:$E30,"élève")+COUNTIFS($H$5:$H30,"oui",$E$5:$E30,"élève et encadrant"),""))</f>
        <v/>
      </c>
      <c r="M30" s="10" t="str">
        <f>IF($H30&lt;&gt;"oui","",IF(OR($E30="encadrant",$E30="élève et encadrant"),COUNTIFS($H$5:$H30,"oui",$E$5:$E30,"encadrant")+COUNTIFS($H$5:$H30,"oui",$E$5:$E30,"élève et encadrant"),""))</f>
        <v/>
      </c>
      <c r="N30" s="10" t="str">
        <f t="shared" si="2"/>
        <v>Beverly BRIAULT [P080]</v>
      </c>
      <c r="O30" s="10">
        <f>IF($B30="","",COUNTIF(Personnes!$D$5:$D$154,"&lt;"&amp;$D30)+COUNTIF($D$5:$D30,$D30))</f>
        <v>16</v>
      </c>
      <c r="P30" s="8"/>
    </row>
    <row r="31" spans="1:16" x14ac:dyDescent="0.2">
      <c r="A31" s="10" t="str">
        <f>IF($H31="","",COUNTIF($H$5:$H31,"oui"))</f>
        <v/>
      </c>
      <c r="B31" s="8" t="s">
        <v>259</v>
      </c>
      <c r="C31" s="8" t="s">
        <v>260</v>
      </c>
      <c r="D31" s="8" t="s">
        <v>196</v>
      </c>
      <c r="E31" s="8"/>
      <c r="F31" s="8" t="s">
        <v>222</v>
      </c>
      <c r="G31" s="11"/>
      <c r="H31" s="10" t="str">
        <f t="shared" si="0"/>
        <v/>
      </c>
      <c r="I31" s="10" t="str">
        <f>IF($H31="","",COUNTIF(Presences!$C$5:$C$504,$B31))</f>
        <v/>
      </c>
      <c r="J31" s="10" t="str">
        <f>IF($H31="","",Tableau_de_bord!$B$5)</f>
        <v/>
      </c>
      <c r="K31" s="13" t="str">
        <f t="shared" si="1"/>
        <v/>
      </c>
      <c r="L31" s="10" t="str">
        <f>IF($H31&lt;&gt;"oui","",IF(OR($E31="élève",$E31="élève et encadrant"),COUNTIFS($H$5:$H31,"oui",$E$5:$E31,"élève")+COUNTIFS($H$5:$H31,"oui",$E$5:$E31,"élève et encadrant"),""))</f>
        <v/>
      </c>
      <c r="M31" s="10" t="str">
        <f>IF($H31&lt;&gt;"oui","",IF(OR($E31="encadrant",$E31="élève et encadrant"),COUNTIFS($H$5:$H31,"oui",$E$5:$E31,"encadrant")+COUNTIFS($H$5:$H31,"oui",$E$5:$E31,"élève et encadrant"),""))</f>
        <v/>
      </c>
      <c r="N31" s="10" t="str">
        <f t="shared" si="2"/>
        <v>Philippe BRIDENNE [P056]</v>
      </c>
      <c r="O31" s="10">
        <f>IF($B31="","",COUNTIF(Personnes!$D$5:$D$154,"&lt;"&amp;$D31)+COUNTIF($D$5:$D31,$D31))</f>
        <v>75</v>
      </c>
      <c r="P31" s="8" t="s">
        <v>261</v>
      </c>
    </row>
    <row r="32" spans="1:16" x14ac:dyDescent="0.2">
      <c r="A32" s="10" t="str">
        <f>IF($H32="","",COUNTIF($H$5:$H32,"oui"))</f>
        <v/>
      </c>
      <c r="B32" s="8" t="s">
        <v>262</v>
      </c>
      <c r="C32" s="8" t="s">
        <v>263</v>
      </c>
      <c r="D32" s="8" t="s">
        <v>264</v>
      </c>
      <c r="E32" s="8"/>
      <c r="F32" s="8" t="s">
        <v>222</v>
      </c>
      <c r="G32" s="11"/>
      <c r="H32" s="10" t="str">
        <f t="shared" si="0"/>
        <v/>
      </c>
      <c r="I32" s="10" t="str">
        <f>IF($H32="","",COUNTIF(Presences!$C$5:$C$504,$B32))</f>
        <v/>
      </c>
      <c r="J32" s="10" t="str">
        <f>IF($H32="","",Tableau_de_bord!$B$5)</f>
        <v/>
      </c>
      <c r="K32" s="13" t="str">
        <f t="shared" si="1"/>
        <v/>
      </c>
      <c r="L32" s="10" t="str">
        <f>IF($H32&lt;&gt;"oui","",IF(OR($E32="élève",$E32="élève et encadrant"),COUNTIFS($H$5:$H32,"oui",$E$5:$E32,"élève")+COUNTIFS($H$5:$H32,"oui",$E$5:$E32,"élève et encadrant"),""))</f>
        <v/>
      </c>
      <c r="M32" s="10" t="str">
        <f>IF($H32&lt;&gt;"oui","",IF(OR($E32="encadrant",$E32="élève et encadrant"),COUNTIFS($H$5:$H32,"oui",$E$5:$E32,"encadrant")+COUNTIFS($H$5:$H32,"oui",$E$5:$E32,"élève et encadrant"),""))</f>
        <v/>
      </c>
      <c r="N32" s="10" t="str">
        <f t="shared" si="2"/>
        <v>Virginie CATHALA [P081]</v>
      </c>
      <c r="O32" s="10">
        <f>IF($B32="","",COUNTIF(Personnes!$D$5:$D$154,"&lt;"&amp;$D32)+COUNTIF($D$5:$D32,$D32))</f>
        <v>96</v>
      </c>
      <c r="P32" s="8"/>
    </row>
    <row r="33" spans="1:16" x14ac:dyDescent="0.2">
      <c r="A33" s="10" t="str">
        <f>IF($H33="","",COUNTIF($H$5:$H33,"oui"))</f>
        <v/>
      </c>
      <c r="B33" s="8" t="s">
        <v>265</v>
      </c>
      <c r="C33" s="8" t="s">
        <v>266</v>
      </c>
      <c r="D33" s="8" t="s">
        <v>267</v>
      </c>
      <c r="E33" s="8"/>
      <c r="F33" s="8" t="s">
        <v>218</v>
      </c>
      <c r="G33" s="11"/>
      <c r="H33" s="10" t="str">
        <f t="shared" si="0"/>
        <v/>
      </c>
      <c r="I33" s="10" t="str">
        <f>IF($H33="","",COUNTIF(Presences!$C$5:$C$504,$B33))</f>
        <v/>
      </c>
      <c r="J33" s="10" t="str">
        <f>IF($H33="","",Tableau_de_bord!$B$5)</f>
        <v/>
      </c>
      <c r="K33" s="13" t="str">
        <f t="shared" si="1"/>
        <v/>
      </c>
      <c r="L33" s="10" t="str">
        <f>IF($H33&lt;&gt;"oui","",IF(OR($E33="élève",$E33="élève et encadrant"),COUNTIFS($H$5:$H33,"oui",$E$5:$E33,"élève")+COUNTIFS($H$5:$H33,"oui",$E$5:$E33,"élève et encadrant"),""))</f>
        <v/>
      </c>
      <c r="M33" s="10" t="str">
        <f>IF($H33&lt;&gt;"oui","",IF(OR($E33="encadrant",$E33="élève et encadrant"),COUNTIFS($H$5:$H33,"oui",$E$5:$E33,"encadrant")+COUNTIFS($H$5:$H33,"oui",$E$5:$E33,"élève et encadrant"),""))</f>
        <v/>
      </c>
      <c r="N33" s="10" t="str">
        <f t="shared" si="2"/>
        <v>Magali CAVATORE [P069]</v>
      </c>
      <c r="O33" s="10">
        <f>IF($B33="","",COUNTIF(Personnes!$D$5:$D$154,"&lt;"&amp;$D33)+COUNTIF($D$5:$D33,$D33))</f>
        <v>58</v>
      </c>
      <c r="P33" s="8"/>
    </row>
    <row r="34" spans="1:16" x14ac:dyDescent="0.2">
      <c r="A34" s="10" t="str">
        <f>IF($H34="","",COUNTIF($H$5:$H34,"oui"))</f>
        <v/>
      </c>
      <c r="B34" s="8" t="s">
        <v>268</v>
      </c>
      <c r="C34" s="8" t="s">
        <v>269</v>
      </c>
      <c r="D34" s="8" t="s">
        <v>248</v>
      </c>
      <c r="E34" s="8"/>
      <c r="F34" s="8" t="s">
        <v>214</v>
      </c>
      <c r="G34" s="11"/>
      <c r="H34" s="10" t="str">
        <f t="shared" si="0"/>
        <v/>
      </c>
      <c r="I34" s="10" t="str">
        <f>IF($H34="","",COUNTIF(Presences!$C$5:$C$504,$B34))</f>
        <v/>
      </c>
      <c r="J34" s="10" t="str">
        <f>IF($H34="","",Tableau_de_bord!$B$5)</f>
        <v/>
      </c>
      <c r="K34" s="13" t="str">
        <f t="shared" si="1"/>
        <v/>
      </c>
      <c r="L34" s="10" t="str">
        <f>IF($H34&lt;&gt;"oui","",IF(OR($E34="élève",$E34="élève et encadrant"),COUNTIFS($H$5:$H34,"oui",$E$5:$E34,"élève")+COUNTIFS($H$5:$H34,"oui",$E$5:$E34,"élève et encadrant"),""))</f>
        <v/>
      </c>
      <c r="M34" s="10" t="str">
        <f>IF($H34&lt;&gt;"oui","",IF(OR($E34="encadrant",$E34="élève et encadrant"),COUNTIFS($H$5:$H34,"oui",$E$5:$E34,"encadrant")+COUNTIFS($H$5:$H34,"oui",$E$5:$E34,"élève et encadrant"),""))</f>
        <v/>
      </c>
      <c r="N34" s="10" t="str">
        <f t="shared" si="2"/>
        <v>Christophe CHABERNAUD [P097]</v>
      </c>
      <c r="O34" s="10">
        <f>IF($B34="","",COUNTIF(Personnes!$D$5:$D$154,"&lt;"&amp;$D34)+COUNTIF($D$5:$D34,$D34))</f>
        <v>23</v>
      </c>
      <c r="P34" s="8"/>
    </row>
    <row r="35" spans="1:16" x14ac:dyDescent="0.2">
      <c r="A35" s="10" t="str">
        <f>IF($H35="","",COUNTIF($H$5:$H35,"oui"))</f>
        <v/>
      </c>
      <c r="B35" s="8" t="s">
        <v>270</v>
      </c>
      <c r="C35" s="8" t="s">
        <v>271</v>
      </c>
      <c r="D35" s="8" t="s">
        <v>272</v>
      </c>
      <c r="E35" s="8"/>
      <c r="F35" s="8" t="s">
        <v>273</v>
      </c>
      <c r="G35" s="11"/>
      <c r="H35" s="10" t="str">
        <f t="shared" si="0"/>
        <v/>
      </c>
      <c r="I35" s="10" t="str">
        <f>IF($H35="","",COUNTIF(Presences!$C$5:$C$504,$B35))</f>
        <v/>
      </c>
      <c r="J35" s="10" t="str">
        <f>IF($H35="","",Tableau_de_bord!$B$5)</f>
        <v/>
      </c>
      <c r="K35" s="13" t="str">
        <f t="shared" si="1"/>
        <v/>
      </c>
      <c r="L35" s="10" t="str">
        <f>IF($H35&lt;&gt;"oui","",IF(OR($E35="élève",$E35="élève et encadrant"),COUNTIFS($H$5:$H35,"oui",$E$5:$E35,"élève")+COUNTIFS($H$5:$H35,"oui",$E$5:$E35,"élève et encadrant"),""))</f>
        <v/>
      </c>
      <c r="M35" s="10" t="str">
        <f>IF($H35&lt;&gt;"oui","",IF(OR($E35="encadrant",$E35="élève et encadrant"),COUNTIFS($H$5:$H35,"oui",$E$5:$E35,"encadrant")+COUNTIFS($H$5:$H35,"oui",$E$5:$E35,"élève et encadrant"),""))</f>
        <v/>
      </c>
      <c r="N35" s="10" t="str">
        <f t="shared" si="2"/>
        <v>Victorinne CHARDONNET [P031]</v>
      </c>
      <c r="O35" s="10">
        <f>IF($B35="","",COUNTIF(Personnes!$D$5:$D$154,"&lt;"&amp;$D35)+COUNTIF($D$5:$D35,$D35))</f>
        <v>93</v>
      </c>
      <c r="P35" s="8" t="s">
        <v>274</v>
      </c>
    </row>
    <row r="36" spans="1:16" x14ac:dyDescent="0.2">
      <c r="A36" s="10" t="str">
        <f>IF($H36="","",COUNTIF($H$5:$H36,"oui"))</f>
        <v/>
      </c>
      <c r="B36" s="8" t="s">
        <v>275</v>
      </c>
      <c r="C36" s="8" t="s">
        <v>276</v>
      </c>
      <c r="D36" s="8" t="s">
        <v>277</v>
      </c>
      <c r="E36" s="8"/>
      <c r="F36" s="8" t="s">
        <v>218</v>
      </c>
      <c r="G36" s="11"/>
      <c r="H36" s="10" t="str">
        <f t="shared" si="0"/>
        <v/>
      </c>
      <c r="I36" s="10" t="str">
        <f>IF($H36="","",COUNTIF(Presences!$C$5:$C$504,$B36))</f>
        <v/>
      </c>
      <c r="J36" s="10" t="str">
        <f>IF($H36="","",Tableau_de_bord!$B$5)</f>
        <v/>
      </c>
      <c r="K36" s="13" t="str">
        <f t="shared" si="1"/>
        <v/>
      </c>
      <c r="L36" s="10" t="str">
        <f>IF($H36&lt;&gt;"oui","",IF(OR($E36="élève",$E36="élève et encadrant"),COUNTIFS($H$5:$H36,"oui",$E$5:$E36,"élève")+COUNTIFS($H$5:$H36,"oui",$E$5:$E36,"élève et encadrant"),""))</f>
        <v/>
      </c>
      <c r="M36" s="10" t="str">
        <f>IF($H36&lt;&gt;"oui","",IF(OR($E36="encadrant",$E36="élève et encadrant"),COUNTIFS($H$5:$H36,"oui",$E$5:$E36,"encadrant")+COUNTIFS($H$5:$H36,"oui",$E$5:$E36,"élève et encadrant"),""))</f>
        <v/>
      </c>
      <c r="N36" s="10" t="str">
        <f t="shared" si="2"/>
        <v>Matthieu CHIARAMONTE [P022]</v>
      </c>
      <c r="O36" s="10">
        <f>IF($B36="","",COUNTIF(Personnes!$D$5:$D$154,"&lt;"&amp;$D36)+COUNTIF($D$5:$D36,$D36))</f>
        <v>64</v>
      </c>
      <c r="P36" s="8"/>
    </row>
    <row r="37" spans="1:16" x14ac:dyDescent="0.2">
      <c r="A37" s="10" t="str">
        <f>IF($H37="","",COUNTIF($H$5:$H37,"oui"))</f>
        <v/>
      </c>
      <c r="B37" s="8" t="s">
        <v>278</v>
      </c>
      <c r="C37" s="8" t="s">
        <v>279</v>
      </c>
      <c r="D37" s="8" t="s">
        <v>280</v>
      </c>
      <c r="E37" s="8"/>
      <c r="F37" s="8" t="s">
        <v>222</v>
      </c>
      <c r="G37" s="11"/>
      <c r="H37" s="10" t="str">
        <f t="shared" ref="H37:H68" si="3">IF($B37="","",IF(ISNUMBER(SEARCH("/LC/","/"&amp;SUBSTITUTE($F37," / ","/")&amp;"/")),"oui",""))</f>
        <v/>
      </c>
      <c r="I37" s="10" t="str">
        <f>IF($H37="","",COUNTIF(Presences!$C$5:$C$504,$B37))</f>
        <v/>
      </c>
      <c r="J37" s="10" t="str">
        <f>IF($H37="","",Tableau_de_bord!$B$5)</f>
        <v/>
      </c>
      <c r="K37" s="13" t="str">
        <f t="shared" ref="K37:K68" si="4">IFERROR(IF($J37=0,"",$I37/$J37),"")</f>
        <v/>
      </c>
      <c r="L37" s="10" t="str">
        <f>IF($H37&lt;&gt;"oui","",IF(OR($E37="élève",$E37="élève et encadrant"),COUNTIFS($H$5:$H37,"oui",$E$5:$E37,"élève")+COUNTIFS($H$5:$H37,"oui",$E$5:$E37,"élève et encadrant"),""))</f>
        <v/>
      </c>
      <c r="M37" s="10" t="str">
        <f>IF($H37&lt;&gt;"oui","",IF(OR($E37="encadrant",$E37="élève et encadrant"),COUNTIFS($H$5:$H37,"oui",$E$5:$E37,"encadrant")+COUNTIFS($H$5:$H37,"oui",$E$5:$E37,"élève et encadrant"),""))</f>
        <v/>
      </c>
      <c r="N37" s="10" t="str">
        <f t="shared" ref="N37:N68" si="5">IF($B37="","",TRIM(IF($D37="",$C37,$D37&amp;" "&amp;$C37))&amp;" ["&amp;$B37&amp;"]")</f>
        <v>Franco CODAZZO [P082]</v>
      </c>
      <c r="O37" s="10">
        <f>IF($B37="","",COUNTIF(Personnes!$D$5:$D$154,"&lt;"&amp;$D37)+COUNTIF($D$5:$D37,$D37))</f>
        <v>36</v>
      </c>
      <c r="P37" s="8"/>
    </row>
    <row r="38" spans="1:16" x14ac:dyDescent="0.2">
      <c r="A38" s="10" t="str">
        <f>IF($H38="","",COUNTIF($H$5:$H38,"oui"))</f>
        <v/>
      </c>
      <c r="B38" s="8" t="s">
        <v>281</v>
      </c>
      <c r="C38" s="8" t="s">
        <v>181</v>
      </c>
      <c r="D38" s="8" t="s">
        <v>282</v>
      </c>
      <c r="E38" s="8"/>
      <c r="F38" s="8" t="s">
        <v>218</v>
      </c>
      <c r="G38" s="11"/>
      <c r="H38" s="10" t="str">
        <f t="shared" si="3"/>
        <v/>
      </c>
      <c r="I38" s="10" t="str">
        <f>IF($H38="","",COUNTIF(Presences!$C$5:$C$504,$B38))</f>
        <v/>
      </c>
      <c r="J38" s="10" t="str">
        <f>IF($H38="","",Tableau_de_bord!$B$5)</f>
        <v/>
      </c>
      <c r="K38" s="13" t="str">
        <f t="shared" si="4"/>
        <v/>
      </c>
      <c r="L38" s="10" t="str">
        <f>IF($H38&lt;&gt;"oui","",IF(OR($E38="élève",$E38="élève et encadrant"),COUNTIFS($H$5:$H38,"oui",$E$5:$E38,"élève")+COUNTIFS($H$5:$H38,"oui",$E$5:$E38,"élève et encadrant"),""))</f>
        <v/>
      </c>
      <c r="M38" s="10" t="str">
        <f>IF($H38&lt;&gt;"oui","",IF(OR($E38="encadrant",$E38="élève et encadrant"),COUNTIFS($H$5:$H38,"oui",$E$5:$E38,"encadrant")+COUNTIFS($H$5:$H38,"oui",$E$5:$E38,"élève et encadrant"),""))</f>
        <v/>
      </c>
      <c r="N38" s="10" t="str">
        <f t="shared" si="5"/>
        <v>Caroline COLIN DE VERDIERE [P006]</v>
      </c>
      <c r="O38" s="10">
        <f>IF($B38="","",COUNTIF(Personnes!$D$5:$D$154,"&lt;"&amp;$D38)+COUNTIF($D$5:$D38,$D38))</f>
        <v>18</v>
      </c>
      <c r="P38" s="8" t="s">
        <v>283</v>
      </c>
    </row>
    <row r="39" spans="1:16" x14ac:dyDescent="0.2">
      <c r="A39" s="10" t="str">
        <f>IF($H39="","",COUNTIF($H$5:$H39,"oui"))</f>
        <v/>
      </c>
      <c r="B39" s="8" t="s">
        <v>284</v>
      </c>
      <c r="C39" s="8" t="s">
        <v>181</v>
      </c>
      <c r="D39" s="8" t="s">
        <v>285</v>
      </c>
      <c r="E39" s="8"/>
      <c r="F39" s="8" t="s">
        <v>218</v>
      </c>
      <c r="G39" s="11"/>
      <c r="H39" s="10" t="str">
        <f t="shared" si="3"/>
        <v/>
      </c>
      <c r="I39" s="10" t="str">
        <f>IF($H39="","",COUNTIF(Presences!$C$5:$C$504,$B39))</f>
        <v/>
      </c>
      <c r="J39" s="10" t="str">
        <f>IF($H39="","",Tableau_de_bord!$B$5)</f>
        <v/>
      </c>
      <c r="K39" s="13" t="str">
        <f t="shared" si="4"/>
        <v/>
      </c>
      <c r="L39" s="10" t="str">
        <f>IF($H39&lt;&gt;"oui","",IF(OR($E39="élève",$E39="élève et encadrant"),COUNTIFS($H$5:$H39,"oui",$E$5:$E39,"élève")+COUNTIFS($H$5:$H39,"oui",$E$5:$E39,"élève et encadrant"),""))</f>
        <v/>
      </c>
      <c r="M39" s="10" t="str">
        <f>IF($H39&lt;&gt;"oui","",IF(OR($E39="encadrant",$E39="élève et encadrant"),COUNTIFS($H$5:$H39,"oui",$E$5:$E39,"encadrant")+COUNTIFS($H$5:$H39,"oui",$E$5:$E39,"élève et encadrant"),""))</f>
        <v/>
      </c>
      <c r="N39" s="10" t="str">
        <f t="shared" si="5"/>
        <v>Etienne COLIN DE VERDIERE [P011]</v>
      </c>
      <c r="O39" s="10">
        <f>IF($B39="","",COUNTIF(Personnes!$D$5:$D$154,"&lt;"&amp;$D39)+COUNTIF($D$5:$D39,$D39))</f>
        <v>33</v>
      </c>
      <c r="P39" s="8" t="s">
        <v>286</v>
      </c>
    </row>
    <row r="40" spans="1:16" x14ac:dyDescent="0.2">
      <c r="A40" s="10" t="str">
        <f>IF($H40="","",COUNTIF($H$5:$H40,"oui"))</f>
        <v/>
      </c>
      <c r="B40" s="8" t="s">
        <v>287</v>
      </c>
      <c r="C40" s="8" t="s">
        <v>288</v>
      </c>
      <c r="D40" s="8" t="s">
        <v>289</v>
      </c>
      <c r="E40" s="8"/>
      <c r="F40" s="8" t="s">
        <v>222</v>
      </c>
      <c r="G40" s="11"/>
      <c r="H40" s="10" t="str">
        <f t="shared" si="3"/>
        <v/>
      </c>
      <c r="I40" s="10" t="str">
        <f>IF($H40="","",COUNTIF(Presences!$C$5:$C$504,$B40))</f>
        <v/>
      </c>
      <c r="J40" s="10" t="str">
        <f>IF($H40="","",Tableau_de_bord!$B$5)</f>
        <v/>
      </c>
      <c r="K40" s="13" t="str">
        <f t="shared" si="4"/>
        <v/>
      </c>
      <c r="L40" s="10" t="str">
        <f>IF($H40&lt;&gt;"oui","",IF(OR($E40="élève",$E40="élève et encadrant"),COUNTIFS($H$5:$H40,"oui",$E$5:$E40,"élève")+COUNTIFS($H$5:$H40,"oui",$E$5:$E40,"élève et encadrant"),""))</f>
        <v/>
      </c>
      <c r="M40" s="10" t="str">
        <f>IF($H40&lt;&gt;"oui","",IF(OR($E40="encadrant",$E40="élève et encadrant"),COUNTIFS($H$5:$H40,"oui",$E$5:$E40,"encadrant")+COUNTIFS($H$5:$H40,"oui",$E$5:$E40,"élève et encadrant"),""))</f>
        <v/>
      </c>
      <c r="N40" s="10" t="str">
        <f t="shared" si="5"/>
        <v>Sandra CORNET-VERNET [P083]</v>
      </c>
      <c r="O40" s="10">
        <f>IF($B40="","",COUNTIF(Personnes!$D$5:$D$154,"&lt;"&amp;$D40)+COUNTIF($D$5:$D40,$D40))</f>
        <v>80</v>
      </c>
      <c r="P40" s="8"/>
    </row>
    <row r="41" spans="1:16" x14ac:dyDescent="0.2">
      <c r="A41" s="10" t="str">
        <f>IF($H41="","",COUNTIF($H$5:$H41,"oui"))</f>
        <v/>
      </c>
      <c r="B41" s="8" t="s">
        <v>290</v>
      </c>
      <c r="C41" s="8" t="s">
        <v>291</v>
      </c>
      <c r="D41" s="8" t="s">
        <v>292</v>
      </c>
      <c r="E41" s="8"/>
      <c r="F41" s="8" t="s">
        <v>222</v>
      </c>
      <c r="G41" s="11"/>
      <c r="H41" s="10" t="str">
        <f t="shared" si="3"/>
        <v/>
      </c>
      <c r="I41" s="10" t="str">
        <f>IF($H41="","",COUNTIF(Presences!$C$5:$C$504,$B41))</f>
        <v/>
      </c>
      <c r="J41" s="10" t="str">
        <f>IF($H41="","",Tableau_de_bord!$B$5)</f>
        <v/>
      </c>
      <c r="K41" s="13" t="str">
        <f t="shared" si="4"/>
        <v/>
      </c>
      <c r="L41" s="10" t="str">
        <f>IF($H41&lt;&gt;"oui","",IF(OR($E41="élève",$E41="élève et encadrant"),COUNTIFS($H$5:$H41,"oui",$E$5:$E41,"élève")+COUNTIFS($H$5:$H41,"oui",$E$5:$E41,"élève et encadrant"),""))</f>
        <v/>
      </c>
      <c r="M41" s="10" t="str">
        <f>IF($H41&lt;&gt;"oui","",IF(OR($E41="encadrant",$E41="élève et encadrant"),COUNTIFS($H$5:$H41,"oui",$E$5:$E41,"encadrant")+COUNTIFS($H$5:$H41,"oui",$E$5:$E41,"élève et encadrant"),""))</f>
        <v/>
      </c>
      <c r="N41" s="10" t="str">
        <f t="shared" si="5"/>
        <v>Monia COSSAIS [P084]</v>
      </c>
      <c r="O41" s="10">
        <f>IF($B41="","",COUNTIF(Personnes!$D$5:$D$154,"&lt;"&amp;$D41)+COUNTIF($D$5:$D41,$D41))</f>
        <v>68</v>
      </c>
      <c r="P41" s="8"/>
    </row>
    <row r="42" spans="1:16" x14ac:dyDescent="0.2">
      <c r="A42" s="10" t="str">
        <f>IF($H42="","",COUNTIF($H$5:$H42,"oui"))</f>
        <v/>
      </c>
      <c r="B42" s="8" t="s">
        <v>293</v>
      </c>
      <c r="C42" s="8" t="s">
        <v>294</v>
      </c>
      <c r="D42" s="8" t="s">
        <v>295</v>
      </c>
      <c r="E42" s="8"/>
      <c r="F42" s="8" t="s">
        <v>296</v>
      </c>
      <c r="G42" s="11"/>
      <c r="H42" s="10" t="str">
        <f t="shared" si="3"/>
        <v/>
      </c>
      <c r="I42" s="10" t="str">
        <f>IF($H42="","",COUNTIF(Presences!$C$5:$C$504,$B42))</f>
        <v/>
      </c>
      <c r="J42" s="10" t="str">
        <f>IF($H42="","",Tableau_de_bord!$B$5)</f>
        <v/>
      </c>
      <c r="K42" s="13" t="str">
        <f t="shared" si="4"/>
        <v/>
      </c>
      <c r="L42" s="10" t="str">
        <f>IF($H42&lt;&gt;"oui","",IF(OR($E42="élève",$E42="élève et encadrant"),COUNTIFS($H$5:$H42,"oui",$E$5:$E42,"élève")+COUNTIFS($H$5:$H42,"oui",$E$5:$E42,"élève et encadrant"),""))</f>
        <v/>
      </c>
      <c r="M42" s="10" t="str">
        <f>IF($H42&lt;&gt;"oui","",IF(OR($E42="encadrant",$E42="élève et encadrant"),COUNTIFS($H$5:$H42,"oui",$E$5:$E42,"encadrant")+COUNTIFS($H$5:$H42,"oui",$E$5:$E42,"élève et encadrant"),""))</f>
        <v/>
      </c>
      <c r="N42" s="10" t="str">
        <f t="shared" si="5"/>
        <v>Charline DANSEUX [P007]</v>
      </c>
      <c r="O42" s="10">
        <f>IF($B42="","",COUNTIF(Personnes!$D$5:$D$154,"&lt;"&amp;$D42)+COUNTIF($D$5:$D42,$D42))</f>
        <v>21</v>
      </c>
      <c r="P42" s="8" t="s">
        <v>297</v>
      </c>
    </row>
    <row r="43" spans="1:16" x14ac:dyDescent="0.2">
      <c r="A43" s="10" t="str">
        <f>IF($H43="","",COUNTIF($H$5:$H43,"oui"))</f>
        <v/>
      </c>
      <c r="B43" s="8" t="s">
        <v>298</v>
      </c>
      <c r="C43" s="8" t="s">
        <v>299</v>
      </c>
      <c r="D43" s="8" t="s">
        <v>300</v>
      </c>
      <c r="E43" s="8"/>
      <c r="F43" s="8" t="s">
        <v>222</v>
      </c>
      <c r="G43" s="11"/>
      <c r="H43" s="10" t="str">
        <f t="shared" si="3"/>
        <v/>
      </c>
      <c r="I43" s="10" t="str">
        <f>IF($H43="","",COUNTIF(Presences!$C$5:$C$504,$B43))</f>
        <v/>
      </c>
      <c r="J43" s="10" t="str">
        <f>IF($H43="","",Tableau_de_bord!$B$5)</f>
        <v/>
      </c>
      <c r="K43" s="13" t="str">
        <f t="shared" si="4"/>
        <v/>
      </c>
      <c r="L43" s="10" t="str">
        <f>IF($H43&lt;&gt;"oui","",IF(OR($E43="élève",$E43="élève et encadrant"),COUNTIFS($H$5:$H43,"oui",$E$5:$E43,"élève")+COUNTIFS($H$5:$H43,"oui",$E$5:$E43,"élève et encadrant"),""))</f>
        <v/>
      </c>
      <c r="M43" s="10" t="str">
        <f>IF($H43&lt;&gt;"oui","",IF(OR($E43="encadrant",$E43="élève et encadrant"),COUNTIFS($H$5:$H43,"oui",$E$5:$E43,"encadrant")+COUNTIFS($H$5:$H43,"oui",$E$5:$E43,"élève et encadrant"),""))</f>
        <v/>
      </c>
      <c r="N43" s="10" t="str">
        <f t="shared" si="5"/>
        <v>Arnaud DE LA BRETESCHE [P085]</v>
      </c>
      <c r="O43" s="10">
        <f>IF($B43="","",COUNTIF(Personnes!$D$5:$D$154,"&lt;"&amp;$D43)+COUNTIF($D$5:$D43,$D43))</f>
        <v>10</v>
      </c>
      <c r="P43" s="8"/>
    </row>
    <row r="44" spans="1:16" x14ac:dyDescent="0.2">
      <c r="A44" s="10" t="str">
        <f>IF($H44="","",COUNTIF($H$5:$H44,"oui"))</f>
        <v/>
      </c>
      <c r="B44" s="8" t="s">
        <v>301</v>
      </c>
      <c r="C44" s="8" t="s">
        <v>302</v>
      </c>
      <c r="D44" s="8" t="s">
        <v>207</v>
      </c>
      <c r="E44" s="8"/>
      <c r="F44" s="8" t="s">
        <v>222</v>
      </c>
      <c r="G44" s="11"/>
      <c r="H44" s="10" t="str">
        <f t="shared" si="3"/>
        <v/>
      </c>
      <c r="I44" s="10" t="str">
        <f>IF($H44="","",COUNTIF(Presences!$C$5:$C$504,$B44))</f>
        <v/>
      </c>
      <c r="J44" s="10" t="str">
        <f>IF($H44="","",Tableau_de_bord!$B$5)</f>
        <v/>
      </c>
      <c r="K44" s="13" t="str">
        <f t="shared" si="4"/>
        <v/>
      </c>
      <c r="L44" s="10" t="str">
        <f>IF($H44&lt;&gt;"oui","",IF(OR($E44="élève",$E44="élève et encadrant"),COUNTIFS($H$5:$H44,"oui",$E$5:$E44,"élève")+COUNTIFS($H$5:$H44,"oui",$E$5:$E44,"élève et encadrant"),""))</f>
        <v/>
      </c>
      <c r="M44" s="10" t="str">
        <f>IF($H44&lt;&gt;"oui","",IF(OR($E44="encadrant",$E44="élève et encadrant"),COUNTIFS($H$5:$H44,"oui",$E$5:$E44,"encadrant")+COUNTIFS($H$5:$H44,"oui",$E$5:$E44,"élève et encadrant"),""))</f>
        <v/>
      </c>
      <c r="N44" s="10" t="str">
        <f t="shared" si="5"/>
        <v>Alain DEPRETZ [P086]</v>
      </c>
      <c r="O44" s="10">
        <f>IF($B44="","",COUNTIF(Personnes!$D$5:$D$154,"&lt;"&amp;$D44)+COUNTIF($D$5:$D44,$D44))</f>
        <v>4</v>
      </c>
      <c r="P44" s="8"/>
    </row>
    <row r="45" spans="1:16" x14ac:dyDescent="0.2">
      <c r="A45" s="10" t="str">
        <f>IF($H45="","",COUNTIF($H$5:$H45,"oui"))</f>
        <v/>
      </c>
      <c r="B45" s="8" t="s">
        <v>303</v>
      </c>
      <c r="C45" s="8" t="s">
        <v>304</v>
      </c>
      <c r="D45" s="8" t="s">
        <v>305</v>
      </c>
      <c r="E45" s="8"/>
      <c r="F45" s="8" t="s">
        <v>218</v>
      </c>
      <c r="G45" s="11"/>
      <c r="H45" s="10" t="str">
        <f t="shared" si="3"/>
        <v/>
      </c>
      <c r="I45" s="10" t="str">
        <f>IF($H45="","",COUNTIF(Presences!$C$5:$C$504,$B45))</f>
        <v/>
      </c>
      <c r="J45" s="10" t="str">
        <f>IF($H45="","",Tableau_de_bord!$B$5)</f>
        <v/>
      </c>
      <c r="K45" s="13" t="str">
        <f t="shared" si="4"/>
        <v/>
      </c>
      <c r="L45" s="10" t="str">
        <f>IF($H45&lt;&gt;"oui","",IF(OR($E45="élève",$E45="élève et encadrant"),COUNTIFS($H$5:$H45,"oui",$E$5:$E45,"élève")+COUNTIFS($H$5:$H45,"oui",$E$5:$E45,"élève et encadrant"),""))</f>
        <v/>
      </c>
      <c r="M45" s="10" t="str">
        <f>IF($H45&lt;&gt;"oui","",IF(OR($E45="encadrant",$E45="élève et encadrant"),COUNTIFS($H$5:$H45,"oui",$E$5:$E45,"encadrant")+COUNTIFS($H$5:$H45,"oui",$E$5:$E45,"élève et encadrant"),""))</f>
        <v/>
      </c>
      <c r="N45" s="10" t="str">
        <f t="shared" si="5"/>
        <v>Antonin DESMERGES [P002]</v>
      </c>
      <c r="O45" s="10">
        <f>IF($B45="","",COUNTIF(Personnes!$D$5:$D$154,"&lt;"&amp;$D45)+COUNTIF($D$5:$D45,$D45))</f>
        <v>9</v>
      </c>
      <c r="P45" s="8"/>
    </row>
    <row r="46" spans="1:16" x14ac:dyDescent="0.2">
      <c r="A46" s="10" t="str">
        <f>IF($H46="","",COUNTIF($H$5:$H46,"oui"))</f>
        <v/>
      </c>
      <c r="B46" s="8" t="s">
        <v>306</v>
      </c>
      <c r="C46" s="8" t="s">
        <v>307</v>
      </c>
      <c r="D46" s="8" t="s">
        <v>308</v>
      </c>
      <c r="E46" s="8"/>
      <c r="F46" s="8" t="s">
        <v>218</v>
      </c>
      <c r="G46" s="11"/>
      <c r="H46" s="10" t="str">
        <f t="shared" si="3"/>
        <v/>
      </c>
      <c r="I46" s="10" t="str">
        <f>IF($H46="","",COUNTIF(Presences!$C$5:$C$504,$B46))</f>
        <v/>
      </c>
      <c r="J46" s="10" t="str">
        <f>IF($H46="","",Tableau_de_bord!$B$5)</f>
        <v/>
      </c>
      <c r="K46" s="13" t="str">
        <f t="shared" si="4"/>
        <v/>
      </c>
      <c r="L46" s="10" t="str">
        <f>IF($H46&lt;&gt;"oui","",IF(OR($E46="élève",$E46="élève et encadrant"),COUNTIFS($H$5:$H46,"oui",$E$5:$E46,"élève")+COUNTIFS($H$5:$H46,"oui",$E$5:$E46,"élève et encadrant"),""))</f>
        <v/>
      </c>
      <c r="M46" s="10" t="str">
        <f>IF($H46&lt;&gt;"oui","",IF(OR($E46="encadrant",$E46="élève et encadrant"),COUNTIFS($H$5:$H46,"oui",$E$5:$E46,"encadrant")+COUNTIFS($H$5:$H46,"oui",$E$5:$E46,"élève et encadrant"),""))</f>
        <v/>
      </c>
      <c r="N46" s="10" t="str">
        <f t="shared" si="5"/>
        <v>Aurélien DEVILLIERS [P070]</v>
      </c>
      <c r="O46" s="10">
        <f>IF($B46="","",COUNTIF(Personnes!$D$5:$D$154,"&lt;"&amp;$D46)+COUNTIF($D$5:$D46,$D46))</f>
        <v>13</v>
      </c>
      <c r="P46" s="8"/>
    </row>
    <row r="47" spans="1:16" x14ac:dyDescent="0.2">
      <c r="A47" s="10" t="str">
        <f>IF($H47="","",COUNTIF($H$5:$H47,"oui"))</f>
        <v/>
      </c>
      <c r="B47" s="8" t="s">
        <v>309</v>
      </c>
      <c r="C47" s="8" t="s">
        <v>310</v>
      </c>
      <c r="D47" s="8" t="s">
        <v>190</v>
      </c>
      <c r="E47" s="8"/>
      <c r="F47" s="8" t="s">
        <v>222</v>
      </c>
      <c r="G47" s="11"/>
      <c r="H47" s="10" t="str">
        <f t="shared" si="3"/>
        <v/>
      </c>
      <c r="I47" s="10" t="str">
        <f>IF($H47="","",COUNTIF(Presences!$C$5:$C$504,$B47))</f>
        <v/>
      </c>
      <c r="J47" s="10" t="str">
        <f>IF($H47="","",Tableau_de_bord!$B$5)</f>
        <v/>
      </c>
      <c r="K47" s="13" t="str">
        <f t="shared" si="4"/>
        <v/>
      </c>
      <c r="L47" s="10" t="str">
        <f>IF($H47&lt;&gt;"oui","",IF(OR($E47="élève",$E47="élève et encadrant"),COUNTIFS($H$5:$H47,"oui",$E$5:$E47,"élève")+COUNTIFS($H$5:$H47,"oui",$E$5:$E47,"élève et encadrant"),""))</f>
        <v/>
      </c>
      <c r="M47" s="10" t="str">
        <f>IF($H47&lt;&gt;"oui","",IF(OR($E47="encadrant",$E47="élève et encadrant"),COUNTIFS($H$5:$H47,"oui",$E$5:$E47,"encadrant")+COUNTIFS($H$5:$H47,"oui",$E$5:$E47,"élève et encadrant"),""))</f>
        <v/>
      </c>
      <c r="N47" s="10" t="str">
        <f t="shared" si="5"/>
        <v>Céline DUBUISSON [P087]</v>
      </c>
      <c r="O47" s="10">
        <f>IF($B47="","",COUNTIF(Personnes!$D$5:$D$154,"&lt;"&amp;$D47)+COUNTIF($D$5:$D47,$D47))</f>
        <v>20</v>
      </c>
      <c r="P47" s="8"/>
    </row>
    <row r="48" spans="1:16" x14ac:dyDescent="0.2">
      <c r="A48" s="10" t="str">
        <f>IF($H48="","",COUNTIF($H$5:$H48,"oui"))</f>
        <v/>
      </c>
      <c r="B48" s="8" t="s">
        <v>311</v>
      </c>
      <c r="C48" s="8" t="s">
        <v>312</v>
      </c>
      <c r="D48" s="8" t="s">
        <v>313</v>
      </c>
      <c r="E48" s="8"/>
      <c r="F48" s="8" t="s">
        <v>218</v>
      </c>
      <c r="G48" s="11"/>
      <c r="H48" s="10" t="str">
        <f t="shared" si="3"/>
        <v/>
      </c>
      <c r="I48" s="10" t="str">
        <f>IF($H48="","",COUNTIF(Presences!$C$5:$C$504,$B48))</f>
        <v/>
      </c>
      <c r="J48" s="10" t="str">
        <f>IF($H48="","",Tableau_de_bord!$B$5)</f>
        <v/>
      </c>
      <c r="K48" s="13" t="str">
        <f t="shared" si="4"/>
        <v/>
      </c>
      <c r="L48" s="10" t="str">
        <f>IF($H48&lt;&gt;"oui","",IF(OR($E48="élève",$E48="élève et encadrant"),COUNTIFS($H$5:$H48,"oui",$E$5:$E48,"élève")+COUNTIFS($H$5:$H48,"oui",$E$5:$E48,"élève et encadrant"),""))</f>
        <v/>
      </c>
      <c r="M48" s="10" t="str">
        <f>IF($H48&lt;&gt;"oui","",IF(OR($E48="encadrant",$E48="élève et encadrant"),COUNTIFS($H$5:$H48,"oui",$E$5:$E48,"encadrant")+COUNTIFS($H$5:$H48,"oui",$E$5:$E48,"élève et encadrant"),""))</f>
        <v/>
      </c>
      <c r="N48" s="10" t="str">
        <f t="shared" si="5"/>
        <v>Jérôme DUVAL [P071]</v>
      </c>
      <c r="O48" s="10">
        <f>IF($B48="","",COUNTIF(Personnes!$D$5:$D$154,"&lt;"&amp;$D48)+COUNTIF($D$5:$D48,$D48))</f>
        <v>47</v>
      </c>
      <c r="P48" s="8"/>
    </row>
    <row r="49" spans="1:16" x14ac:dyDescent="0.2">
      <c r="A49" s="10" t="str">
        <f>IF($H49="","",COUNTIF($H$5:$H49,"oui"))</f>
        <v/>
      </c>
      <c r="B49" s="8" t="s">
        <v>314</v>
      </c>
      <c r="C49" s="8" t="s">
        <v>315</v>
      </c>
      <c r="D49" s="8" t="s">
        <v>316</v>
      </c>
      <c r="E49" s="8"/>
      <c r="F49" s="8" t="s">
        <v>218</v>
      </c>
      <c r="G49" s="11"/>
      <c r="H49" s="10" t="str">
        <f t="shared" si="3"/>
        <v/>
      </c>
      <c r="I49" s="10" t="str">
        <f>IF($H49="","",COUNTIF(Presences!$C$5:$C$504,$B49))</f>
        <v/>
      </c>
      <c r="J49" s="10" t="str">
        <f>IF($H49="","",Tableau_de_bord!$B$5)</f>
        <v/>
      </c>
      <c r="K49" s="13" t="str">
        <f t="shared" si="4"/>
        <v/>
      </c>
      <c r="L49" s="10" t="str">
        <f>IF($H49&lt;&gt;"oui","",IF(OR($E49="élève",$E49="élève et encadrant"),COUNTIFS($H$5:$H49,"oui",$E$5:$E49,"élève")+COUNTIFS($H$5:$H49,"oui",$E$5:$E49,"élève et encadrant"),""))</f>
        <v/>
      </c>
      <c r="M49" s="10" t="str">
        <f>IF($H49&lt;&gt;"oui","",IF(OR($E49="encadrant",$E49="élève et encadrant"),COUNTIFS($H$5:$H49,"oui",$E$5:$E49,"encadrant")+COUNTIFS($H$5:$H49,"oui",$E$5:$E49,"élève et encadrant"),""))</f>
        <v/>
      </c>
      <c r="N49" s="10" t="str">
        <f t="shared" si="5"/>
        <v>Agnieszka FIHEL [P072]</v>
      </c>
      <c r="O49" s="10">
        <f>IF($B49="","",COUNTIF(Personnes!$D$5:$D$154,"&lt;"&amp;$D49)+COUNTIF($D$5:$D49,$D49))</f>
        <v>2</v>
      </c>
      <c r="P49" s="8"/>
    </row>
    <row r="50" spans="1:16" x14ac:dyDescent="0.2">
      <c r="A50" s="10" t="str">
        <f>IF($H50="","",COUNTIF($H$5:$H50,"oui"))</f>
        <v/>
      </c>
      <c r="B50" s="8" t="s">
        <v>317</v>
      </c>
      <c r="C50" s="8" t="s">
        <v>318</v>
      </c>
      <c r="D50" s="8" t="s">
        <v>207</v>
      </c>
      <c r="E50" s="8"/>
      <c r="F50" s="8" t="s">
        <v>222</v>
      </c>
      <c r="G50" s="11"/>
      <c r="H50" s="10" t="str">
        <f t="shared" si="3"/>
        <v/>
      </c>
      <c r="I50" s="10" t="str">
        <f>IF($H50="","",COUNTIF(Presences!$C$5:$C$504,$B50))</f>
        <v/>
      </c>
      <c r="J50" s="10" t="str">
        <f>IF($H50="","",Tableau_de_bord!$B$5)</f>
        <v/>
      </c>
      <c r="K50" s="13" t="str">
        <f t="shared" si="4"/>
        <v/>
      </c>
      <c r="L50" s="10" t="str">
        <f>IF($H50&lt;&gt;"oui","",IF(OR($E50="élève",$E50="élève et encadrant"),COUNTIFS($H$5:$H50,"oui",$E$5:$E50,"élève")+COUNTIFS($H$5:$H50,"oui",$E$5:$E50,"élève et encadrant"),""))</f>
        <v/>
      </c>
      <c r="M50" s="10" t="str">
        <f>IF($H50&lt;&gt;"oui","",IF(OR($E50="encadrant",$E50="élève et encadrant"),COUNTIFS($H$5:$H50,"oui",$E$5:$E50,"encadrant")+COUNTIFS($H$5:$H50,"oui",$E$5:$E50,"élève et encadrant"),""))</f>
        <v/>
      </c>
      <c r="N50" s="10" t="str">
        <f t="shared" si="5"/>
        <v>Alain FIOR [P088]</v>
      </c>
      <c r="O50" s="10">
        <f>IF($B50="","",COUNTIF(Personnes!$D$5:$D$154,"&lt;"&amp;$D50)+COUNTIF($D$5:$D50,$D50))</f>
        <v>5</v>
      </c>
      <c r="P50" s="8"/>
    </row>
    <row r="51" spans="1:16" x14ac:dyDescent="0.2">
      <c r="A51" s="10" t="str">
        <f>IF($H51="","",COUNTIF($H$5:$H51,"oui"))</f>
        <v/>
      </c>
      <c r="B51" s="8" t="s">
        <v>319</v>
      </c>
      <c r="C51" s="8" t="s">
        <v>320</v>
      </c>
      <c r="D51" s="8" t="s">
        <v>321</v>
      </c>
      <c r="E51" s="8"/>
      <c r="F51" s="8" t="s">
        <v>218</v>
      </c>
      <c r="G51" s="11"/>
      <c r="H51" s="10" t="str">
        <f t="shared" si="3"/>
        <v/>
      </c>
      <c r="I51" s="10" t="str">
        <f>IF($H51="","",COUNTIF(Presences!$C$5:$C$504,$B51))</f>
        <v/>
      </c>
      <c r="J51" s="10" t="str">
        <f>IF($H51="","",Tableau_de_bord!$B$5)</f>
        <v/>
      </c>
      <c r="K51" s="13" t="str">
        <f t="shared" si="4"/>
        <v/>
      </c>
      <c r="L51" s="10" t="str">
        <f>IF($H51&lt;&gt;"oui","",IF(OR($E51="élève",$E51="élève et encadrant"),COUNTIFS($H$5:$H51,"oui",$E$5:$E51,"élève")+COUNTIFS($H$5:$H51,"oui",$E$5:$E51,"élève et encadrant"),""))</f>
        <v/>
      </c>
      <c r="M51" s="10" t="str">
        <f>IF($H51&lt;&gt;"oui","",IF(OR($E51="encadrant",$E51="élève et encadrant"),COUNTIFS($H$5:$H51,"oui",$E$5:$E51,"encadrant")+COUNTIFS($H$5:$H51,"oui",$E$5:$E51,"élève et encadrant"),""))</f>
        <v/>
      </c>
      <c r="N51" s="10" t="str">
        <f t="shared" si="5"/>
        <v>Benjamin FRASCA [P005]</v>
      </c>
      <c r="O51" s="10">
        <f>IF($B51="","",COUNTIF(Personnes!$D$5:$D$154,"&lt;"&amp;$D51)+COUNTIF($D$5:$D51,$D51))</f>
        <v>15</v>
      </c>
      <c r="P51" s="8" t="s">
        <v>322</v>
      </c>
    </row>
    <row r="52" spans="1:16" x14ac:dyDescent="0.2">
      <c r="A52" s="10" t="str">
        <f>IF($H52="","",COUNTIF($H$5:$H52,"oui"))</f>
        <v/>
      </c>
      <c r="B52" s="8" t="s">
        <v>323</v>
      </c>
      <c r="C52" s="8" t="s">
        <v>324</v>
      </c>
      <c r="D52" s="8" t="s">
        <v>325</v>
      </c>
      <c r="E52" s="8"/>
      <c r="F52" s="8" t="s">
        <v>222</v>
      </c>
      <c r="G52" s="11"/>
      <c r="H52" s="10" t="str">
        <f t="shared" si="3"/>
        <v/>
      </c>
      <c r="I52" s="10" t="str">
        <f>IF($H52="","",COUNTIF(Presences!$C$5:$C$504,$B52))</f>
        <v/>
      </c>
      <c r="J52" s="10" t="str">
        <f>IF($H52="","",Tableau_de_bord!$B$5)</f>
        <v/>
      </c>
      <c r="K52" s="13" t="str">
        <f t="shared" si="4"/>
        <v/>
      </c>
      <c r="L52" s="10" t="str">
        <f>IF($H52&lt;&gt;"oui","",IF(OR($E52="élève",$E52="élève et encadrant"),COUNTIFS($H$5:$H52,"oui",$E$5:$E52,"élève")+COUNTIFS($H$5:$H52,"oui",$E$5:$E52,"élève et encadrant"),""))</f>
        <v/>
      </c>
      <c r="M52" s="10" t="str">
        <f>IF($H52&lt;&gt;"oui","",IF(OR($E52="encadrant",$E52="élève et encadrant"),COUNTIFS($H$5:$H52,"oui",$E$5:$E52,"encadrant")+COUNTIFS($H$5:$H52,"oui",$E$5:$E52,"élève et encadrant"),""))</f>
        <v/>
      </c>
      <c r="N52" s="10" t="str">
        <f t="shared" si="5"/>
        <v>Laurent GARCIA [P089]</v>
      </c>
      <c r="O52" s="10">
        <f>IF($B52="","",COUNTIF(Personnes!$D$5:$D$154,"&lt;"&amp;$D52)+COUNTIF($D$5:$D52,$D52))</f>
        <v>54</v>
      </c>
      <c r="P52" s="8"/>
    </row>
    <row r="53" spans="1:16" x14ac:dyDescent="0.2">
      <c r="A53" s="10" t="str">
        <f>IF($H53="","",COUNTIF($H$5:$H53,"oui"))</f>
        <v/>
      </c>
      <c r="B53" s="8" t="s">
        <v>326</v>
      </c>
      <c r="C53" s="8" t="s">
        <v>327</v>
      </c>
      <c r="D53" s="8" t="s">
        <v>328</v>
      </c>
      <c r="E53" s="8"/>
      <c r="F53" s="8" t="s">
        <v>218</v>
      </c>
      <c r="G53" s="11"/>
      <c r="H53" s="10" t="str">
        <f t="shared" si="3"/>
        <v/>
      </c>
      <c r="I53" s="10" t="str">
        <f>IF($H53="","",COUNTIF(Presences!$C$5:$C$504,$B53))</f>
        <v/>
      </c>
      <c r="J53" s="10" t="str">
        <f>IF($H53="","",Tableau_de_bord!$B$5)</f>
        <v/>
      </c>
      <c r="K53" s="13" t="str">
        <f t="shared" si="4"/>
        <v/>
      </c>
      <c r="L53" s="10" t="str">
        <f>IF($H53&lt;&gt;"oui","",IF(OR($E53="élève",$E53="élève et encadrant"),COUNTIFS($H$5:$H53,"oui",$E$5:$E53,"élève")+COUNTIFS($H$5:$H53,"oui",$E$5:$E53,"élève et encadrant"),""))</f>
        <v/>
      </c>
      <c r="M53" s="10" t="str">
        <f>IF($H53&lt;&gt;"oui","",IF(OR($E53="encadrant",$E53="élève et encadrant"),COUNTIFS($H$5:$H53,"oui",$E$5:$E53,"encadrant")+COUNTIFS($H$5:$H53,"oui",$E$5:$E53,"élève et encadrant"),""))</f>
        <v/>
      </c>
      <c r="N53" s="10" t="str">
        <f t="shared" si="5"/>
        <v>Samy GOBAA [P027]</v>
      </c>
      <c r="O53" s="10">
        <f>IF($B53="","",COUNTIF(Personnes!$D$5:$D$154,"&lt;"&amp;$D53)+COUNTIF($D$5:$D53,$D53))</f>
        <v>79</v>
      </c>
      <c r="P53" s="8"/>
    </row>
    <row r="54" spans="1:16" x14ac:dyDescent="0.2">
      <c r="A54" s="10" t="str">
        <f>IF($H54="","",COUNTIF($H$5:$H54,"oui"))</f>
        <v/>
      </c>
      <c r="B54" s="8" t="s">
        <v>329</v>
      </c>
      <c r="C54" s="8" t="s">
        <v>330</v>
      </c>
      <c r="D54" s="8" t="s">
        <v>331</v>
      </c>
      <c r="E54" s="8"/>
      <c r="F54" s="8" t="s">
        <v>218</v>
      </c>
      <c r="G54" s="11"/>
      <c r="H54" s="10" t="str">
        <f t="shared" si="3"/>
        <v/>
      </c>
      <c r="I54" s="10" t="str">
        <f>IF($H54="","",COUNTIF(Presences!$C$5:$C$504,$B54))</f>
        <v/>
      </c>
      <c r="J54" s="10" t="str">
        <f>IF($H54="","",Tableau_de_bord!$B$5)</f>
        <v/>
      </c>
      <c r="K54" s="13" t="str">
        <f t="shared" si="4"/>
        <v/>
      </c>
      <c r="L54" s="10" t="str">
        <f>IF($H54&lt;&gt;"oui","",IF(OR($E54="élève",$E54="élève et encadrant"),COUNTIFS($H$5:$H54,"oui",$E$5:$E54,"élève")+COUNTIFS($H$5:$H54,"oui",$E$5:$E54,"élève et encadrant"),""))</f>
        <v/>
      </c>
      <c r="M54" s="10" t="str">
        <f>IF($H54&lt;&gt;"oui","",IF(OR($E54="encadrant",$E54="élève et encadrant"),COUNTIFS($H$5:$H54,"oui",$E$5:$E54,"encadrant")+COUNTIFS($H$5:$H54,"oui",$E$5:$E54,"élève et encadrant"),""))</f>
        <v/>
      </c>
      <c r="N54" s="10" t="str">
        <f t="shared" si="5"/>
        <v>Jean-François GOUDOU [P015]</v>
      </c>
      <c r="O54" s="10">
        <f>IF($B54="","",COUNTIF(Personnes!$D$5:$D$154,"&lt;"&amp;$D54)+COUNTIF($D$5:$D54,$D54))</f>
        <v>45</v>
      </c>
      <c r="P54" s="8" t="s">
        <v>332</v>
      </c>
    </row>
    <row r="55" spans="1:16" x14ac:dyDescent="0.2">
      <c r="A55" s="10" t="str">
        <f>IF($H55="","",COUNTIF($H$5:$H55,"oui"))</f>
        <v/>
      </c>
      <c r="B55" s="8" t="s">
        <v>333</v>
      </c>
      <c r="C55" s="8" t="s">
        <v>334</v>
      </c>
      <c r="D55" s="8" t="s">
        <v>335</v>
      </c>
      <c r="E55" s="8"/>
      <c r="F55" s="8" t="s">
        <v>218</v>
      </c>
      <c r="G55" s="11"/>
      <c r="H55" s="10" t="str">
        <f t="shared" si="3"/>
        <v/>
      </c>
      <c r="I55" s="10" t="str">
        <f>IF($H55="","",COUNTIF(Presences!$C$5:$C$504,$B55))</f>
        <v/>
      </c>
      <c r="J55" s="10" t="str">
        <f>IF($H55="","",Tableau_de_bord!$B$5)</f>
        <v/>
      </c>
      <c r="K55" s="13" t="str">
        <f t="shared" si="4"/>
        <v/>
      </c>
      <c r="L55" s="10" t="str">
        <f>IF($H55&lt;&gt;"oui","",IF(OR($E55="élève",$E55="élève et encadrant"),COUNTIFS($H$5:$H55,"oui",$E$5:$E55,"élève")+COUNTIFS($H$5:$H55,"oui",$E$5:$E55,"élève et encadrant"),""))</f>
        <v/>
      </c>
      <c r="M55" s="10" t="str">
        <f>IF($H55&lt;&gt;"oui","",IF(OR($E55="encadrant",$E55="élève et encadrant"),COUNTIFS($H$5:$H55,"oui",$E$5:$E55,"encadrant")+COUNTIFS($H$5:$H55,"oui",$E$5:$E55,"élève et encadrant"),""))</f>
        <v/>
      </c>
      <c r="N55" s="10" t="str">
        <f t="shared" si="5"/>
        <v>Béatrice GOUSSARD [P004]</v>
      </c>
      <c r="O55" s="10">
        <f>IF($B55="","",COUNTIF(Personnes!$D$5:$D$154,"&lt;"&amp;$D55)+COUNTIF($D$5:$D55,$D55))</f>
        <v>14</v>
      </c>
      <c r="P55" s="8" t="s">
        <v>336</v>
      </c>
    </row>
    <row r="56" spans="1:16" x14ac:dyDescent="0.2">
      <c r="A56" s="10" t="str">
        <f>IF($H56="","",COUNTIF($H$5:$H56,"oui"))</f>
        <v/>
      </c>
      <c r="B56" s="8" t="s">
        <v>337</v>
      </c>
      <c r="C56" s="8" t="s">
        <v>338</v>
      </c>
      <c r="D56" s="8" t="s">
        <v>339</v>
      </c>
      <c r="E56" s="8"/>
      <c r="F56" s="8" t="s">
        <v>273</v>
      </c>
      <c r="G56" s="11"/>
      <c r="H56" s="10" t="str">
        <f t="shared" si="3"/>
        <v/>
      </c>
      <c r="I56" s="10" t="str">
        <f>IF($H56="","",COUNTIF(Presences!$C$5:$C$504,$B56))</f>
        <v/>
      </c>
      <c r="J56" s="10" t="str">
        <f>IF($H56="","",Tableau_de_bord!$B$5)</f>
        <v/>
      </c>
      <c r="K56" s="13" t="str">
        <f t="shared" si="4"/>
        <v/>
      </c>
      <c r="L56" s="10" t="str">
        <f>IF($H56&lt;&gt;"oui","",IF(OR($E56="élève",$E56="élève et encadrant"),COUNTIFS($H$5:$H56,"oui",$E$5:$E56,"élève")+COUNTIFS($H$5:$H56,"oui",$E$5:$E56,"élève et encadrant"),""))</f>
        <v/>
      </c>
      <c r="M56" s="10" t="str">
        <f>IF($H56&lt;&gt;"oui","",IF(OR($E56="encadrant",$E56="élève et encadrant"),COUNTIFS($H$5:$H56,"oui",$E$5:$E56,"encadrant")+COUNTIFS($H$5:$H56,"oui",$E$5:$E56,"élève et encadrant"),""))</f>
        <v/>
      </c>
      <c r="N56" s="10" t="str">
        <f t="shared" si="5"/>
        <v>Michael GRENIER [P032]</v>
      </c>
      <c r="O56" s="10">
        <f>IF($B56="","",COUNTIF(Personnes!$D$5:$D$154,"&lt;"&amp;$D56)+COUNTIF($D$5:$D56,$D56))</f>
        <v>66</v>
      </c>
      <c r="P56" s="8" t="s">
        <v>340</v>
      </c>
    </row>
    <row r="57" spans="1:16" x14ac:dyDescent="0.2">
      <c r="A57" s="10" t="str">
        <f>IF($H57="","",COUNTIF($H$5:$H57,"oui"))</f>
        <v/>
      </c>
      <c r="B57" s="8" t="s">
        <v>341</v>
      </c>
      <c r="C57" s="8" t="s">
        <v>342</v>
      </c>
      <c r="D57" s="8" t="s">
        <v>277</v>
      </c>
      <c r="E57" s="8"/>
      <c r="F57" s="8" t="s">
        <v>218</v>
      </c>
      <c r="G57" s="11"/>
      <c r="H57" s="10" t="str">
        <f t="shared" si="3"/>
        <v/>
      </c>
      <c r="I57" s="10" t="str">
        <f>IF($H57="","",COUNTIF(Presences!$C$5:$C$504,$B57))</f>
        <v/>
      </c>
      <c r="J57" s="10" t="str">
        <f>IF($H57="","",Tableau_de_bord!$B$5)</f>
        <v/>
      </c>
      <c r="K57" s="13" t="str">
        <f t="shared" si="4"/>
        <v/>
      </c>
      <c r="L57" s="10" t="str">
        <f>IF($H57&lt;&gt;"oui","",IF(OR($E57="élève",$E57="élève et encadrant"),COUNTIFS($H$5:$H57,"oui",$E$5:$E57,"élève")+COUNTIFS($H$5:$H57,"oui",$E$5:$E57,"élève et encadrant"),""))</f>
        <v/>
      </c>
      <c r="M57" s="10" t="str">
        <f>IF($H57&lt;&gt;"oui","",IF(OR($E57="encadrant",$E57="élève et encadrant"),COUNTIFS($H$5:$H57,"oui",$E$5:$E57,"encadrant")+COUNTIFS($H$5:$H57,"oui",$E$5:$E57,"élève et encadrant"),""))</f>
        <v/>
      </c>
      <c r="N57" s="10" t="str">
        <f t="shared" si="5"/>
        <v>Matthieu GUEGUEN [P023]</v>
      </c>
      <c r="O57" s="10">
        <f>IF($B57="","",COUNTIF(Personnes!$D$5:$D$154,"&lt;"&amp;$D57)+COUNTIF($D$5:$D57,$D57))</f>
        <v>65</v>
      </c>
      <c r="P57" s="8"/>
    </row>
    <row r="58" spans="1:16" x14ac:dyDescent="0.2">
      <c r="A58" s="10" t="str">
        <f>IF($H58="","",COUNTIF($H$5:$H58,"oui"))</f>
        <v/>
      </c>
      <c r="B58" s="8" t="s">
        <v>343</v>
      </c>
      <c r="C58" s="8" t="s">
        <v>342</v>
      </c>
      <c r="D58" s="8" t="s">
        <v>344</v>
      </c>
      <c r="E58" s="8"/>
      <c r="F58" s="8" t="s">
        <v>218</v>
      </c>
      <c r="G58" s="11"/>
      <c r="H58" s="10" t="str">
        <f t="shared" si="3"/>
        <v/>
      </c>
      <c r="I58" s="10" t="str">
        <f>IF($H58="","",COUNTIF(Presences!$C$5:$C$504,$B58))</f>
        <v/>
      </c>
      <c r="J58" s="10" t="str">
        <f>IF($H58="","",Tableau_de_bord!$B$5)</f>
        <v/>
      </c>
      <c r="K58" s="13" t="str">
        <f t="shared" si="4"/>
        <v/>
      </c>
      <c r="L58" s="10" t="str">
        <f>IF($H58&lt;&gt;"oui","",IF(OR($E58="élève",$E58="élève et encadrant"),COUNTIFS($H$5:$H58,"oui",$E$5:$E58,"élève")+COUNTIFS($H$5:$H58,"oui",$E$5:$E58,"élève et encadrant"),""))</f>
        <v/>
      </c>
      <c r="M58" s="10" t="str">
        <f>IF($H58&lt;&gt;"oui","",IF(OR($E58="encadrant",$E58="élève et encadrant"),COUNTIFS($H$5:$H58,"oui",$E$5:$E58,"encadrant")+COUNTIFS($H$5:$H58,"oui",$E$5:$E58,"élève et encadrant"),""))</f>
        <v/>
      </c>
      <c r="N58" s="10" t="str">
        <f t="shared" si="5"/>
        <v>Stephane GUEGUEN [P029]</v>
      </c>
      <c r="O58" s="10">
        <f>IF($B58="","",COUNTIF(Personnes!$D$5:$D$154,"&lt;"&amp;$D58)+COUNTIF($D$5:$D58,$D58))</f>
        <v>87</v>
      </c>
      <c r="P58" s="8"/>
    </row>
    <row r="59" spans="1:16" x14ac:dyDescent="0.2">
      <c r="A59" s="10" t="str">
        <f>IF($H59="","",COUNTIF($H$5:$H59,"oui"))</f>
        <v/>
      </c>
      <c r="B59" s="8" t="s">
        <v>345</v>
      </c>
      <c r="C59" s="8" t="s">
        <v>346</v>
      </c>
      <c r="D59" s="8" t="s">
        <v>207</v>
      </c>
      <c r="E59" s="8"/>
      <c r="F59" s="8" t="s">
        <v>218</v>
      </c>
      <c r="G59" s="11"/>
      <c r="H59" s="10" t="str">
        <f t="shared" si="3"/>
        <v/>
      </c>
      <c r="I59" s="10" t="str">
        <f>IF($H59="","",COUNTIF(Presences!$C$5:$C$504,$B59))</f>
        <v/>
      </c>
      <c r="J59" s="10" t="str">
        <f>IF($H59="","",Tableau_de_bord!$B$5)</f>
        <v/>
      </c>
      <c r="K59" s="13" t="str">
        <f t="shared" si="4"/>
        <v/>
      </c>
      <c r="L59" s="10" t="str">
        <f>IF($H59&lt;&gt;"oui","",IF(OR($E59="élève",$E59="élève et encadrant"),COUNTIFS($H$5:$H59,"oui",$E$5:$E59,"élève")+COUNTIFS($H$5:$H59,"oui",$E$5:$E59,"élève et encadrant"),""))</f>
        <v/>
      </c>
      <c r="M59" s="10" t="str">
        <f>IF($H59&lt;&gt;"oui","",IF(OR($E59="encadrant",$E59="élève et encadrant"),COUNTIFS($H$5:$H59,"oui",$E$5:$E59,"encadrant")+COUNTIFS($H$5:$H59,"oui",$E$5:$E59,"élève et encadrant"),""))</f>
        <v/>
      </c>
      <c r="N59" s="10" t="str">
        <f t="shared" si="5"/>
        <v>Alain GUEVEL [P001]</v>
      </c>
      <c r="O59" s="10">
        <f>IF($B59="","",COUNTIF(Personnes!$D$5:$D$154,"&lt;"&amp;$D59)+COUNTIF($D$5:$D59,$D59))</f>
        <v>6</v>
      </c>
      <c r="P59" s="8" t="s">
        <v>347</v>
      </c>
    </row>
    <row r="60" spans="1:16" x14ac:dyDescent="0.2">
      <c r="A60" s="10" t="str">
        <f>IF($H60="","",COUNTIF($H$5:$H60,"oui"))</f>
        <v/>
      </c>
      <c r="B60" s="8" t="s">
        <v>348</v>
      </c>
      <c r="C60" s="8" t="s">
        <v>349</v>
      </c>
      <c r="D60" s="8" t="s">
        <v>350</v>
      </c>
      <c r="E60" s="8"/>
      <c r="F60" s="8" t="s">
        <v>214</v>
      </c>
      <c r="G60" s="11"/>
      <c r="H60" s="10" t="str">
        <f t="shared" si="3"/>
        <v/>
      </c>
      <c r="I60" s="10" t="str">
        <f>IF($H60="","",COUNTIF(Presences!$C$5:$C$504,$B60))</f>
        <v/>
      </c>
      <c r="J60" s="10" t="str">
        <f>IF($H60="","",Tableau_de_bord!$B$5)</f>
        <v/>
      </c>
      <c r="K60" s="13" t="str">
        <f t="shared" si="4"/>
        <v/>
      </c>
      <c r="L60" s="10" t="str">
        <f>IF($H60&lt;&gt;"oui","",IF(OR($E60="élève",$E60="élève et encadrant"),COUNTIFS($H$5:$H60,"oui",$E$5:$E60,"élève")+COUNTIFS($H$5:$H60,"oui",$E$5:$E60,"élève et encadrant"),""))</f>
        <v/>
      </c>
      <c r="M60" s="10" t="str">
        <f>IF($H60&lt;&gt;"oui","",IF(OR($E60="encadrant",$E60="élève et encadrant"),COUNTIFS($H$5:$H60,"oui",$E$5:$E60,"encadrant")+COUNTIFS($H$5:$H60,"oui",$E$5:$E60,"élève et encadrant"),""))</f>
        <v/>
      </c>
      <c r="N60" s="10" t="str">
        <f t="shared" si="5"/>
        <v>Anthony GUGLIELMO [P040]</v>
      </c>
      <c r="O60" s="10">
        <f>IF($B60="","",COUNTIF(Personnes!$D$5:$D$154,"&lt;"&amp;$D60)+COUNTIF($D$5:$D60,$D60))</f>
        <v>7</v>
      </c>
      <c r="P60" s="8" t="s">
        <v>351</v>
      </c>
    </row>
    <row r="61" spans="1:16" x14ac:dyDescent="0.2">
      <c r="A61" s="10" t="str">
        <f>IF($H61="","",COUNTIF($H$5:$H61,"oui"))</f>
        <v/>
      </c>
      <c r="B61" s="8" t="s">
        <v>352</v>
      </c>
      <c r="C61" s="8" t="s">
        <v>353</v>
      </c>
      <c r="D61" s="8" t="s">
        <v>354</v>
      </c>
      <c r="E61" s="8"/>
      <c r="F61" s="8" t="s">
        <v>218</v>
      </c>
      <c r="G61" s="11"/>
      <c r="H61" s="10" t="str">
        <f t="shared" si="3"/>
        <v/>
      </c>
      <c r="I61" s="10" t="str">
        <f>IF($H61="","",COUNTIF(Presences!$C$5:$C$504,$B61))</f>
        <v/>
      </c>
      <c r="J61" s="10" t="str">
        <f>IF($H61="","",Tableau_de_bord!$B$5)</f>
        <v/>
      </c>
      <c r="K61" s="13" t="str">
        <f t="shared" si="4"/>
        <v/>
      </c>
      <c r="L61" s="10" t="str">
        <f>IF($H61&lt;&gt;"oui","",IF(OR($E61="élève",$E61="élève et encadrant"),COUNTIFS($H$5:$H61,"oui",$E$5:$E61,"élève")+COUNTIFS($H$5:$H61,"oui",$E$5:$E61,"élève et encadrant"),""))</f>
        <v/>
      </c>
      <c r="M61" s="10" t="str">
        <f>IF($H61&lt;&gt;"oui","",IF(OR($E61="encadrant",$E61="élève et encadrant"),COUNTIFS($H$5:$H61,"oui",$E$5:$E61,"encadrant")+COUNTIFS($H$5:$H61,"oui",$E$5:$E61,"élève et encadrant"),""))</f>
        <v/>
      </c>
      <c r="N61" s="10" t="str">
        <f t="shared" si="5"/>
        <v>Aude GUIBOURT [P073]</v>
      </c>
      <c r="O61" s="10">
        <f>IF($B61="","",COUNTIF(Personnes!$D$5:$D$154,"&lt;"&amp;$D61)+COUNTIF($D$5:$D61,$D61))</f>
        <v>11</v>
      </c>
      <c r="P61" s="8"/>
    </row>
    <row r="62" spans="1:16" x14ac:dyDescent="0.2">
      <c r="A62" s="10" t="str">
        <f>IF($H62="","",COUNTIF($H$5:$H62,"oui"))</f>
        <v/>
      </c>
      <c r="B62" s="8" t="s">
        <v>355</v>
      </c>
      <c r="C62" s="8" t="s">
        <v>356</v>
      </c>
      <c r="D62" s="8" t="s">
        <v>357</v>
      </c>
      <c r="E62" s="8"/>
      <c r="F62" s="8" t="s">
        <v>218</v>
      </c>
      <c r="G62" s="11"/>
      <c r="H62" s="10" t="str">
        <f t="shared" si="3"/>
        <v/>
      </c>
      <c r="I62" s="10" t="str">
        <f>IF($H62="","",COUNTIF(Presences!$C$5:$C$504,$B62))</f>
        <v/>
      </c>
      <c r="J62" s="10" t="str">
        <f>IF($H62="","",Tableau_de_bord!$B$5)</f>
        <v/>
      </c>
      <c r="K62" s="13" t="str">
        <f t="shared" si="4"/>
        <v/>
      </c>
      <c r="L62" s="10" t="str">
        <f>IF($H62&lt;&gt;"oui","",IF(OR($E62="élève",$E62="élève et encadrant"),COUNTIFS($H$5:$H62,"oui",$E$5:$E62,"élève")+COUNTIFS($H$5:$H62,"oui",$E$5:$E62,"élève et encadrant"),""))</f>
        <v/>
      </c>
      <c r="M62" s="10" t="str">
        <f>IF($H62&lt;&gt;"oui","",IF(OR($E62="encadrant",$E62="élève et encadrant"),COUNTIFS($H$5:$H62,"oui",$E$5:$E62,"encadrant")+COUNTIFS($H$5:$H62,"oui",$E$5:$E62,"élève et encadrant"),""))</f>
        <v/>
      </c>
      <c r="N62" s="10" t="str">
        <f t="shared" si="5"/>
        <v>Serge HABERT [P074]</v>
      </c>
      <c r="O62" s="10">
        <f>IF($B62="","",COUNTIF(Personnes!$D$5:$D$154,"&lt;"&amp;$D62)+COUNTIF($D$5:$D62,$D62))</f>
        <v>85</v>
      </c>
      <c r="P62" s="8"/>
    </row>
    <row r="63" spans="1:16" x14ac:dyDescent="0.2">
      <c r="A63" s="10" t="str">
        <f>IF($H63="","",COUNTIF($H$5:$H63,"oui"))</f>
        <v/>
      </c>
      <c r="B63" s="8" t="s">
        <v>358</v>
      </c>
      <c r="C63" s="8" t="s">
        <v>359</v>
      </c>
      <c r="D63" s="8" t="s">
        <v>360</v>
      </c>
      <c r="E63" s="8"/>
      <c r="F63" s="8" t="s">
        <v>296</v>
      </c>
      <c r="G63" s="11"/>
      <c r="H63" s="10" t="str">
        <f t="shared" si="3"/>
        <v/>
      </c>
      <c r="I63" s="10" t="str">
        <f>IF($H63="","",COUNTIF(Presences!$C$5:$C$504,$B63))</f>
        <v/>
      </c>
      <c r="J63" s="10" t="str">
        <f>IF($H63="","",Tableau_de_bord!$B$5)</f>
        <v/>
      </c>
      <c r="K63" s="13" t="str">
        <f t="shared" si="4"/>
        <v/>
      </c>
      <c r="L63" s="10" t="str">
        <f>IF($H63&lt;&gt;"oui","",IF(OR($E63="élève",$E63="élève et encadrant"),COUNTIFS($H$5:$H63,"oui",$E$5:$E63,"élève")+COUNTIFS($H$5:$H63,"oui",$E$5:$E63,"élève et encadrant"),""))</f>
        <v/>
      </c>
      <c r="M63" s="10" t="str">
        <f>IF($H63&lt;&gt;"oui","",IF(OR($E63="encadrant",$E63="élève et encadrant"),COUNTIFS($H$5:$H63,"oui",$E$5:$E63,"encadrant")+COUNTIFS($H$5:$H63,"oui",$E$5:$E63,"élève et encadrant"),""))</f>
        <v/>
      </c>
      <c r="N63" s="10" t="str">
        <f t="shared" si="5"/>
        <v>Cyrille HANNOU [P009]</v>
      </c>
      <c r="O63" s="10">
        <f>IF($B63="","",COUNTIF(Personnes!$D$5:$D$154,"&lt;"&amp;$D63)+COUNTIF($D$5:$D63,$D63))</f>
        <v>26</v>
      </c>
      <c r="P63" s="8" t="s">
        <v>361</v>
      </c>
    </row>
    <row r="64" spans="1:16" x14ac:dyDescent="0.2">
      <c r="A64" s="10" t="str">
        <f>IF($H64="","",COUNTIF($H$5:$H64,"oui"))</f>
        <v/>
      </c>
      <c r="B64" s="8" t="s">
        <v>362</v>
      </c>
      <c r="C64" s="8" t="s">
        <v>363</v>
      </c>
      <c r="D64" s="8" t="s">
        <v>364</v>
      </c>
      <c r="E64" s="8"/>
      <c r="F64" s="8" t="s">
        <v>214</v>
      </c>
      <c r="G64" s="11"/>
      <c r="H64" s="10" t="str">
        <f t="shared" si="3"/>
        <v/>
      </c>
      <c r="I64" s="10" t="str">
        <f>IF($H64="","",COUNTIF(Presences!$C$5:$C$504,$B64))</f>
        <v/>
      </c>
      <c r="J64" s="10" t="str">
        <f>IF($H64="","",Tableau_de_bord!$B$5)</f>
        <v/>
      </c>
      <c r="K64" s="13" t="str">
        <f t="shared" si="4"/>
        <v/>
      </c>
      <c r="L64" s="10" t="str">
        <f>IF($H64&lt;&gt;"oui","",IF(OR($E64="élève",$E64="élève et encadrant"),COUNTIFS($H$5:$H64,"oui",$E$5:$E64,"élève")+COUNTIFS($H$5:$H64,"oui",$E$5:$E64,"élève et encadrant"),""))</f>
        <v/>
      </c>
      <c r="M64" s="10" t="str">
        <f>IF($H64&lt;&gt;"oui","",IF(OR($E64="encadrant",$E64="élève et encadrant"),COUNTIFS($H$5:$H64,"oui",$E$5:$E64,"encadrant")+COUNTIFS($H$5:$H64,"oui",$E$5:$E64,"élève et encadrant"),""))</f>
        <v/>
      </c>
      <c r="N64" s="10" t="str">
        <f t="shared" si="5"/>
        <v>Thomas HENRY [P098]</v>
      </c>
      <c r="O64" s="10">
        <f>IF($B64="","",COUNTIF(Personnes!$D$5:$D$154,"&lt;"&amp;$D64)+COUNTIF($D$5:$D64,$D64))</f>
        <v>92</v>
      </c>
      <c r="P64" s="8"/>
    </row>
    <row r="65" spans="1:16" x14ac:dyDescent="0.2">
      <c r="A65" s="10" t="str">
        <f>IF($H65="","",COUNTIF($H$5:$H65,"oui"))</f>
        <v/>
      </c>
      <c r="B65" s="8" t="s">
        <v>365</v>
      </c>
      <c r="C65" s="8" t="s">
        <v>366</v>
      </c>
      <c r="D65" s="8" t="s">
        <v>367</v>
      </c>
      <c r="E65" s="8"/>
      <c r="F65" s="8" t="s">
        <v>222</v>
      </c>
      <c r="G65" s="11"/>
      <c r="H65" s="10" t="str">
        <f t="shared" si="3"/>
        <v/>
      </c>
      <c r="I65" s="10" t="str">
        <f>IF($H65="","",COUNTIF(Presences!$C$5:$C$504,$B65))</f>
        <v/>
      </c>
      <c r="J65" s="10" t="str">
        <f>IF($H65="","",Tableau_de_bord!$B$5)</f>
        <v/>
      </c>
      <c r="K65" s="13" t="str">
        <f t="shared" si="4"/>
        <v/>
      </c>
      <c r="L65" s="10" t="str">
        <f>IF($H65&lt;&gt;"oui","",IF(OR($E65="élève",$E65="élève et encadrant"),COUNTIFS($H$5:$H65,"oui",$E$5:$E65,"élève")+COUNTIFS($H$5:$H65,"oui",$E$5:$E65,"élève et encadrant"),""))</f>
        <v/>
      </c>
      <c r="M65" s="10" t="str">
        <f>IF($H65&lt;&gt;"oui","",IF(OR($E65="encadrant",$E65="élève et encadrant"),COUNTIFS($H$5:$H65,"oui",$E$5:$E65,"encadrant")+COUNTIFS($H$5:$H65,"oui",$E$5:$E65,"élève et encadrant"),""))</f>
        <v/>
      </c>
      <c r="N65" s="10" t="str">
        <f t="shared" si="5"/>
        <v>Sylvie HERMANS [P090]</v>
      </c>
      <c r="O65" s="10">
        <f>IF($B65="","",COUNTIF(Personnes!$D$5:$D$154,"&lt;"&amp;$D65)+COUNTIF($D$5:$D65,$D65))</f>
        <v>89</v>
      </c>
      <c r="P65" s="8"/>
    </row>
    <row r="66" spans="1:16" x14ac:dyDescent="0.2">
      <c r="A66" s="10" t="str">
        <f>IF($H66="","",COUNTIF($H$5:$H66,"oui"))</f>
        <v/>
      </c>
      <c r="B66" s="8" t="s">
        <v>368</v>
      </c>
      <c r="C66" s="8" t="s">
        <v>369</v>
      </c>
      <c r="D66" s="8" t="s">
        <v>370</v>
      </c>
      <c r="E66" s="8"/>
      <c r="F66" s="8" t="s">
        <v>214</v>
      </c>
      <c r="G66" s="11"/>
      <c r="H66" s="10" t="str">
        <f t="shared" si="3"/>
        <v/>
      </c>
      <c r="I66" s="10" t="str">
        <f>IF($H66="","",COUNTIF(Presences!$C$5:$C$504,$B66))</f>
        <v/>
      </c>
      <c r="J66" s="10" t="str">
        <f>IF($H66="","",Tableau_de_bord!$B$5)</f>
        <v/>
      </c>
      <c r="K66" s="13" t="str">
        <f t="shared" si="4"/>
        <v/>
      </c>
      <c r="L66" s="10" t="str">
        <f>IF($H66&lt;&gt;"oui","",IF(OR($E66="élève",$E66="élève et encadrant"),COUNTIFS($H$5:$H66,"oui",$E$5:$E66,"élève")+COUNTIFS($H$5:$H66,"oui",$E$5:$E66,"élève et encadrant"),""))</f>
        <v/>
      </c>
      <c r="M66" s="10" t="str">
        <f>IF($H66&lt;&gt;"oui","",IF(OR($E66="encadrant",$E66="élève et encadrant"),COUNTIFS($H$5:$H66,"oui",$E$5:$E66,"encadrant")+COUNTIFS($H$5:$H66,"oui",$E$5:$E66,"élève et encadrant"),""))</f>
        <v/>
      </c>
      <c r="N66" s="10" t="str">
        <f t="shared" si="5"/>
        <v>Pierre-Alain HOYAU [P041]</v>
      </c>
      <c r="O66" s="10">
        <f>IF($B66="","",COUNTIF(Personnes!$D$5:$D$154,"&lt;"&amp;$D66)+COUNTIF($D$5:$D66,$D66))</f>
        <v>76</v>
      </c>
      <c r="P66" s="8" t="s">
        <v>371</v>
      </c>
    </row>
    <row r="67" spans="1:16" x14ac:dyDescent="0.2">
      <c r="A67" s="10" t="str">
        <f>IF($H67="","",COUNTIF($H$5:$H67,"oui"))</f>
        <v/>
      </c>
      <c r="B67" s="8" t="s">
        <v>372</v>
      </c>
      <c r="C67" s="8" t="s">
        <v>373</v>
      </c>
      <c r="D67" s="8" t="s">
        <v>374</v>
      </c>
      <c r="E67" s="8"/>
      <c r="F67" s="8" t="s">
        <v>214</v>
      </c>
      <c r="G67" s="11"/>
      <c r="H67" s="10" t="str">
        <f t="shared" si="3"/>
        <v/>
      </c>
      <c r="I67" s="10" t="str">
        <f>IF($H67="","",COUNTIF(Presences!$C$5:$C$504,$B67))</f>
        <v/>
      </c>
      <c r="J67" s="10" t="str">
        <f>IF($H67="","",Tableau_de_bord!$B$5)</f>
        <v/>
      </c>
      <c r="K67" s="13" t="str">
        <f t="shared" si="4"/>
        <v/>
      </c>
      <c r="L67" s="10" t="str">
        <f>IF($H67&lt;&gt;"oui","",IF(OR($E67="élève",$E67="élève et encadrant"),COUNTIFS($H$5:$H67,"oui",$E$5:$E67,"élève")+COUNTIFS($H$5:$H67,"oui",$E$5:$E67,"élève et encadrant"),""))</f>
        <v/>
      </c>
      <c r="M67" s="10" t="str">
        <f>IF($H67&lt;&gt;"oui","",IF(OR($E67="encadrant",$E67="élève et encadrant"),COUNTIFS($H$5:$H67,"oui",$E$5:$E67,"encadrant")+COUNTIFS($H$5:$H67,"oui",$E$5:$E67,"élève et encadrant"),""))</f>
        <v/>
      </c>
      <c r="N67" s="10" t="str">
        <f t="shared" si="5"/>
        <v>David INSERGUET [P042]</v>
      </c>
      <c r="O67" s="10">
        <f>IF($B67="","",COUNTIF(Personnes!$D$5:$D$154,"&lt;"&amp;$D67)+COUNTIF($D$5:$D67,$D67))</f>
        <v>29</v>
      </c>
      <c r="P67" s="8" t="s">
        <v>375</v>
      </c>
    </row>
    <row r="68" spans="1:16" x14ac:dyDescent="0.2">
      <c r="A68" s="10" t="str">
        <f>IF($H68="","",COUNTIF($H$5:$H68,"oui"))</f>
        <v/>
      </c>
      <c r="B68" s="8" t="s">
        <v>376</v>
      </c>
      <c r="C68" s="8" t="s">
        <v>377</v>
      </c>
      <c r="D68" s="8" t="s">
        <v>378</v>
      </c>
      <c r="E68" s="8"/>
      <c r="F68" s="8" t="s">
        <v>296</v>
      </c>
      <c r="G68" s="11"/>
      <c r="H68" s="10" t="str">
        <f t="shared" si="3"/>
        <v/>
      </c>
      <c r="I68" s="10" t="str">
        <f>IF($H68="","",COUNTIF(Presences!$C$5:$C$504,$B68))</f>
        <v/>
      </c>
      <c r="J68" s="10" t="str">
        <f>IF($H68="","",Tableau_de_bord!$B$5)</f>
        <v/>
      </c>
      <c r="K68" s="13" t="str">
        <f t="shared" si="4"/>
        <v/>
      </c>
      <c r="L68" s="10" t="str">
        <f>IF($H68&lt;&gt;"oui","",IF(OR($E68="élève",$E68="élève et encadrant"),COUNTIFS($H$5:$H68,"oui",$E$5:$E68,"élève")+COUNTIFS($H$5:$H68,"oui",$E$5:$E68,"élève et encadrant"),""))</f>
        <v/>
      </c>
      <c r="M68" s="10" t="str">
        <f>IF($H68&lt;&gt;"oui","",IF(OR($E68="encadrant",$E68="élève et encadrant"),COUNTIFS($H$5:$H68,"oui",$E$5:$E68,"encadrant")+COUNTIFS($H$5:$H68,"oui",$E$5:$E68,"élève et encadrant"),""))</f>
        <v/>
      </c>
      <c r="N68" s="10" t="str">
        <f t="shared" si="5"/>
        <v>Nelly JACQUEMOT [P024]</v>
      </c>
      <c r="O68" s="10">
        <f>IF($B68="","",COUNTIF(Personnes!$D$5:$D$154,"&lt;"&amp;$D68)+COUNTIF($D$5:$D68,$D68))</f>
        <v>69</v>
      </c>
      <c r="P68" s="8" t="s">
        <v>379</v>
      </c>
    </row>
    <row r="69" spans="1:16" x14ac:dyDescent="0.2">
      <c r="A69" s="10" t="str">
        <f>IF($H69="","",COUNTIF($H$5:$H69,"oui"))</f>
        <v/>
      </c>
      <c r="B69" s="8" t="s">
        <v>380</v>
      </c>
      <c r="C69" s="8" t="s">
        <v>381</v>
      </c>
      <c r="D69" s="8" t="s">
        <v>382</v>
      </c>
      <c r="E69" s="8"/>
      <c r="F69" s="8" t="s">
        <v>218</v>
      </c>
      <c r="G69" s="11"/>
      <c r="H69" s="10" t="str">
        <f t="shared" ref="H69:H100" si="6">IF($B69="","",IF(ISNUMBER(SEARCH("/LC/","/"&amp;SUBSTITUTE($F69," / ","/")&amp;"/")),"oui",""))</f>
        <v/>
      </c>
      <c r="I69" s="10" t="str">
        <f>IF($H69="","",COUNTIF(Presences!$C$5:$C$504,$B69))</f>
        <v/>
      </c>
      <c r="J69" s="10" t="str">
        <f>IF($H69="","",Tableau_de_bord!$B$5)</f>
        <v/>
      </c>
      <c r="K69" s="13" t="str">
        <f t="shared" ref="K69:K100" si="7">IFERROR(IF($J69=0,"",$I69/$J69),"")</f>
        <v/>
      </c>
      <c r="L69" s="10" t="str">
        <f>IF($H69&lt;&gt;"oui","",IF(OR($E69="élève",$E69="élève et encadrant"),COUNTIFS($H$5:$H69,"oui",$E$5:$E69,"élève")+COUNTIFS($H$5:$H69,"oui",$E$5:$E69,"élève et encadrant"),""))</f>
        <v/>
      </c>
      <c r="M69" s="10" t="str">
        <f>IF($H69&lt;&gt;"oui","",IF(OR($E69="encadrant",$E69="élève et encadrant"),COUNTIFS($H$5:$H69,"oui",$E$5:$E69,"encadrant")+COUNTIFS($H$5:$H69,"oui",$E$5:$E69,"élève et encadrant"),""))</f>
        <v/>
      </c>
      <c r="N69" s="10" t="str">
        <f t="shared" ref="N69:N100" si="8">IF($B69="","",TRIM(IF($D69="",$C69,$D69&amp;" "&amp;$C69))&amp;" ["&amp;$B69&amp;"]")</f>
        <v>Hélène LABAYE [P014]</v>
      </c>
      <c r="O69" s="10">
        <f>IF($B69="","",COUNTIF(Personnes!$D$5:$D$154,"&lt;"&amp;$D69)+COUNTIF($D$5:$D69,$D69))</f>
        <v>42</v>
      </c>
      <c r="P69" s="8" t="s">
        <v>383</v>
      </c>
    </row>
    <row r="70" spans="1:16" x14ac:dyDescent="0.2">
      <c r="A70" s="10" t="str">
        <f>IF($H70="","",COUNTIF($H$5:$H70,"oui"))</f>
        <v/>
      </c>
      <c r="B70" s="8" t="s">
        <v>384</v>
      </c>
      <c r="C70" s="8" t="s">
        <v>385</v>
      </c>
      <c r="D70" s="8" t="s">
        <v>386</v>
      </c>
      <c r="E70" s="8"/>
      <c r="F70" s="8" t="s">
        <v>218</v>
      </c>
      <c r="G70" s="11"/>
      <c r="H70" s="10" t="str">
        <f t="shared" si="6"/>
        <v/>
      </c>
      <c r="I70" s="10" t="str">
        <f>IF($H70="","",COUNTIF(Presences!$C$5:$C$504,$B70))</f>
        <v/>
      </c>
      <c r="J70" s="10" t="str">
        <f>IF($H70="","",Tableau_de_bord!$B$5)</f>
        <v/>
      </c>
      <c r="K70" s="13" t="str">
        <f t="shared" si="7"/>
        <v/>
      </c>
      <c r="L70" s="10" t="str">
        <f>IF($H70&lt;&gt;"oui","",IF(OR($E70="élève",$E70="élève et encadrant"),COUNTIFS($H$5:$H70,"oui",$E$5:$E70,"élève")+COUNTIFS($H$5:$H70,"oui",$E$5:$E70,"élève et encadrant"),""))</f>
        <v/>
      </c>
      <c r="M70" s="10" t="str">
        <f>IF($H70&lt;&gt;"oui","",IF(OR($E70="encadrant",$E70="élève et encadrant"),COUNTIFS($H$5:$H70,"oui",$E$5:$E70,"encadrant")+COUNTIFS($H$5:$H70,"oui",$E$5:$E70,"élève et encadrant"),""))</f>
        <v/>
      </c>
      <c r="N70" s="10" t="str">
        <f t="shared" si="8"/>
        <v>Cyril LABROSSE [P008]</v>
      </c>
      <c r="O70" s="10">
        <f>IF($B70="","",COUNTIF(Personnes!$D$5:$D$154,"&lt;"&amp;$D70)+COUNTIF($D$5:$D70,$D70))</f>
        <v>25</v>
      </c>
      <c r="P70" s="8"/>
    </row>
    <row r="71" spans="1:16" x14ac:dyDescent="0.2">
      <c r="A71" s="10" t="str">
        <f>IF($H71="","",COUNTIF($H$5:$H71,"oui"))</f>
        <v/>
      </c>
      <c r="B71" s="8" t="s">
        <v>387</v>
      </c>
      <c r="C71" s="8" t="s">
        <v>388</v>
      </c>
      <c r="D71" s="8" t="s">
        <v>285</v>
      </c>
      <c r="E71" s="8"/>
      <c r="F71" s="8" t="s">
        <v>218</v>
      </c>
      <c r="G71" s="11"/>
      <c r="H71" s="10" t="str">
        <f t="shared" si="6"/>
        <v/>
      </c>
      <c r="I71" s="10" t="str">
        <f>IF($H71="","",COUNTIF(Presences!$C$5:$C$504,$B71))</f>
        <v/>
      </c>
      <c r="J71" s="10" t="str">
        <f>IF($H71="","",Tableau_de_bord!$B$5)</f>
        <v/>
      </c>
      <c r="K71" s="13" t="str">
        <f t="shared" si="7"/>
        <v/>
      </c>
      <c r="L71" s="10" t="str">
        <f>IF($H71&lt;&gt;"oui","",IF(OR($E71="élève",$E71="élève et encadrant"),COUNTIFS($H$5:$H71,"oui",$E$5:$E71,"élève")+COUNTIFS($H$5:$H71,"oui",$E$5:$E71,"élève et encadrant"),""))</f>
        <v/>
      </c>
      <c r="M71" s="10" t="str">
        <f>IF($H71&lt;&gt;"oui","",IF(OR($E71="encadrant",$E71="élève et encadrant"),COUNTIFS($H$5:$H71,"oui",$E$5:$E71,"encadrant")+COUNTIFS($H$5:$H71,"oui",$E$5:$E71,"élève et encadrant"),""))</f>
        <v/>
      </c>
      <c r="N71" s="10" t="str">
        <f t="shared" si="8"/>
        <v>Etienne LACOUR [P012]</v>
      </c>
      <c r="O71" s="10">
        <f>IF($B71="","",COUNTIF(Personnes!$D$5:$D$154,"&lt;"&amp;$D71)+COUNTIF($D$5:$D71,$D71))</f>
        <v>34</v>
      </c>
      <c r="P71" s="8" t="s">
        <v>389</v>
      </c>
    </row>
    <row r="72" spans="1:16" x14ac:dyDescent="0.2">
      <c r="A72" s="10" t="str">
        <f>IF($H72="","",COUNTIF($H$5:$H72,"oui"))</f>
        <v/>
      </c>
      <c r="B72" s="8" t="s">
        <v>390</v>
      </c>
      <c r="C72" s="8" t="s">
        <v>391</v>
      </c>
      <c r="D72" s="8" t="s">
        <v>392</v>
      </c>
      <c r="E72" s="8"/>
      <c r="F72" s="8" t="s">
        <v>218</v>
      </c>
      <c r="G72" s="11"/>
      <c r="H72" s="10" t="str">
        <f t="shared" si="6"/>
        <v/>
      </c>
      <c r="I72" s="10" t="str">
        <f>IF($H72="","",COUNTIF(Presences!$C$5:$C$504,$B72))</f>
        <v/>
      </c>
      <c r="J72" s="10" t="str">
        <f>IF($H72="","",Tableau_de_bord!$B$5)</f>
        <v/>
      </c>
      <c r="K72" s="13" t="str">
        <f t="shared" si="7"/>
        <v/>
      </c>
      <c r="L72" s="10" t="str">
        <f>IF($H72&lt;&gt;"oui","",IF(OR($E72="élève",$E72="élève et encadrant"),COUNTIFS($H$5:$H72,"oui",$E$5:$E72,"élève")+COUNTIFS($H$5:$H72,"oui",$E$5:$E72,"élève et encadrant"),""))</f>
        <v/>
      </c>
      <c r="M72" s="10" t="str">
        <f>IF($H72&lt;&gt;"oui","",IF(OR($E72="encadrant",$E72="élève et encadrant"),COUNTIFS($H$5:$H72,"oui",$E$5:$E72,"encadrant")+COUNTIFS($H$5:$H72,"oui",$E$5:$E72,"élève et encadrant"),""))</f>
        <v/>
      </c>
      <c r="N72" s="10" t="str">
        <f t="shared" si="8"/>
        <v>Oman LAMBERT [P025]</v>
      </c>
      <c r="O72" s="10">
        <f>IF($B72="","",COUNTIF(Personnes!$D$5:$D$154,"&lt;"&amp;$D72)+COUNTIF($D$5:$D72,$D72))</f>
        <v>70</v>
      </c>
      <c r="P72" s="8"/>
    </row>
    <row r="73" spans="1:16" x14ac:dyDescent="0.2">
      <c r="A73" s="10" t="str">
        <f>IF($H73="","",COUNTIF($H$5:$H73,"oui"))</f>
        <v/>
      </c>
      <c r="B73" s="8" t="s">
        <v>393</v>
      </c>
      <c r="C73" s="8" t="s">
        <v>394</v>
      </c>
      <c r="D73" s="8" t="s">
        <v>395</v>
      </c>
      <c r="E73" s="8"/>
      <c r="F73" s="8" t="s">
        <v>296</v>
      </c>
      <c r="G73" s="11"/>
      <c r="H73" s="10" t="str">
        <f t="shared" si="6"/>
        <v/>
      </c>
      <c r="I73" s="10" t="str">
        <f>IF($H73="","",COUNTIF(Presences!$C$5:$C$504,$B73))</f>
        <v/>
      </c>
      <c r="J73" s="10" t="str">
        <f>IF($H73="","",Tableau_de_bord!$B$5)</f>
        <v/>
      </c>
      <c r="K73" s="13" t="str">
        <f t="shared" si="7"/>
        <v/>
      </c>
      <c r="L73" s="10" t="str">
        <f>IF($H73&lt;&gt;"oui","",IF(OR($E73="élève",$E73="élève et encadrant"),COUNTIFS($H$5:$H73,"oui",$E$5:$E73,"élève")+COUNTIFS($H$5:$H73,"oui",$E$5:$E73,"élève et encadrant"),""))</f>
        <v/>
      </c>
      <c r="M73" s="10" t="str">
        <f>IF($H73&lt;&gt;"oui","",IF(OR($E73="encadrant",$E73="élève et encadrant"),COUNTIFS($H$5:$H73,"oui",$E$5:$E73,"encadrant")+COUNTIFS($H$5:$H73,"oui",$E$5:$E73,"élève et encadrant"),""))</f>
        <v/>
      </c>
      <c r="N73" s="10" t="str">
        <f t="shared" si="8"/>
        <v>Sophie LANDEAU [P028]</v>
      </c>
      <c r="O73" s="10">
        <f>IF($B73="","",COUNTIF(Personnes!$D$5:$D$154,"&lt;"&amp;$D73)+COUNTIF($D$5:$D73,$D73))</f>
        <v>86</v>
      </c>
      <c r="P73" s="8" t="s">
        <v>396</v>
      </c>
    </row>
    <row r="74" spans="1:16" x14ac:dyDescent="0.2">
      <c r="A74" s="10" t="str">
        <f>IF($H74="","",COUNTIF($H$5:$H74,"oui"))</f>
        <v/>
      </c>
      <c r="B74" s="8" t="s">
        <v>397</v>
      </c>
      <c r="C74" s="8" t="s">
        <v>398</v>
      </c>
      <c r="D74" s="8" t="s">
        <v>399</v>
      </c>
      <c r="E74" s="8"/>
      <c r="F74" s="8" t="s">
        <v>241</v>
      </c>
      <c r="G74" s="11"/>
      <c r="H74" s="10" t="str">
        <f t="shared" si="6"/>
        <v/>
      </c>
      <c r="I74" s="10" t="str">
        <f>IF($H74="","",COUNTIF(Presences!$C$5:$C$504,$B74))</f>
        <v/>
      </c>
      <c r="J74" s="10" t="str">
        <f>IF($H74="","",Tableau_de_bord!$B$5)</f>
        <v/>
      </c>
      <c r="K74" s="13" t="str">
        <f t="shared" si="7"/>
        <v/>
      </c>
      <c r="L74" s="10" t="str">
        <f>IF($H74&lt;&gt;"oui","",IF(OR($E74="élève",$E74="élève et encadrant"),COUNTIFS($H$5:$H74,"oui",$E$5:$E74,"élève")+COUNTIFS($H$5:$H74,"oui",$E$5:$E74,"élève et encadrant"),""))</f>
        <v/>
      </c>
      <c r="M74" s="10" t="str">
        <f>IF($H74&lt;&gt;"oui","",IF(OR($E74="encadrant",$E74="élève et encadrant"),COUNTIFS($H$5:$H74,"oui",$E$5:$E74,"encadrant")+COUNTIFS($H$5:$H74,"oui",$E$5:$E74,"élève et encadrant"),""))</f>
        <v/>
      </c>
      <c r="N74" s="10" t="str">
        <f t="shared" si="8"/>
        <v>Fred LE BRIGAND [P037]</v>
      </c>
      <c r="O74" s="10">
        <f>IF($B74="","",COUNTIF(Personnes!$D$5:$D$154,"&lt;"&amp;$D74)+COUNTIF($D$5:$D74,$D74))</f>
        <v>38</v>
      </c>
      <c r="P74" s="8" t="s">
        <v>400</v>
      </c>
    </row>
    <row r="75" spans="1:16" x14ac:dyDescent="0.2">
      <c r="A75" s="10" t="str">
        <f>IF($H75="","",COUNTIF($H$5:$H75,"oui"))</f>
        <v/>
      </c>
      <c r="B75" s="8" t="s">
        <v>401</v>
      </c>
      <c r="C75" s="8" t="s">
        <v>398</v>
      </c>
      <c r="D75" s="8" t="s">
        <v>402</v>
      </c>
      <c r="E75" s="8"/>
      <c r="F75" s="8" t="s">
        <v>222</v>
      </c>
      <c r="G75" s="11"/>
      <c r="H75" s="10" t="str">
        <f t="shared" si="6"/>
        <v/>
      </c>
      <c r="I75" s="10" t="str">
        <f>IF($H75="","",COUNTIF(Presences!$C$5:$C$504,$B75))</f>
        <v/>
      </c>
      <c r="J75" s="10" t="str">
        <f>IF($H75="","",Tableau_de_bord!$B$5)</f>
        <v/>
      </c>
      <c r="K75" s="13" t="str">
        <f t="shared" si="7"/>
        <v/>
      </c>
      <c r="L75" s="10" t="str">
        <f>IF($H75&lt;&gt;"oui","",IF(OR($E75="élève",$E75="élève et encadrant"),COUNTIFS($H$5:$H75,"oui",$E$5:$E75,"élève")+COUNTIFS($H$5:$H75,"oui",$E$5:$E75,"élève et encadrant"),""))</f>
        <v/>
      </c>
      <c r="M75" s="10" t="str">
        <f>IF($H75&lt;&gt;"oui","",IF(OR($E75="encadrant",$E75="élève et encadrant"),COUNTIFS($H$5:$H75,"oui",$E$5:$E75,"encadrant")+COUNTIFS($H$5:$H75,"oui",$E$5:$E75,"élève et encadrant"),""))</f>
        <v/>
      </c>
      <c r="N75" s="10" t="str">
        <f t="shared" si="8"/>
        <v>Corinne LE BRIGAND [P052]</v>
      </c>
      <c r="O75" s="10">
        <f>IF($B75="","",COUNTIF(Personnes!$D$5:$D$154,"&lt;"&amp;$D75)+COUNTIF($D$5:$D75,$D75))</f>
        <v>24</v>
      </c>
      <c r="P75" s="8" t="s">
        <v>403</v>
      </c>
    </row>
    <row r="76" spans="1:16" x14ac:dyDescent="0.2">
      <c r="A76" s="10" t="str">
        <f>IF($H76="","",COUNTIF($H$5:$H76,"oui"))</f>
        <v/>
      </c>
      <c r="B76" s="8" t="s">
        <v>404</v>
      </c>
      <c r="C76" s="8" t="s">
        <v>405</v>
      </c>
      <c r="D76" s="8" t="s">
        <v>313</v>
      </c>
      <c r="E76" s="8"/>
      <c r="F76" s="8" t="s">
        <v>218</v>
      </c>
      <c r="G76" s="11"/>
      <c r="H76" s="10" t="str">
        <f t="shared" si="6"/>
        <v/>
      </c>
      <c r="I76" s="10" t="str">
        <f>IF($H76="","",COUNTIF(Presences!$C$5:$C$504,$B76))</f>
        <v/>
      </c>
      <c r="J76" s="10" t="str">
        <f>IF($H76="","",Tableau_de_bord!$B$5)</f>
        <v/>
      </c>
      <c r="K76" s="13" t="str">
        <f t="shared" si="7"/>
        <v/>
      </c>
      <c r="L76" s="10" t="str">
        <f>IF($H76&lt;&gt;"oui","",IF(OR($E76="élève",$E76="élève et encadrant"),COUNTIFS($H$5:$H76,"oui",$E$5:$E76,"élève")+COUNTIFS($H$5:$H76,"oui",$E$5:$E76,"élève et encadrant"),""))</f>
        <v/>
      </c>
      <c r="M76" s="10" t="str">
        <f>IF($H76&lt;&gt;"oui","",IF(OR($E76="encadrant",$E76="élève et encadrant"),COUNTIFS($H$5:$H76,"oui",$E$5:$E76,"encadrant")+COUNTIFS($H$5:$H76,"oui",$E$5:$E76,"élève et encadrant"),""))</f>
        <v/>
      </c>
      <c r="N76" s="10" t="str">
        <f t="shared" si="8"/>
        <v>Jérôme LEFEBVRE [P017]</v>
      </c>
      <c r="O76" s="10">
        <f>IF($B76="","",COUNTIF(Personnes!$D$5:$D$154,"&lt;"&amp;$D76)+COUNTIF($D$5:$D76,$D76))</f>
        <v>48</v>
      </c>
      <c r="P76" s="8"/>
    </row>
    <row r="77" spans="1:16" x14ac:dyDescent="0.2">
      <c r="A77" s="10" t="str">
        <f>IF($H77="","",COUNTIF($H$5:$H77,"oui"))</f>
        <v/>
      </c>
      <c r="B77" s="8" t="s">
        <v>406</v>
      </c>
      <c r="C77" s="8" t="s">
        <v>407</v>
      </c>
      <c r="D77" s="8" t="s">
        <v>408</v>
      </c>
      <c r="E77" s="8"/>
      <c r="F77" s="8" t="s">
        <v>214</v>
      </c>
      <c r="G77" s="11"/>
      <c r="H77" s="10" t="str">
        <f t="shared" si="6"/>
        <v/>
      </c>
      <c r="I77" s="10" t="str">
        <f>IF($H77="","",COUNTIF(Presences!$C$5:$C$504,$B77))</f>
        <v/>
      </c>
      <c r="J77" s="10" t="str">
        <f>IF($H77="","",Tableau_de_bord!$B$5)</f>
        <v/>
      </c>
      <c r="K77" s="13" t="str">
        <f t="shared" si="7"/>
        <v/>
      </c>
      <c r="L77" s="10" t="str">
        <f>IF($H77&lt;&gt;"oui","",IF(OR($E77="élève",$E77="élève et encadrant"),COUNTIFS($H$5:$H77,"oui",$E$5:$E77,"élève")+COUNTIFS($H$5:$H77,"oui",$E$5:$E77,"élève et encadrant"),""))</f>
        <v/>
      </c>
      <c r="M77" s="10" t="str">
        <f>IF($H77&lt;&gt;"oui","",IF(OR($E77="encadrant",$E77="élève et encadrant"),COUNTIFS($H$5:$H77,"oui",$E$5:$E77,"encadrant")+COUNTIFS($H$5:$H77,"oui",$E$5:$E77,"élève et encadrant"),""))</f>
        <v/>
      </c>
      <c r="N77" s="10" t="str">
        <f t="shared" si="8"/>
        <v>Gérald LELARGE [P050]</v>
      </c>
      <c r="O77" s="10">
        <f>IF($B77="","",COUNTIF(Personnes!$D$5:$D$154,"&lt;"&amp;$D77)+COUNTIF($D$5:$D77,$D77))</f>
        <v>40</v>
      </c>
      <c r="P77" s="8" t="s">
        <v>409</v>
      </c>
    </row>
    <row r="78" spans="1:16" x14ac:dyDescent="0.2">
      <c r="A78" s="10" t="str">
        <f>IF($H78="","",COUNTIF($H$5:$H78,"oui"))</f>
        <v/>
      </c>
      <c r="B78" s="8" t="s">
        <v>410</v>
      </c>
      <c r="C78" s="8" t="s">
        <v>411</v>
      </c>
      <c r="D78" s="8" t="s">
        <v>412</v>
      </c>
      <c r="E78" s="8"/>
      <c r="F78" s="8" t="s">
        <v>296</v>
      </c>
      <c r="G78" s="11"/>
      <c r="H78" s="10" t="str">
        <f t="shared" si="6"/>
        <v/>
      </c>
      <c r="I78" s="10" t="str">
        <f>IF($H78="","",COUNTIF(Presences!$C$5:$C$504,$B78))</f>
        <v/>
      </c>
      <c r="J78" s="10" t="str">
        <f>IF($H78="","",Tableau_de_bord!$B$5)</f>
        <v/>
      </c>
      <c r="K78" s="13" t="str">
        <f t="shared" si="7"/>
        <v/>
      </c>
      <c r="L78" s="10" t="str">
        <f>IF($H78&lt;&gt;"oui","",IF(OR($E78="élève",$E78="élève et encadrant"),COUNTIFS($H$5:$H78,"oui",$E$5:$E78,"élève")+COUNTIFS($H$5:$H78,"oui",$E$5:$E78,"élève et encadrant"),""))</f>
        <v/>
      </c>
      <c r="M78" s="10" t="str">
        <f>IF($H78&lt;&gt;"oui","",IF(OR($E78="encadrant",$E78="élève et encadrant"),COUNTIFS($H$5:$H78,"oui",$E$5:$E78,"encadrant")+COUNTIFS($H$5:$H78,"oui",$E$5:$E78,"élève et encadrant"),""))</f>
        <v/>
      </c>
      <c r="N78" s="10" t="str">
        <f t="shared" si="8"/>
        <v>Edward LICHTNER [P010]</v>
      </c>
      <c r="O78" s="10">
        <f>IF($B78="","",COUNTIF(Personnes!$D$5:$D$154,"&lt;"&amp;$D78)+COUNTIF($D$5:$D78,$D78))</f>
        <v>31</v>
      </c>
      <c r="P78" s="8" t="s">
        <v>413</v>
      </c>
    </row>
    <row r="79" spans="1:16" x14ac:dyDescent="0.2">
      <c r="A79" s="10" t="str">
        <f>IF($H79="","",COUNTIF($H$5:$H79,"oui"))</f>
        <v/>
      </c>
      <c r="B79" s="8" t="s">
        <v>414</v>
      </c>
      <c r="C79" s="8" t="s">
        <v>415</v>
      </c>
      <c r="D79" s="8" t="s">
        <v>313</v>
      </c>
      <c r="E79" s="8"/>
      <c r="F79" s="8" t="s">
        <v>218</v>
      </c>
      <c r="G79" s="11"/>
      <c r="H79" s="10" t="str">
        <f t="shared" si="6"/>
        <v/>
      </c>
      <c r="I79" s="10" t="str">
        <f>IF($H79="","",COUNTIF(Presences!$C$5:$C$504,$B79))</f>
        <v/>
      </c>
      <c r="J79" s="10" t="str">
        <f>IF($H79="","",Tableau_de_bord!$B$5)</f>
        <v/>
      </c>
      <c r="K79" s="13" t="str">
        <f t="shared" si="7"/>
        <v/>
      </c>
      <c r="L79" s="10" t="str">
        <f>IF($H79&lt;&gt;"oui","",IF(OR($E79="élève",$E79="élève et encadrant"),COUNTIFS($H$5:$H79,"oui",$E$5:$E79,"élève")+COUNTIFS($H$5:$H79,"oui",$E$5:$E79,"élève et encadrant"),""))</f>
        <v/>
      </c>
      <c r="M79" s="10" t="str">
        <f>IF($H79&lt;&gt;"oui","",IF(OR($E79="encadrant",$E79="élève et encadrant"),COUNTIFS($H$5:$H79,"oui",$E$5:$E79,"encadrant")+COUNTIFS($H$5:$H79,"oui",$E$5:$E79,"élève et encadrant"),""))</f>
        <v/>
      </c>
      <c r="N79" s="10" t="str">
        <f t="shared" si="8"/>
        <v>Jérôme MADE [P018]</v>
      </c>
      <c r="O79" s="10">
        <f>IF($B79="","",COUNTIF(Personnes!$D$5:$D$154,"&lt;"&amp;$D79)+COUNTIF($D$5:$D79,$D79))</f>
        <v>49</v>
      </c>
      <c r="P79" s="8"/>
    </row>
    <row r="80" spans="1:16" x14ac:dyDescent="0.2">
      <c r="A80" s="10" t="str">
        <f>IF($H80="","",COUNTIF($H$5:$H80,"oui"))</f>
        <v/>
      </c>
      <c r="B80" s="8" t="s">
        <v>416</v>
      </c>
      <c r="C80" s="8" t="s">
        <v>417</v>
      </c>
      <c r="D80" s="8" t="s">
        <v>418</v>
      </c>
      <c r="E80" s="8"/>
      <c r="F80" s="8" t="s">
        <v>218</v>
      </c>
      <c r="G80" s="11"/>
      <c r="H80" s="10" t="str">
        <f t="shared" si="6"/>
        <v/>
      </c>
      <c r="I80" s="10" t="str">
        <f>IF($H80="","",COUNTIF(Presences!$C$5:$C$504,$B80))</f>
        <v/>
      </c>
      <c r="J80" s="10" t="str">
        <f>IF($H80="","",Tableau_de_bord!$B$5)</f>
        <v/>
      </c>
      <c r="K80" s="13" t="str">
        <f t="shared" si="7"/>
        <v/>
      </c>
      <c r="L80" s="10" t="str">
        <f>IF($H80&lt;&gt;"oui","",IF(OR($E80="élève",$E80="élève et encadrant"),COUNTIFS($H$5:$H80,"oui",$E$5:$E80,"élève")+COUNTIFS($H$5:$H80,"oui",$E$5:$E80,"élève et encadrant"),""))</f>
        <v/>
      </c>
      <c r="M80" s="10" t="str">
        <f>IF($H80&lt;&gt;"oui","",IF(OR($E80="encadrant",$E80="élève et encadrant"),COUNTIFS($H$5:$H80,"oui",$E$5:$E80,"encadrant")+COUNTIFS($H$5:$H80,"oui",$E$5:$E80,"élève et encadrant"),""))</f>
        <v/>
      </c>
      <c r="N80" s="10" t="str">
        <f t="shared" si="8"/>
        <v>Marie MARCHIORI [P075]</v>
      </c>
      <c r="O80" s="10">
        <f>IF($B80="","",COUNTIF(Personnes!$D$5:$D$154,"&lt;"&amp;$D80)+COUNTIF($D$5:$D80,$D80))</f>
        <v>60</v>
      </c>
      <c r="P80" s="8"/>
    </row>
    <row r="81" spans="1:16" x14ac:dyDescent="0.2">
      <c r="A81" s="10" t="str">
        <f>IF($H81="","",COUNTIF($H$5:$H81,"oui"))</f>
        <v/>
      </c>
      <c r="B81" s="8" t="s">
        <v>419</v>
      </c>
      <c r="C81" s="8" t="s">
        <v>420</v>
      </c>
      <c r="D81" s="8" t="s">
        <v>421</v>
      </c>
      <c r="E81" s="8"/>
      <c r="F81" s="8" t="s">
        <v>222</v>
      </c>
      <c r="G81" s="11"/>
      <c r="H81" s="10" t="str">
        <f t="shared" si="6"/>
        <v/>
      </c>
      <c r="I81" s="10" t="str">
        <f>IF($H81="","",COUNTIF(Presences!$C$5:$C$504,$B81))</f>
        <v/>
      </c>
      <c r="J81" s="10" t="str">
        <f>IF($H81="","",Tableau_de_bord!$B$5)</f>
        <v/>
      </c>
      <c r="K81" s="13" t="str">
        <f t="shared" si="7"/>
        <v/>
      </c>
      <c r="L81" s="10" t="str">
        <f>IF($H81&lt;&gt;"oui","",IF(OR($E81="élève",$E81="élève et encadrant"),COUNTIFS($H$5:$H81,"oui",$E$5:$E81,"élève")+COUNTIFS($H$5:$H81,"oui",$E$5:$E81,"élève et encadrant"),""))</f>
        <v/>
      </c>
      <c r="M81" s="10" t="str">
        <f>IF($H81&lt;&gt;"oui","",IF(OR($E81="encadrant",$E81="élève et encadrant"),COUNTIFS($H$5:$H81,"oui",$E$5:$E81,"encadrant")+COUNTIFS($H$5:$H81,"oui",$E$5:$E81,"élève et encadrant"),""))</f>
        <v/>
      </c>
      <c r="N81" s="10" t="str">
        <f t="shared" si="8"/>
        <v>Kévin MASGRAU [P091]</v>
      </c>
      <c r="O81" s="10">
        <f>IF($B81="","",COUNTIF(Personnes!$D$5:$D$154,"&lt;"&amp;$D81)+COUNTIF($D$5:$D81,$D81))</f>
        <v>52</v>
      </c>
      <c r="P81" s="8"/>
    </row>
    <row r="82" spans="1:16" x14ac:dyDescent="0.2">
      <c r="A82" s="10" t="str">
        <f>IF($H82="","",COUNTIF($H$5:$H82,"oui"))</f>
        <v/>
      </c>
      <c r="B82" s="8" t="s">
        <v>422</v>
      </c>
      <c r="C82" s="8" t="s">
        <v>423</v>
      </c>
      <c r="D82" s="8" t="s">
        <v>424</v>
      </c>
      <c r="E82" s="8"/>
      <c r="F82" s="8" t="s">
        <v>214</v>
      </c>
      <c r="G82" s="11"/>
      <c r="H82" s="10" t="str">
        <f t="shared" si="6"/>
        <v/>
      </c>
      <c r="I82" s="10" t="str">
        <f>IF($H82="","",COUNTIF(Presences!$C$5:$C$504,$B82))</f>
        <v/>
      </c>
      <c r="J82" s="10" t="str">
        <f>IF($H82="","",Tableau_de_bord!$B$5)</f>
        <v/>
      </c>
      <c r="K82" s="13" t="str">
        <f t="shared" si="7"/>
        <v/>
      </c>
      <c r="L82" s="10" t="str">
        <f>IF($H82&lt;&gt;"oui","",IF(OR($E82="élève",$E82="élève et encadrant"),COUNTIFS($H$5:$H82,"oui",$E$5:$E82,"élève")+COUNTIFS($H$5:$H82,"oui",$E$5:$E82,"élève et encadrant"),""))</f>
        <v/>
      </c>
      <c r="M82" s="10" t="str">
        <f>IF($H82&lt;&gt;"oui","",IF(OR($E82="encadrant",$E82="élève et encadrant"),COUNTIFS($H$5:$H82,"oui",$E$5:$E82,"encadrant")+COUNTIFS($H$5:$H82,"oui",$E$5:$E82,"élève et encadrant"),""))</f>
        <v/>
      </c>
      <c r="N82" s="10" t="str">
        <f t="shared" si="8"/>
        <v>Yvan MEASSON [P046]</v>
      </c>
      <c r="O82" s="10">
        <f>IF($B82="","",COUNTIF(Personnes!$D$5:$D$154,"&lt;"&amp;$D82)+COUNTIF($D$5:$D82,$D82))</f>
        <v>97</v>
      </c>
      <c r="P82" s="8" t="s">
        <v>425</v>
      </c>
    </row>
    <row r="83" spans="1:16" x14ac:dyDescent="0.2">
      <c r="A83" s="10" t="str">
        <f>IF($H83="","",COUNTIF($H$5:$H83,"oui"))</f>
        <v/>
      </c>
      <c r="B83" s="8" t="s">
        <v>426</v>
      </c>
      <c r="C83" s="8" t="s">
        <v>427</v>
      </c>
      <c r="D83" s="8" t="s">
        <v>428</v>
      </c>
      <c r="E83" s="8"/>
      <c r="F83" s="8" t="s">
        <v>214</v>
      </c>
      <c r="G83" s="11"/>
      <c r="H83" s="10" t="str">
        <f t="shared" si="6"/>
        <v/>
      </c>
      <c r="I83" s="10" t="str">
        <f>IF($H83="","",COUNTIF(Presences!$C$5:$C$504,$B83))</f>
        <v/>
      </c>
      <c r="J83" s="10" t="str">
        <f>IF($H83="","",Tableau_de_bord!$B$5)</f>
        <v/>
      </c>
      <c r="K83" s="13" t="str">
        <f t="shared" si="7"/>
        <v/>
      </c>
      <c r="L83" s="10" t="str">
        <f>IF($H83&lt;&gt;"oui","",IF(OR($E83="élève",$E83="élève et encadrant"),COUNTIFS($H$5:$H83,"oui",$E$5:$E83,"élève")+COUNTIFS($H$5:$H83,"oui",$E$5:$E83,"élève et encadrant"),""))</f>
        <v/>
      </c>
      <c r="M83" s="10" t="str">
        <f>IF($H83&lt;&gt;"oui","",IF(OR($E83="encadrant",$E83="élève et encadrant"),COUNTIFS($H$5:$H83,"oui",$E$5:$E83,"encadrant")+COUNTIFS($H$5:$H83,"oui",$E$5:$E83,"élève et encadrant"),""))</f>
        <v/>
      </c>
      <c r="N83" s="10" t="str">
        <f t="shared" si="8"/>
        <v>Hervé MEMAIN [P054]</v>
      </c>
      <c r="O83" s="10">
        <f>IF($B83="","",COUNTIF(Personnes!$D$5:$D$154,"&lt;"&amp;$D83)+COUNTIF($D$5:$D83,$D83))</f>
        <v>43</v>
      </c>
      <c r="P83" s="8" t="s">
        <v>429</v>
      </c>
    </row>
    <row r="84" spans="1:16" x14ac:dyDescent="0.2">
      <c r="A84" s="10" t="str">
        <f>IF($H84="","",COUNTIF($H$5:$H84,"oui"))</f>
        <v/>
      </c>
      <c r="B84" s="8" t="s">
        <v>430</v>
      </c>
      <c r="C84" s="8" t="s">
        <v>431</v>
      </c>
      <c r="D84" s="8" t="s">
        <v>432</v>
      </c>
      <c r="E84" s="8"/>
      <c r="F84" s="8" t="s">
        <v>433</v>
      </c>
      <c r="G84" s="11"/>
      <c r="H84" s="10" t="str">
        <f t="shared" si="6"/>
        <v/>
      </c>
      <c r="I84" s="10" t="str">
        <f>IF($H84="","",COUNTIF(Presences!$C$5:$C$504,$B84))</f>
        <v/>
      </c>
      <c r="J84" s="10" t="str">
        <f>IF($H84="","",Tableau_de_bord!$B$5)</f>
        <v/>
      </c>
      <c r="K84" s="13" t="str">
        <f t="shared" si="7"/>
        <v/>
      </c>
      <c r="L84" s="10" t="str">
        <f>IF($H84&lt;&gt;"oui","",IF(OR($E84="élève",$E84="élève et encadrant"),COUNTIFS($H$5:$H84,"oui",$E$5:$E84,"élève")+COUNTIFS($H$5:$H84,"oui",$E$5:$E84,"élève et encadrant"),""))</f>
        <v/>
      </c>
      <c r="M84" s="10" t="str">
        <f>IF($H84&lt;&gt;"oui","",IF(OR($E84="encadrant",$E84="élève et encadrant"),COUNTIFS($H$5:$H84,"oui",$E$5:$E84,"encadrant")+COUNTIFS($H$5:$H84,"oui",$E$5:$E84,"élève et encadrant"),""))</f>
        <v/>
      </c>
      <c r="N84" s="10" t="str">
        <f t="shared" si="8"/>
        <v>François MEMHELD [P033]</v>
      </c>
      <c r="O84" s="10">
        <f>IF($B84="","",COUNTIF(Personnes!$D$5:$D$154,"&lt;"&amp;$D84)+COUNTIF($D$5:$D84,$D84))</f>
        <v>37</v>
      </c>
      <c r="P84" s="8" t="s">
        <v>434</v>
      </c>
    </row>
    <row r="85" spans="1:16" x14ac:dyDescent="0.2">
      <c r="A85" s="10" t="str">
        <f>IF($H85="","",COUNTIF($H$5:$H85,"oui"))</f>
        <v/>
      </c>
      <c r="B85" s="8" t="s">
        <v>435</v>
      </c>
      <c r="C85" s="8" t="s">
        <v>436</v>
      </c>
      <c r="D85" s="8" t="s">
        <v>437</v>
      </c>
      <c r="E85" s="8"/>
      <c r="F85" s="8" t="s">
        <v>222</v>
      </c>
      <c r="G85" s="11"/>
      <c r="H85" s="10" t="str">
        <f t="shared" si="6"/>
        <v/>
      </c>
      <c r="I85" s="10" t="str">
        <f>IF($H85="","",COUNTIF(Presences!$C$5:$C$504,$B85))</f>
        <v/>
      </c>
      <c r="J85" s="10" t="str">
        <f>IF($H85="","",Tableau_de_bord!$B$5)</f>
        <v/>
      </c>
      <c r="K85" s="13" t="str">
        <f t="shared" si="7"/>
        <v/>
      </c>
      <c r="L85" s="10" t="str">
        <f>IF($H85&lt;&gt;"oui","",IF(OR($E85="élève",$E85="élève et encadrant"),COUNTIFS($H$5:$H85,"oui",$E$5:$E85,"élève")+COUNTIFS($H$5:$H85,"oui",$E$5:$E85,"élève et encadrant"),""))</f>
        <v/>
      </c>
      <c r="M85" s="10" t="str">
        <f>IF($H85&lt;&gt;"oui","",IF(OR($E85="encadrant",$E85="élève et encadrant"),COUNTIFS($H$5:$H85,"oui",$E$5:$E85,"encadrant")+COUNTIFS($H$5:$H85,"oui",$E$5:$E85,"élève et encadrant"),""))</f>
        <v/>
      </c>
      <c r="N85" s="10" t="str">
        <f t="shared" si="8"/>
        <v>Isabelle NIGEN [P092]</v>
      </c>
      <c r="O85" s="10">
        <f>IF($B85="","",COUNTIF(Personnes!$D$5:$D$154,"&lt;"&amp;$D85)+COUNTIF($D$5:$D85,$D85))</f>
        <v>44</v>
      </c>
      <c r="P85" s="8"/>
    </row>
    <row r="86" spans="1:16" x14ac:dyDescent="0.2">
      <c r="A86" s="10" t="str">
        <f>IF($H86="","",COUNTIF($H$5:$H86,"oui"))</f>
        <v/>
      </c>
      <c r="B86" s="8" t="s">
        <v>438</v>
      </c>
      <c r="C86" s="8" t="s">
        <v>439</v>
      </c>
      <c r="D86" s="8" t="s">
        <v>440</v>
      </c>
      <c r="E86" s="8"/>
      <c r="F86" s="8" t="s">
        <v>222</v>
      </c>
      <c r="G86" s="11"/>
      <c r="H86" s="10" t="str">
        <f t="shared" si="6"/>
        <v/>
      </c>
      <c r="I86" s="10" t="str">
        <f>IF($H86="","",COUNTIF(Presences!$C$5:$C$504,$B86))</f>
        <v/>
      </c>
      <c r="J86" s="10" t="str">
        <f>IF($H86="","",Tableau_de_bord!$B$5)</f>
        <v/>
      </c>
      <c r="K86" s="13" t="str">
        <f t="shared" si="7"/>
        <v/>
      </c>
      <c r="L86" s="10" t="str">
        <f>IF($H86&lt;&gt;"oui","",IF(OR($E86="élève",$E86="élève et encadrant"),COUNTIFS($H$5:$H86,"oui",$E$5:$E86,"élève")+COUNTIFS($H$5:$H86,"oui",$E$5:$E86,"élève et encadrant"),""))</f>
        <v/>
      </c>
      <c r="M86" s="10" t="str">
        <f>IF($H86&lt;&gt;"oui","",IF(OR($E86="encadrant",$E86="élève et encadrant"),COUNTIFS($H$5:$H86,"oui",$E$5:$E86,"encadrant")+COUNTIFS($H$5:$H86,"oui",$E$5:$E86,"élève et encadrant"),""))</f>
        <v/>
      </c>
      <c r="N86" s="10" t="str">
        <f t="shared" si="8"/>
        <v>Vincent NOËL [P093]</v>
      </c>
      <c r="O86" s="10">
        <f>IF($B86="","",COUNTIF(Personnes!$D$5:$D$154,"&lt;"&amp;$D86)+COUNTIF($D$5:$D86,$D86))</f>
        <v>95</v>
      </c>
      <c r="P86" s="8"/>
    </row>
    <row r="87" spans="1:16" x14ac:dyDescent="0.2">
      <c r="A87" s="10" t="str">
        <f>IF($H87="","",COUNTIF($H$5:$H87,"oui"))</f>
        <v/>
      </c>
      <c r="B87" s="8" t="s">
        <v>441</v>
      </c>
      <c r="C87" s="8" t="s">
        <v>442</v>
      </c>
      <c r="D87" s="8" t="s">
        <v>443</v>
      </c>
      <c r="E87" s="8"/>
      <c r="F87" s="8"/>
      <c r="G87" s="11"/>
      <c r="H87" s="10" t="str">
        <f t="shared" si="6"/>
        <v/>
      </c>
      <c r="I87" s="10" t="str">
        <f>IF($H87="","",COUNTIF(Presences!$C$5:$C$504,$B87))</f>
        <v/>
      </c>
      <c r="J87" s="10" t="str">
        <f>IF($H87="","",Tableau_de_bord!$B$5)</f>
        <v/>
      </c>
      <c r="K87" s="13" t="str">
        <f t="shared" si="7"/>
        <v/>
      </c>
      <c r="L87" s="10" t="str">
        <f>IF($H87&lt;&gt;"oui","",IF(OR($E87="élève",$E87="élève et encadrant"),COUNTIFS($H$5:$H87,"oui",$E$5:$E87,"élève")+COUNTIFS($H$5:$H87,"oui",$E$5:$E87,"élève et encadrant"),""))</f>
        <v/>
      </c>
      <c r="M87" s="10" t="str">
        <f>IF($H87&lt;&gt;"oui","",IF(OR($E87="encadrant",$E87="élève et encadrant"),COUNTIFS($H$5:$H87,"oui",$E$5:$E87,"encadrant")+COUNTIFS($H$5:$H87,"oui",$E$5:$E87,"élève et encadrant"),""))</f>
        <v/>
      </c>
      <c r="N87" s="10" t="str">
        <f t="shared" si="8"/>
        <v>Lucas PACTET [P020]</v>
      </c>
      <c r="O87" s="10">
        <f>IF($B87="","",COUNTIF(Personnes!$D$5:$D$154,"&lt;"&amp;$D87)+COUNTIF($D$5:$D87,$D87))</f>
        <v>57</v>
      </c>
      <c r="P87" s="8"/>
    </row>
    <row r="88" spans="1:16" x14ac:dyDescent="0.2">
      <c r="A88" s="10" t="str">
        <f>IF($H88="","",COUNTIF($H$5:$H88,"oui"))</f>
        <v/>
      </c>
      <c r="B88" s="8" t="s">
        <v>444</v>
      </c>
      <c r="C88" s="8" t="s">
        <v>445</v>
      </c>
      <c r="D88" s="8" t="s">
        <v>446</v>
      </c>
      <c r="E88" s="8"/>
      <c r="F88" s="8" t="s">
        <v>218</v>
      </c>
      <c r="G88" s="11"/>
      <c r="H88" s="10" t="str">
        <f t="shared" si="6"/>
        <v/>
      </c>
      <c r="I88" s="10" t="str">
        <f>IF($H88="","",COUNTIF(Presences!$C$5:$C$504,$B88))</f>
        <v/>
      </c>
      <c r="J88" s="10" t="str">
        <f>IF($H88="","",Tableau_de_bord!$B$5)</f>
        <v/>
      </c>
      <c r="K88" s="13" t="str">
        <f t="shared" si="7"/>
        <v/>
      </c>
      <c r="L88" s="10" t="str">
        <f>IF($H88&lt;&gt;"oui","",IF(OR($E88="élève",$E88="élève et encadrant"),COUNTIFS($H$5:$H88,"oui",$E$5:$E88,"élève")+COUNTIFS($H$5:$H88,"oui",$E$5:$E88,"élève et encadrant"),""))</f>
        <v/>
      </c>
      <c r="M88" s="10" t="str">
        <f>IF($H88&lt;&gt;"oui","",IF(OR($E88="encadrant",$E88="élève et encadrant"),COUNTIFS($H$5:$H88,"oui",$E$5:$E88,"encadrant")+COUNTIFS($H$5:$H88,"oui",$E$5:$E88,"élève et encadrant"),""))</f>
        <v/>
      </c>
      <c r="N88" s="10" t="str">
        <f t="shared" si="8"/>
        <v>Sébastien PALUD [P059]</v>
      </c>
      <c r="O88" s="10">
        <f>IF($B88="","",COUNTIF(Personnes!$D$5:$D$154,"&lt;"&amp;$D88)+COUNTIF($D$5:$D88,$D88))</f>
        <v>84</v>
      </c>
      <c r="P88" s="8" t="s">
        <v>447</v>
      </c>
    </row>
    <row r="89" spans="1:16" x14ac:dyDescent="0.2">
      <c r="A89" s="10" t="str">
        <f>IF($H89="","",COUNTIF($H$5:$H89,"oui"))</f>
        <v/>
      </c>
      <c r="B89" s="8" t="s">
        <v>448</v>
      </c>
      <c r="C89" s="8" t="s">
        <v>449</v>
      </c>
      <c r="D89" s="8" t="s">
        <v>450</v>
      </c>
      <c r="E89" s="8"/>
      <c r="F89" s="8" t="s">
        <v>218</v>
      </c>
      <c r="G89" s="11"/>
      <c r="H89" s="10" t="str">
        <f t="shared" si="6"/>
        <v/>
      </c>
      <c r="I89" s="10" t="str">
        <f>IF($H89="","",COUNTIF(Presences!$C$5:$C$504,$B89))</f>
        <v/>
      </c>
      <c r="J89" s="10" t="str">
        <f>IF($H89="","",Tableau_de_bord!$B$5)</f>
        <v/>
      </c>
      <c r="K89" s="13" t="str">
        <f t="shared" si="7"/>
        <v/>
      </c>
      <c r="L89" s="10" t="str">
        <f>IF($H89&lt;&gt;"oui","",IF(OR($E89="élève",$E89="élève et encadrant"),COUNTIFS($H$5:$H89,"oui",$E$5:$E89,"élève")+COUNTIFS($H$5:$H89,"oui",$E$5:$E89,"élève et encadrant"),""))</f>
        <v/>
      </c>
      <c r="M89" s="10" t="str">
        <f>IF($H89&lt;&gt;"oui","",IF(OR($E89="encadrant",$E89="élève et encadrant"),COUNTIFS($H$5:$H89,"oui",$E$5:$E89,"encadrant")+COUNTIFS($H$5:$H89,"oui",$E$5:$E89,"élève et encadrant"),""))</f>
        <v/>
      </c>
      <c r="N89" s="10" t="str">
        <f t="shared" si="8"/>
        <v>Jérémy PEINADO [P016]</v>
      </c>
      <c r="O89" s="10">
        <f>IF($B89="","",COUNTIF(Personnes!$D$5:$D$154,"&lt;"&amp;$D89)+COUNTIF($D$5:$D89,$D89))</f>
        <v>46</v>
      </c>
      <c r="P89" s="8"/>
    </row>
    <row r="90" spans="1:16" x14ac:dyDescent="0.2">
      <c r="A90" s="10" t="str">
        <f>IF($H90="","",COUNTIF($H$5:$H90,"oui"))</f>
        <v/>
      </c>
      <c r="B90" s="8" t="s">
        <v>451</v>
      </c>
      <c r="C90" s="8" t="s">
        <v>452</v>
      </c>
      <c r="D90" s="8" t="s">
        <v>453</v>
      </c>
      <c r="E90" s="8"/>
      <c r="F90" s="8" t="s">
        <v>214</v>
      </c>
      <c r="G90" s="11"/>
      <c r="H90" s="10" t="str">
        <f t="shared" si="6"/>
        <v/>
      </c>
      <c r="I90" s="10" t="str">
        <f>IF($H90="","",COUNTIF(Presences!$C$5:$C$504,$B90))</f>
        <v/>
      </c>
      <c r="J90" s="10" t="str">
        <f>IF($H90="","",Tableau_de_bord!$B$5)</f>
        <v/>
      </c>
      <c r="K90" s="13" t="str">
        <f t="shared" si="7"/>
        <v/>
      </c>
      <c r="L90" s="10" t="str">
        <f>IF($H90&lt;&gt;"oui","",IF(OR($E90="élève",$E90="élève et encadrant"),COUNTIFS($H$5:$H90,"oui",$E$5:$E90,"élève")+COUNTIFS($H$5:$H90,"oui",$E$5:$E90,"élève et encadrant"),""))</f>
        <v/>
      </c>
      <c r="M90" s="10" t="str">
        <f>IF($H90&lt;&gt;"oui","",IF(OR($E90="encadrant",$E90="élève et encadrant"),COUNTIFS($H$5:$H90,"oui",$E$5:$E90,"encadrant")+COUNTIFS($H$5:$H90,"oui",$E$5:$E90,"élève et encadrant"),""))</f>
        <v/>
      </c>
      <c r="N90" s="10" t="str">
        <f t="shared" si="8"/>
        <v>Leo SAINT MARTIN [P064]</v>
      </c>
      <c r="O90" s="10">
        <f>IF($B90="","",COUNTIF(Personnes!$D$5:$D$154,"&lt;"&amp;$D90)+COUNTIF($D$5:$D90,$D90))</f>
        <v>55</v>
      </c>
      <c r="P90" s="8" t="s">
        <v>454</v>
      </c>
    </row>
    <row r="91" spans="1:16" x14ac:dyDescent="0.2">
      <c r="A91" s="10" t="str">
        <f>IF($H91="","",COUNTIF($H$5:$H91,"oui"))</f>
        <v/>
      </c>
      <c r="B91" s="8" t="s">
        <v>455</v>
      </c>
      <c r="C91" s="8" t="s">
        <v>456</v>
      </c>
      <c r="D91" s="8" t="s">
        <v>457</v>
      </c>
      <c r="E91" s="8"/>
      <c r="F91" s="8" t="s">
        <v>222</v>
      </c>
      <c r="G91" s="11"/>
      <c r="H91" s="10" t="str">
        <f t="shared" si="6"/>
        <v/>
      </c>
      <c r="I91" s="10" t="str">
        <f>IF($H91="","",COUNTIF(Presences!$C$5:$C$504,$B91))</f>
        <v/>
      </c>
      <c r="J91" s="10" t="str">
        <f>IF($H91="","",Tableau_de_bord!$B$5)</f>
        <v/>
      </c>
      <c r="K91" s="13" t="str">
        <f t="shared" si="7"/>
        <v/>
      </c>
      <c r="L91" s="10" t="str">
        <f>IF($H91&lt;&gt;"oui","",IF(OR($E91="élève",$E91="élève et encadrant"),COUNTIFS($H$5:$H91,"oui",$E$5:$E91,"élève")+COUNTIFS($H$5:$H91,"oui",$E$5:$E91,"élève et encadrant"),""))</f>
        <v/>
      </c>
      <c r="M91" s="10" t="str">
        <f>IF($H91&lt;&gt;"oui","",IF(OR($E91="encadrant",$E91="élève et encadrant"),COUNTIFS($H$5:$H91,"oui",$E$5:$E91,"encadrant")+COUNTIFS($H$5:$H91,"oui",$E$5:$E91,"élève et encadrant"),""))</f>
        <v/>
      </c>
      <c r="N91" s="10" t="str">
        <f t="shared" si="8"/>
        <v>Theo SEVEDO [P094]</v>
      </c>
      <c r="O91" s="10">
        <f>IF($B91="","",COUNTIF(Personnes!$D$5:$D$154,"&lt;"&amp;$D91)+COUNTIF($D$5:$D91,$D91))</f>
        <v>91</v>
      </c>
      <c r="P91" s="8"/>
    </row>
    <row r="92" spans="1:16" x14ac:dyDescent="0.2">
      <c r="A92" s="10" t="str">
        <f>IF($H92="","",COUNTIF($H$5:$H92,"oui"))</f>
        <v/>
      </c>
      <c r="B92" s="8" t="s">
        <v>458</v>
      </c>
      <c r="C92" s="8" t="s">
        <v>459</v>
      </c>
      <c r="D92" s="8" t="s">
        <v>460</v>
      </c>
      <c r="E92" s="8"/>
      <c r="F92" s="8" t="s">
        <v>214</v>
      </c>
      <c r="G92" s="11"/>
      <c r="H92" s="10" t="str">
        <f t="shared" si="6"/>
        <v/>
      </c>
      <c r="I92" s="10" t="str">
        <f>IF($H92="","",COUNTIF(Presences!$C$5:$C$504,$B92))</f>
        <v/>
      </c>
      <c r="J92" s="10" t="str">
        <f>IF($H92="","",Tableau_de_bord!$B$5)</f>
        <v/>
      </c>
      <c r="K92" s="13" t="str">
        <f t="shared" si="7"/>
        <v/>
      </c>
      <c r="L92" s="10" t="str">
        <f>IF($H92&lt;&gt;"oui","",IF(OR($E92="élève",$E92="élève et encadrant"),COUNTIFS($H$5:$H92,"oui",$E$5:$E92,"élève")+COUNTIFS($H$5:$H92,"oui",$E$5:$E92,"élève et encadrant"),""))</f>
        <v/>
      </c>
      <c r="M92" s="10" t="str">
        <f>IF($H92&lt;&gt;"oui","",IF(OR($E92="encadrant",$E92="élève et encadrant"),COUNTIFS($H$5:$H92,"oui",$E$5:$E92,"encadrant")+COUNTIFS($H$5:$H92,"oui",$E$5:$E92,"élève et encadrant"),""))</f>
        <v/>
      </c>
      <c r="N92" s="10" t="str">
        <f t="shared" si="8"/>
        <v>Viktor SIKORA [P099]</v>
      </c>
      <c r="O92" s="10">
        <f>IF($B92="","",COUNTIF(Personnes!$D$5:$D$154,"&lt;"&amp;$D92)+COUNTIF($D$5:$D92,$D92))</f>
        <v>94</v>
      </c>
      <c r="P92" s="8"/>
    </row>
    <row r="93" spans="1:16" x14ac:dyDescent="0.2">
      <c r="A93" s="10" t="str">
        <f>IF($H93="","",COUNTIF($H$5:$H93,"oui"))</f>
        <v/>
      </c>
      <c r="B93" s="8" t="s">
        <v>461</v>
      </c>
      <c r="C93" s="8" t="s">
        <v>462</v>
      </c>
      <c r="D93" s="8" t="s">
        <v>463</v>
      </c>
      <c r="E93" s="8"/>
      <c r="F93" s="8" t="s">
        <v>214</v>
      </c>
      <c r="G93" s="11"/>
      <c r="H93" s="10" t="str">
        <f t="shared" si="6"/>
        <v/>
      </c>
      <c r="I93" s="10" t="str">
        <f>IF($H93="","",COUNTIF(Presences!$C$5:$C$504,$B93))</f>
        <v/>
      </c>
      <c r="J93" s="10" t="str">
        <f>IF($H93="","",Tableau_de_bord!$B$5)</f>
        <v/>
      </c>
      <c r="K93" s="13" t="str">
        <f t="shared" si="7"/>
        <v/>
      </c>
      <c r="L93" s="10" t="str">
        <f>IF($H93&lt;&gt;"oui","",IF(OR($E93="élève",$E93="élève et encadrant"),COUNTIFS($H$5:$H93,"oui",$E$5:$E93,"élève")+COUNTIFS($H$5:$H93,"oui",$E$5:$E93,"élève et encadrant"),""))</f>
        <v/>
      </c>
      <c r="M93" s="10" t="str">
        <f>IF($H93&lt;&gt;"oui","",IF(OR($E93="encadrant",$E93="élève et encadrant"),COUNTIFS($H$5:$H93,"oui",$E$5:$E93,"encadrant")+COUNTIFS($H$5:$H93,"oui",$E$5:$E93,"élève et encadrant"),""))</f>
        <v/>
      </c>
      <c r="N93" s="10" t="str">
        <f t="shared" si="8"/>
        <v>Katarina STANKIEWICZ [P047]</v>
      </c>
      <c r="O93" s="10">
        <f>IF($B93="","",COUNTIF(Personnes!$D$5:$D$154,"&lt;"&amp;$D93)+COUNTIF($D$5:$D93,$D93))</f>
        <v>51</v>
      </c>
      <c r="P93" s="8" t="s">
        <v>464</v>
      </c>
    </row>
    <row r="94" spans="1:16" x14ac:dyDescent="0.2">
      <c r="A94" s="10" t="str">
        <f>IF($H94="","",COUNTIF($H$5:$H94,"oui"))</f>
        <v/>
      </c>
      <c r="B94" s="8" t="s">
        <v>465</v>
      </c>
      <c r="C94" s="8" t="s">
        <v>466</v>
      </c>
      <c r="D94" s="8" t="s">
        <v>467</v>
      </c>
      <c r="E94" s="8"/>
      <c r="F94" s="8" t="s">
        <v>222</v>
      </c>
      <c r="G94" s="11"/>
      <c r="H94" s="10" t="str">
        <f t="shared" si="6"/>
        <v/>
      </c>
      <c r="I94" s="10" t="str">
        <f>IF($H94="","",COUNTIF(Presences!$C$5:$C$504,$B94))</f>
        <v/>
      </c>
      <c r="J94" s="10" t="str">
        <f>IF($H94="","",Tableau_de_bord!$B$5)</f>
        <v/>
      </c>
      <c r="K94" s="13" t="str">
        <f t="shared" si="7"/>
        <v/>
      </c>
      <c r="L94" s="10" t="str">
        <f>IF($H94&lt;&gt;"oui","",IF(OR($E94="élève",$E94="élève et encadrant"),COUNTIFS($H$5:$H94,"oui",$E$5:$E94,"élève")+COUNTIFS($H$5:$H94,"oui",$E$5:$E94,"élève et encadrant"),""))</f>
        <v/>
      </c>
      <c r="M94" s="10" t="str">
        <f>IF($H94&lt;&gt;"oui","",IF(OR($E94="encadrant",$E94="élève et encadrant"),COUNTIFS($H$5:$H94,"oui",$E$5:$E94,"encadrant")+COUNTIFS($H$5:$H94,"oui",$E$5:$E94,"élève et encadrant"),""))</f>
        <v/>
      </c>
      <c r="N94" s="10" t="str">
        <f t="shared" si="8"/>
        <v>Marine TESSON [P095]</v>
      </c>
      <c r="O94" s="10">
        <f>IF($B94="","",COUNTIF(Personnes!$D$5:$D$154,"&lt;"&amp;$D94)+COUNTIF($D$5:$D94,$D94))</f>
        <v>62</v>
      </c>
      <c r="P94" s="8"/>
    </row>
    <row r="95" spans="1:16" x14ac:dyDescent="0.2">
      <c r="A95" s="10" t="str">
        <f>IF($H95="","",COUNTIF($H$5:$H95,"oui"))</f>
        <v/>
      </c>
      <c r="B95" s="8" t="s">
        <v>468</v>
      </c>
      <c r="C95" s="8" t="s">
        <v>469</v>
      </c>
      <c r="D95" s="8" t="s">
        <v>470</v>
      </c>
      <c r="E95" s="8"/>
      <c r="F95" s="8" t="s">
        <v>218</v>
      </c>
      <c r="G95" s="11"/>
      <c r="H95" s="10" t="str">
        <f t="shared" si="6"/>
        <v/>
      </c>
      <c r="I95" s="10" t="str">
        <f>IF($H95="","",COUNTIF(Presences!$C$5:$C$504,$B95))</f>
        <v/>
      </c>
      <c r="J95" s="10" t="str">
        <f>IF($H95="","",Tableau_de_bord!$B$5)</f>
        <v/>
      </c>
      <c r="K95" s="13" t="str">
        <f t="shared" si="7"/>
        <v/>
      </c>
      <c r="L95" s="10" t="str">
        <f>IF($H95&lt;&gt;"oui","",IF(OR($E95="élève",$E95="élève et encadrant"),COUNTIFS($H$5:$H95,"oui",$E$5:$E95,"élève")+COUNTIFS($H$5:$H95,"oui",$E$5:$E95,"élève et encadrant"),""))</f>
        <v/>
      </c>
      <c r="M95" s="10" t="str">
        <f>IF($H95&lt;&gt;"oui","",IF(OR($E95="encadrant",$E95="élève et encadrant"),COUNTIFS($H$5:$H95,"oui",$E$5:$E95,"encadrant")+COUNTIFS($H$5:$H95,"oui",$E$5:$E95,"élève et encadrant"),""))</f>
        <v/>
      </c>
      <c r="N95" s="10" t="str">
        <f t="shared" si="8"/>
        <v>Pauline VALENTINI [P026]</v>
      </c>
      <c r="O95" s="10">
        <f>IF($B95="","",COUNTIF(Personnes!$D$5:$D$154,"&lt;"&amp;$D95)+COUNTIF($D$5:$D95,$D95))</f>
        <v>73</v>
      </c>
      <c r="P95" s="8" t="s">
        <v>471</v>
      </c>
    </row>
    <row r="96" spans="1:16" x14ac:dyDescent="0.2">
      <c r="A96" s="10" t="str">
        <f>IF($H96="","",COUNTIF($H$5:$H96,"oui"))</f>
        <v/>
      </c>
      <c r="B96" s="8" t="s">
        <v>472</v>
      </c>
      <c r="C96" s="8" t="s">
        <v>473</v>
      </c>
      <c r="D96" s="8" t="s">
        <v>474</v>
      </c>
      <c r="E96" s="8"/>
      <c r="F96" s="8"/>
      <c r="G96" s="11"/>
      <c r="H96" s="10" t="str">
        <f t="shared" si="6"/>
        <v/>
      </c>
      <c r="I96" s="10" t="str">
        <f>IF($H96="","",COUNTIF(Presences!$C$5:$C$504,$B96))</f>
        <v/>
      </c>
      <c r="J96" s="10" t="str">
        <f>IF($H96="","",Tableau_de_bord!$B$5)</f>
        <v/>
      </c>
      <c r="K96" s="13" t="str">
        <f t="shared" si="7"/>
        <v/>
      </c>
      <c r="L96" s="10" t="str">
        <f>IF($H96&lt;&gt;"oui","",IF(OR($E96="élève",$E96="élève et encadrant"),COUNTIFS($H$5:$H96,"oui",$E$5:$E96,"élève")+COUNTIFS($H$5:$H96,"oui",$E$5:$E96,"élève et encadrant"),""))</f>
        <v/>
      </c>
      <c r="M96" s="10" t="str">
        <f>IF($H96&lt;&gt;"oui","",IF(OR($E96="encadrant",$E96="élève et encadrant"),COUNTIFS($H$5:$H96,"oui",$E$5:$E96,"encadrant")+COUNTIFS($H$5:$H96,"oui",$E$5:$E96,"élève et encadrant"),""))</f>
        <v/>
      </c>
      <c r="N96" s="10" t="str">
        <f t="shared" si="8"/>
        <v>Eric VENOT [P062]</v>
      </c>
      <c r="O96" s="10">
        <f>IF($B96="","",COUNTIF(Personnes!$D$5:$D$154,"&lt;"&amp;$D96)+COUNTIF($D$5:$D96,$D96))</f>
        <v>32</v>
      </c>
      <c r="P96" s="8" t="s">
        <v>475</v>
      </c>
    </row>
    <row r="97" spans="1:16" x14ac:dyDescent="0.2">
      <c r="A97" s="10" t="str">
        <f>IF($H97="","",COUNTIF($H$5:$H97,"oui"))</f>
        <v/>
      </c>
      <c r="B97" s="8" t="s">
        <v>476</v>
      </c>
      <c r="C97" s="8" t="s">
        <v>477</v>
      </c>
      <c r="D97" s="8" t="s">
        <v>478</v>
      </c>
      <c r="E97" s="8"/>
      <c r="F97" s="8" t="s">
        <v>218</v>
      </c>
      <c r="G97" s="11"/>
      <c r="H97" s="10" t="str">
        <f t="shared" si="6"/>
        <v/>
      </c>
      <c r="I97" s="10" t="str">
        <f>IF($H97="","",COUNTIF(Presences!$C$5:$C$504,$B97))</f>
        <v/>
      </c>
      <c r="J97" s="10" t="str">
        <f>IF($H97="","",Tableau_de_bord!$B$5)</f>
        <v/>
      </c>
      <c r="K97" s="13" t="str">
        <f t="shared" si="7"/>
        <v/>
      </c>
      <c r="L97" s="10" t="str">
        <f>IF($H97&lt;&gt;"oui","",IF(OR($E97="élève",$E97="élève et encadrant"),COUNTIFS($H$5:$H97,"oui",$E$5:$E97,"élève")+COUNTIFS($H$5:$H97,"oui",$E$5:$E97,"élève et encadrant"),""))</f>
        <v/>
      </c>
      <c r="M97" s="10" t="str">
        <f>IF($H97&lt;&gt;"oui","",IF(OR($E97="encadrant",$E97="élève et encadrant"),COUNTIFS($H$5:$H97,"oui",$E$5:$E97,"encadrant")+COUNTIFS($H$5:$H97,"oui",$E$5:$E97,"élève et encadrant"),""))</f>
        <v/>
      </c>
      <c r="N97" s="10" t="str">
        <f t="shared" si="8"/>
        <v>Sandry WALLON [P036]</v>
      </c>
      <c r="O97" s="10">
        <f>IF($B97="","",COUNTIF(Personnes!$D$5:$D$154,"&lt;"&amp;$D97)+COUNTIF($D$5:$D97,$D97))</f>
        <v>81</v>
      </c>
      <c r="P97" s="8" t="s">
        <v>479</v>
      </c>
    </row>
    <row r="98" spans="1:16" x14ac:dyDescent="0.2">
      <c r="A98" s="10" t="str">
        <f>IF($H98="","",COUNTIF($H$5:$H98,"oui"))</f>
        <v/>
      </c>
      <c r="B98" s="8" t="s">
        <v>480</v>
      </c>
      <c r="C98" s="8" t="s">
        <v>477</v>
      </c>
      <c r="D98" s="8" t="s">
        <v>367</v>
      </c>
      <c r="E98" s="8"/>
      <c r="F98" s="8" t="s">
        <v>222</v>
      </c>
      <c r="G98" s="11"/>
      <c r="H98" s="10" t="str">
        <f t="shared" si="6"/>
        <v/>
      </c>
      <c r="I98" s="10" t="str">
        <f>IF($H98="","",COUNTIF(Presences!$C$5:$C$504,$B98))</f>
        <v/>
      </c>
      <c r="J98" s="10" t="str">
        <f>IF($H98="","",Tableau_de_bord!$B$5)</f>
        <v/>
      </c>
      <c r="K98" s="13" t="str">
        <f t="shared" si="7"/>
        <v/>
      </c>
      <c r="L98" s="10" t="str">
        <f>IF($H98&lt;&gt;"oui","",IF(OR($E98="élève",$E98="élève et encadrant"),COUNTIFS($H$5:$H98,"oui",$E$5:$E98,"élève")+COUNTIFS($H$5:$H98,"oui",$E$5:$E98,"élève et encadrant"),""))</f>
        <v/>
      </c>
      <c r="M98" s="10" t="str">
        <f>IF($H98&lt;&gt;"oui","",IF(OR($E98="encadrant",$E98="élève et encadrant"),COUNTIFS($H$5:$H98,"oui",$E$5:$E98,"encadrant")+COUNTIFS($H$5:$H98,"oui",$E$5:$E98,"élève et encadrant"),""))</f>
        <v/>
      </c>
      <c r="N98" s="10" t="str">
        <f t="shared" si="8"/>
        <v>Sylvie WALLON [P096]</v>
      </c>
      <c r="O98" s="10">
        <f>IF($B98="","",COUNTIF(Personnes!$D$5:$D$154,"&lt;"&amp;$D98)+COUNTIF($D$5:$D98,$D98))</f>
        <v>90</v>
      </c>
      <c r="P98" s="8"/>
    </row>
    <row r="99" spans="1:16" x14ac:dyDescent="0.2">
      <c r="A99" s="10" t="str">
        <f>IF($H99="","",COUNTIF($H$5:$H99,"oui"))</f>
        <v/>
      </c>
      <c r="B99" s="8" t="s">
        <v>481</v>
      </c>
      <c r="C99" s="8" t="s">
        <v>482</v>
      </c>
      <c r="D99" s="8" t="s">
        <v>483</v>
      </c>
      <c r="E99" s="8"/>
      <c r="F99" s="8" t="s">
        <v>214</v>
      </c>
      <c r="G99" s="11"/>
      <c r="H99" s="10" t="str">
        <f t="shared" si="6"/>
        <v/>
      </c>
      <c r="I99" s="10" t="str">
        <f>IF($H99="","",COUNTIF(Presences!$C$5:$C$504,$B99))</f>
        <v/>
      </c>
      <c r="J99" s="10" t="str">
        <f>IF($H99="","",Tableau_de_bord!$B$5)</f>
        <v/>
      </c>
      <c r="K99" s="13" t="str">
        <f t="shared" si="7"/>
        <v/>
      </c>
      <c r="L99" s="10" t="str">
        <f>IF($H99&lt;&gt;"oui","",IF(OR($E99="élève",$E99="élève et encadrant"),COUNTIFS($H$5:$H99,"oui",$E$5:$E99,"élève")+COUNTIFS($H$5:$H99,"oui",$E$5:$E99,"élève et encadrant"),""))</f>
        <v/>
      </c>
      <c r="M99" s="10" t="str">
        <f>IF($H99&lt;&gt;"oui","",IF(OR($E99="encadrant",$E99="élève et encadrant"),COUNTIFS($H$5:$H99,"oui",$E$5:$E99,"encadrant")+COUNTIFS($H$5:$H99,"oui",$E$5:$E99,"élève et encadrant"),""))</f>
        <v/>
      </c>
      <c r="N99" s="10" t="str">
        <f t="shared" si="8"/>
        <v>Francis WANG [P013]</v>
      </c>
      <c r="O99" s="10">
        <f>IF($B99="","",COUNTIF(Personnes!$D$5:$D$154,"&lt;"&amp;$D99)+COUNTIF($D$5:$D99,$D99))</f>
        <v>35</v>
      </c>
      <c r="P99" s="8" t="s">
        <v>484</v>
      </c>
    </row>
    <row r="100" spans="1:16" x14ac:dyDescent="0.2">
      <c r="A100" s="10" t="str">
        <f>IF($H100="","",COUNTIF($H$5:$H100,"oui"))</f>
        <v/>
      </c>
      <c r="B100" s="8" t="s">
        <v>485</v>
      </c>
      <c r="C100" s="8" t="s">
        <v>486</v>
      </c>
      <c r="D100" s="8" t="s">
        <v>487</v>
      </c>
      <c r="E100" s="8"/>
      <c r="F100" s="8" t="s">
        <v>218</v>
      </c>
      <c r="G100" s="11"/>
      <c r="H100" s="10" t="str">
        <f t="shared" si="6"/>
        <v/>
      </c>
      <c r="I100" s="10" t="str">
        <f>IF($H100="","",COUNTIF(Presences!$C$5:$C$504,$B100))</f>
        <v/>
      </c>
      <c r="J100" s="10" t="str">
        <f>IF($H100="","",Tableau_de_bord!$B$5)</f>
        <v/>
      </c>
      <c r="K100" s="13" t="str">
        <f t="shared" si="7"/>
        <v/>
      </c>
      <c r="L100" s="10" t="str">
        <f>IF($H100&lt;&gt;"oui","",IF(OR($E100="élève",$E100="élève et encadrant"),COUNTIFS($H$5:$H100,"oui",$E$5:$E100,"élève")+COUNTIFS($H$5:$H100,"oui",$E$5:$E100,"élève et encadrant"),""))</f>
        <v/>
      </c>
      <c r="M100" s="10" t="str">
        <f>IF($H100&lt;&gt;"oui","",IF(OR($E100="encadrant",$E100="élève et encadrant"),COUNTIFS($H$5:$H100,"oui",$E$5:$E100,"encadrant")+COUNTIFS($H$5:$H100,"oui",$E$5:$E100,"élève et encadrant"),""))</f>
        <v/>
      </c>
      <c r="N100" s="10" t="str">
        <f t="shared" si="8"/>
        <v>Mariem YOUNSSI [P021]</v>
      </c>
      <c r="O100" s="10">
        <f>IF($B100="","",COUNTIF(Personnes!$D$5:$D$154,"&lt;"&amp;$D100)+COUNTIF($D$5:$D100,$D100))</f>
        <v>61</v>
      </c>
      <c r="P100" s="8"/>
    </row>
    <row r="101" spans="1:16" x14ac:dyDescent="0.2">
      <c r="A101" s="10" t="str">
        <f>IF($H101="","",COUNTIF($H$5:$H101,"oui"))</f>
        <v/>
      </c>
      <c r="B101" s="8" t="s">
        <v>488</v>
      </c>
      <c r="C101" s="8"/>
      <c r="D101" s="8" t="s">
        <v>489</v>
      </c>
      <c r="E101" s="8"/>
      <c r="F101" s="8"/>
      <c r="G101" s="11"/>
      <c r="H101" s="10" t="str">
        <f t="shared" ref="H101:H132" si="9">IF($B101="","",IF(ISNUMBER(SEARCH("/LC/","/"&amp;SUBSTITUTE($F101," / ","/")&amp;"/")),"oui",""))</f>
        <v/>
      </c>
      <c r="I101" s="10" t="str">
        <f>IF($H101="","",COUNTIF(Presences!$C$5:$C$504,$B101))</f>
        <v/>
      </c>
      <c r="J101" s="10" t="str">
        <f>IF($H101="","",Tableau_de_bord!$B$5)</f>
        <v/>
      </c>
      <c r="K101" s="13" t="str">
        <f t="shared" ref="K101:K132" si="10">IFERROR(IF($J101=0,"",$I101/$J101),"")</f>
        <v/>
      </c>
      <c r="L101" s="10" t="str">
        <f>IF($H101&lt;&gt;"oui","",IF(OR($E101="élève",$E101="élève et encadrant"),COUNTIFS($H$5:$H101,"oui",$E$5:$E101,"élève")+COUNTIFS($H$5:$H101,"oui",$E$5:$E101,"élève et encadrant"),""))</f>
        <v/>
      </c>
      <c r="M101" s="10" t="str">
        <f>IF($H101&lt;&gt;"oui","",IF(OR($E101="encadrant",$E101="élève et encadrant"),COUNTIFS($H$5:$H101,"oui",$E$5:$E101,"encadrant")+COUNTIFS($H$5:$H101,"oui",$E$5:$E101,"élève et encadrant"),""))</f>
        <v/>
      </c>
      <c r="N101" s="10" t="str">
        <f t="shared" ref="N101:N132" si="11">IF($B101="","",TRIM(IF($D101="",$C101,$D101&amp;" "&amp;$C101))&amp;" ["&amp;$B101&amp;"]")</f>
        <v>Suah [P065]</v>
      </c>
      <c r="O101" s="10">
        <f>IF($B101="","",COUNTIF(Personnes!$D$5:$D$154,"&lt;"&amp;$D101)+COUNTIF($D$5:$D101,$D101))</f>
        <v>88</v>
      </c>
      <c r="P101" s="8"/>
    </row>
    <row r="102" spans="1:16" x14ac:dyDescent="0.2">
      <c r="A102" s="10" t="str">
        <f>IF($H102="","",COUNTIF($H$5:$H102,"oui"))</f>
        <v/>
      </c>
      <c r="B102" s="8"/>
      <c r="C102" s="8"/>
      <c r="D102" s="8"/>
      <c r="E102" s="8"/>
      <c r="F102" s="8"/>
      <c r="G102" s="11"/>
      <c r="H102" s="10" t="str">
        <f t="shared" si="9"/>
        <v/>
      </c>
      <c r="I102" s="10" t="str">
        <f>IF($H102="","",COUNTIF(Presences!$C$5:$C$504,$B102))</f>
        <v/>
      </c>
      <c r="J102" s="10" t="str">
        <f>IF($H102="","",Tableau_de_bord!$B$5)</f>
        <v/>
      </c>
      <c r="K102" s="13" t="str">
        <f t="shared" si="10"/>
        <v/>
      </c>
      <c r="L102" s="10" t="str">
        <f>IF($H102&lt;&gt;"oui","",IF(OR($E102="élève",$E102="élève et encadrant"),COUNTIFS($H$5:$H102,"oui",$E$5:$E102,"élève")+COUNTIFS($H$5:$H102,"oui",$E$5:$E102,"élève et encadrant"),""))</f>
        <v/>
      </c>
      <c r="M102" s="10" t="str">
        <f>IF($H102&lt;&gt;"oui","",IF(OR($E102="encadrant",$E102="élève et encadrant"),COUNTIFS($H$5:$H102,"oui",$E$5:$E102,"encadrant")+COUNTIFS($H$5:$H102,"oui",$E$5:$E102,"élève et encadrant"),""))</f>
        <v/>
      </c>
      <c r="N102" s="10" t="str">
        <f t="shared" si="11"/>
        <v/>
      </c>
      <c r="O102" s="10" t="str">
        <f>IF($B102="","",COUNTIF(Personnes!$D$5:$D$154,"&lt;"&amp;$D102)+COUNTIF($D$5:$D102,$D102))</f>
        <v/>
      </c>
      <c r="P102" s="8"/>
    </row>
    <row r="103" spans="1:16" x14ac:dyDescent="0.2">
      <c r="A103" s="10" t="str">
        <f>IF($H103="","",COUNTIF($H$5:$H103,"oui"))</f>
        <v/>
      </c>
      <c r="B103" s="8"/>
      <c r="C103" s="8"/>
      <c r="D103" s="8"/>
      <c r="E103" s="8"/>
      <c r="F103" s="8"/>
      <c r="G103" s="11"/>
      <c r="H103" s="10" t="str">
        <f t="shared" si="9"/>
        <v/>
      </c>
      <c r="I103" s="10" t="str">
        <f>IF($H103="","",COUNTIF(Presences!$C$5:$C$504,$B103))</f>
        <v/>
      </c>
      <c r="J103" s="10" t="str">
        <f>IF($H103="","",Tableau_de_bord!$B$5)</f>
        <v/>
      </c>
      <c r="K103" s="13" t="str">
        <f t="shared" si="10"/>
        <v/>
      </c>
      <c r="L103" s="10" t="str">
        <f>IF($H103&lt;&gt;"oui","",IF(OR($E103="élève",$E103="élève et encadrant"),COUNTIFS($H$5:$H103,"oui",$E$5:$E103,"élève")+COUNTIFS($H$5:$H103,"oui",$E$5:$E103,"élève et encadrant"),""))</f>
        <v/>
      </c>
      <c r="M103" s="10" t="str">
        <f>IF($H103&lt;&gt;"oui","",IF(OR($E103="encadrant",$E103="élève et encadrant"),COUNTIFS($H$5:$H103,"oui",$E$5:$E103,"encadrant")+COUNTIFS($H$5:$H103,"oui",$E$5:$E103,"élève et encadrant"),""))</f>
        <v/>
      </c>
      <c r="N103" s="10" t="str">
        <f t="shared" si="11"/>
        <v/>
      </c>
      <c r="O103" s="10" t="str">
        <f>IF($B103="","",COUNTIF(Personnes!$D$5:$D$154,"&lt;"&amp;$D103)+COUNTIF($D$5:$D103,$D103))</f>
        <v/>
      </c>
      <c r="P103" s="8"/>
    </row>
    <row r="104" spans="1:16" x14ac:dyDescent="0.2">
      <c r="A104" s="10" t="str">
        <f>IF($H104="","",COUNTIF($H$5:$H104,"oui"))</f>
        <v/>
      </c>
      <c r="B104" s="8"/>
      <c r="C104" s="8"/>
      <c r="D104" s="8"/>
      <c r="E104" s="8"/>
      <c r="F104" s="8"/>
      <c r="G104" s="11"/>
      <c r="H104" s="10" t="str">
        <f t="shared" si="9"/>
        <v/>
      </c>
      <c r="I104" s="10" t="str">
        <f>IF($H104="","",COUNTIF(Presences!$C$5:$C$504,$B104))</f>
        <v/>
      </c>
      <c r="J104" s="10" t="str">
        <f>IF($H104="","",Tableau_de_bord!$B$5)</f>
        <v/>
      </c>
      <c r="K104" s="13" t="str">
        <f t="shared" si="10"/>
        <v/>
      </c>
      <c r="L104" s="10" t="str">
        <f>IF($H104&lt;&gt;"oui","",IF(OR($E104="élève",$E104="élève et encadrant"),COUNTIFS($H$5:$H104,"oui",$E$5:$E104,"élève")+COUNTIFS($H$5:$H104,"oui",$E$5:$E104,"élève et encadrant"),""))</f>
        <v/>
      </c>
      <c r="M104" s="10" t="str">
        <f>IF($H104&lt;&gt;"oui","",IF(OR($E104="encadrant",$E104="élève et encadrant"),COUNTIFS($H$5:$H104,"oui",$E$5:$E104,"encadrant")+COUNTIFS($H$5:$H104,"oui",$E$5:$E104,"élève et encadrant"),""))</f>
        <v/>
      </c>
      <c r="N104" s="10" t="str">
        <f t="shared" si="11"/>
        <v/>
      </c>
      <c r="O104" s="10" t="str">
        <f>IF($B104="","",COUNTIF(Personnes!$D$5:$D$154,"&lt;"&amp;$D104)+COUNTIF($D$5:$D104,$D104))</f>
        <v/>
      </c>
      <c r="P104" s="8"/>
    </row>
    <row r="105" spans="1:16" x14ac:dyDescent="0.2">
      <c r="A105" s="10" t="str">
        <f>IF($H105="","",COUNTIF($H$5:$H105,"oui"))</f>
        <v/>
      </c>
      <c r="B105" s="8"/>
      <c r="C105" s="8"/>
      <c r="D105" s="8"/>
      <c r="E105" s="8"/>
      <c r="F105" s="8"/>
      <c r="G105" s="11"/>
      <c r="H105" s="10" t="str">
        <f t="shared" si="9"/>
        <v/>
      </c>
      <c r="I105" s="10" t="str">
        <f>IF($H105="","",COUNTIF(Presences!$C$5:$C$504,$B105))</f>
        <v/>
      </c>
      <c r="J105" s="10" t="str">
        <f>IF($H105="","",Tableau_de_bord!$B$5)</f>
        <v/>
      </c>
      <c r="K105" s="13" t="str">
        <f t="shared" si="10"/>
        <v/>
      </c>
      <c r="L105" s="10" t="str">
        <f>IF($H105&lt;&gt;"oui","",IF(OR($E105="élève",$E105="élève et encadrant"),COUNTIFS($H$5:$H105,"oui",$E$5:$E105,"élève")+COUNTIFS($H$5:$H105,"oui",$E$5:$E105,"élève et encadrant"),""))</f>
        <v/>
      </c>
      <c r="M105" s="10" t="str">
        <f>IF($H105&lt;&gt;"oui","",IF(OR($E105="encadrant",$E105="élève et encadrant"),COUNTIFS($H$5:$H105,"oui",$E$5:$E105,"encadrant")+COUNTIFS($H$5:$H105,"oui",$E$5:$E105,"élève et encadrant"),""))</f>
        <v/>
      </c>
      <c r="N105" s="10" t="str">
        <f t="shared" si="11"/>
        <v/>
      </c>
      <c r="O105" s="10" t="str">
        <f>IF($B105="","",COUNTIF(Personnes!$D$5:$D$154,"&lt;"&amp;$D105)+COUNTIF($D$5:$D105,$D105))</f>
        <v/>
      </c>
      <c r="P105" s="8"/>
    </row>
    <row r="106" spans="1:16" x14ac:dyDescent="0.2">
      <c r="A106" s="10" t="str">
        <f>IF($H106="","",COUNTIF($H$5:$H106,"oui"))</f>
        <v/>
      </c>
      <c r="B106" s="8"/>
      <c r="C106" s="8"/>
      <c r="D106" s="8"/>
      <c r="E106" s="8"/>
      <c r="F106" s="8"/>
      <c r="G106" s="11"/>
      <c r="H106" s="10" t="str">
        <f t="shared" si="9"/>
        <v/>
      </c>
      <c r="I106" s="10" t="str">
        <f>IF($H106="","",COUNTIF(Presences!$C$5:$C$504,$B106))</f>
        <v/>
      </c>
      <c r="J106" s="10" t="str">
        <f>IF($H106="","",Tableau_de_bord!$B$5)</f>
        <v/>
      </c>
      <c r="K106" s="13" t="str">
        <f t="shared" si="10"/>
        <v/>
      </c>
      <c r="L106" s="10" t="str">
        <f>IF($H106&lt;&gt;"oui","",IF(OR($E106="élève",$E106="élève et encadrant"),COUNTIFS($H$5:$H106,"oui",$E$5:$E106,"élève")+COUNTIFS($H$5:$H106,"oui",$E$5:$E106,"élève et encadrant"),""))</f>
        <v/>
      </c>
      <c r="M106" s="10" t="str">
        <f>IF($H106&lt;&gt;"oui","",IF(OR($E106="encadrant",$E106="élève et encadrant"),COUNTIFS($H$5:$H106,"oui",$E$5:$E106,"encadrant")+COUNTIFS($H$5:$H106,"oui",$E$5:$E106,"élève et encadrant"),""))</f>
        <v/>
      </c>
      <c r="N106" s="10" t="str">
        <f t="shared" si="11"/>
        <v/>
      </c>
      <c r="O106" s="10" t="str">
        <f>IF($B106="","",COUNTIF(Personnes!$D$5:$D$154,"&lt;"&amp;$D106)+COUNTIF($D$5:$D106,$D106))</f>
        <v/>
      </c>
      <c r="P106" s="8"/>
    </row>
    <row r="107" spans="1:16" x14ac:dyDescent="0.2">
      <c r="A107" s="10" t="str">
        <f>IF($H107="","",COUNTIF($H$5:$H107,"oui"))</f>
        <v/>
      </c>
      <c r="B107" s="8"/>
      <c r="C107" s="8"/>
      <c r="D107" s="8"/>
      <c r="E107" s="8"/>
      <c r="F107" s="8"/>
      <c r="G107" s="11"/>
      <c r="H107" s="10" t="str">
        <f t="shared" si="9"/>
        <v/>
      </c>
      <c r="I107" s="10" t="str">
        <f>IF($H107="","",COUNTIF(Presences!$C$5:$C$504,$B107))</f>
        <v/>
      </c>
      <c r="J107" s="10" t="str">
        <f>IF($H107="","",Tableau_de_bord!$B$5)</f>
        <v/>
      </c>
      <c r="K107" s="13" t="str">
        <f t="shared" si="10"/>
        <v/>
      </c>
      <c r="L107" s="10" t="str">
        <f>IF($H107&lt;&gt;"oui","",IF(OR($E107="élève",$E107="élève et encadrant"),COUNTIFS($H$5:$H107,"oui",$E$5:$E107,"élève")+COUNTIFS($H$5:$H107,"oui",$E$5:$E107,"élève et encadrant"),""))</f>
        <v/>
      </c>
      <c r="M107" s="10" t="str">
        <f>IF($H107&lt;&gt;"oui","",IF(OR($E107="encadrant",$E107="élève et encadrant"),COUNTIFS($H$5:$H107,"oui",$E$5:$E107,"encadrant")+COUNTIFS($H$5:$H107,"oui",$E$5:$E107,"élève et encadrant"),""))</f>
        <v/>
      </c>
      <c r="N107" s="10" t="str">
        <f t="shared" si="11"/>
        <v/>
      </c>
      <c r="O107" s="10" t="str">
        <f>IF($B107="","",COUNTIF(Personnes!$D$5:$D$154,"&lt;"&amp;$D107)+COUNTIF($D$5:$D107,$D107))</f>
        <v/>
      </c>
      <c r="P107" s="8"/>
    </row>
    <row r="108" spans="1:16" x14ac:dyDescent="0.2">
      <c r="A108" s="10" t="str">
        <f>IF($H108="","",COUNTIF($H$5:$H108,"oui"))</f>
        <v/>
      </c>
      <c r="B108" s="8"/>
      <c r="C108" s="8"/>
      <c r="D108" s="8"/>
      <c r="E108" s="8"/>
      <c r="F108" s="8"/>
      <c r="G108" s="11"/>
      <c r="H108" s="10" t="str">
        <f t="shared" si="9"/>
        <v/>
      </c>
      <c r="I108" s="10" t="str">
        <f>IF($H108="","",COUNTIF(Presences!$C$5:$C$504,$B108))</f>
        <v/>
      </c>
      <c r="J108" s="10" t="str">
        <f>IF($H108="","",Tableau_de_bord!$B$5)</f>
        <v/>
      </c>
      <c r="K108" s="13" t="str">
        <f t="shared" si="10"/>
        <v/>
      </c>
      <c r="L108" s="10" t="str">
        <f>IF($H108&lt;&gt;"oui","",IF(OR($E108="élève",$E108="élève et encadrant"),COUNTIFS($H$5:$H108,"oui",$E$5:$E108,"élève")+COUNTIFS($H$5:$H108,"oui",$E$5:$E108,"élève et encadrant"),""))</f>
        <v/>
      </c>
      <c r="M108" s="10" t="str">
        <f>IF($H108&lt;&gt;"oui","",IF(OR($E108="encadrant",$E108="élève et encadrant"),COUNTIFS($H$5:$H108,"oui",$E$5:$E108,"encadrant")+COUNTIFS($H$5:$H108,"oui",$E$5:$E108,"élève et encadrant"),""))</f>
        <v/>
      </c>
      <c r="N108" s="10" t="str">
        <f t="shared" si="11"/>
        <v/>
      </c>
      <c r="O108" s="10" t="str">
        <f>IF($B108="","",COUNTIF(Personnes!$D$5:$D$154,"&lt;"&amp;$D108)+COUNTIF($D$5:$D108,$D108))</f>
        <v/>
      </c>
      <c r="P108" s="8"/>
    </row>
    <row r="109" spans="1:16" x14ac:dyDescent="0.2">
      <c r="A109" s="10" t="str">
        <f>IF($H109="","",COUNTIF($H$5:$H109,"oui"))</f>
        <v/>
      </c>
      <c r="B109" s="8"/>
      <c r="C109" s="8"/>
      <c r="D109" s="8"/>
      <c r="E109" s="8"/>
      <c r="F109" s="8"/>
      <c r="G109" s="11"/>
      <c r="H109" s="10" t="str">
        <f t="shared" si="9"/>
        <v/>
      </c>
      <c r="I109" s="10" t="str">
        <f>IF($H109="","",COUNTIF(Presences!$C$5:$C$504,$B109))</f>
        <v/>
      </c>
      <c r="J109" s="10" t="str">
        <f>IF($H109="","",Tableau_de_bord!$B$5)</f>
        <v/>
      </c>
      <c r="K109" s="13" t="str">
        <f t="shared" si="10"/>
        <v/>
      </c>
      <c r="L109" s="10" t="str">
        <f>IF($H109&lt;&gt;"oui","",IF(OR($E109="élève",$E109="élève et encadrant"),COUNTIFS($H$5:$H109,"oui",$E$5:$E109,"élève")+COUNTIFS($H$5:$H109,"oui",$E$5:$E109,"élève et encadrant"),""))</f>
        <v/>
      </c>
      <c r="M109" s="10" t="str">
        <f>IF($H109&lt;&gt;"oui","",IF(OR($E109="encadrant",$E109="élève et encadrant"),COUNTIFS($H$5:$H109,"oui",$E$5:$E109,"encadrant")+COUNTIFS($H$5:$H109,"oui",$E$5:$E109,"élève et encadrant"),""))</f>
        <v/>
      </c>
      <c r="N109" s="10" t="str">
        <f t="shared" si="11"/>
        <v/>
      </c>
      <c r="O109" s="10" t="str">
        <f>IF($B109="","",COUNTIF(Personnes!$D$5:$D$154,"&lt;"&amp;$D109)+COUNTIF($D$5:$D109,$D109))</f>
        <v/>
      </c>
      <c r="P109" s="8"/>
    </row>
    <row r="110" spans="1:16" x14ac:dyDescent="0.2">
      <c r="A110" s="10" t="str">
        <f>IF($H110="","",COUNTIF($H$5:$H110,"oui"))</f>
        <v/>
      </c>
      <c r="B110" s="8"/>
      <c r="C110" s="8"/>
      <c r="D110" s="8"/>
      <c r="E110" s="8"/>
      <c r="F110" s="8"/>
      <c r="G110" s="11"/>
      <c r="H110" s="10" t="str">
        <f t="shared" si="9"/>
        <v/>
      </c>
      <c r="I110" s="10" t="str">
        <f>IF($H110="","",COUNTIF(Presences!$C$5:$C$504,$B110))</f>
        <v/>
      </c>
      <c r="J110" s="10" t="str">
        <f>IF($H110="","",Tableau_de_bord!$B$5)</f>
        <v/>
      </c>
      <c r="K110" s="13" t="str">
        <f t="shared" si="10"/>
        <v/>
      </c>
      <c r="L110" s="10" t="str">
        <f>IF($H110&lt;&gt;"oui","",IF(OR($E110="élève",$E110="élève et encadrant"),COUNTIFS($H$5:$H110,"oui",$E$5:$E110,"élève")+COUNTIFS($H$5:$H110,"oui",$E$5:$E110,"élève et encadrant"),""))</f>
        <v/>
      </c>
      <c r="M110" s="10" t="str">
        <f>IF($H110&lt;&gt;"oui","",IF(OR($E110="encadrant",$E110="élève et encadrant"),COUNTIFS($H$5:$H110,"oui",$E$5:$E110,"encadrant")+COUNTIFS($H$5:$H110,"oui",$E$5:$E110,"élève et encadrant"),""))</f>
        <v/>
      </c>
      <c r="N110" s="10" t="str">
        <f t="shared" si="11"/>
        <v/>
      </c>
      <c r="O110" s="10" t="str">
        <f>IF($B110="","",COUNTIF(Personnes!$D$5:$D$154,"&lt;"&amp;$D110)+COUNTIF($D$5:$D110,$D110))</f>
        <v/>
      </c>
      <c r="P110" s="8"/>
    </row>
    <row r="111" spans="1:16" x14ac:dyDescent="0.2">
      <c r="A111" s="10" t="str">
        <f>IF($H111="","",COUNTIF($H$5:$H111,"oui"))</f>
        <v/>
      </c>
      <c r="B111" s="8"/>
      <c r="C111" s="8"/>
      <c r="D111" s="8"/>
      <c r="E111" s="8"/>
      <c r="F111" s="8"/>
      <c r="G111" s="11"/>
      <c r="H111" s="10" t="str">
        <f t="shared" si="9"/>
        <v/>
      </c>
      <c r="I111" s="10" t="str">
        <f>IF($H111="","",COUNTIF(Presences!$C$5:$C$504,$B111))</f>
        <v/>
      </c>
      <c r="J111" s="10" t="str">
        <f>IF($H111="","",Tableau_de_bord!$B$5)</f>
        <v/>
      </c>
      <c r="K111" s="13" t="str">
        <f t="shared" si="10"/>
        <v/>
      </c>
      <c r="L111" s="10" t="str">
        <f>IF($H111&lt;&gt;"oui","",IF(OR($E111="élève",$E111="élève et encadrant"),COUNTIFS($H$5:$H111,"oui",$E$5:$E111,"élève")+COUNTIFS($H$5:$H111,"oui",$E$5:$E111,"élève et encadrant"),""))</f>
        <v/>
      </c>
      <c r="M111" s="10" t="str">
        <f>IF($H111&lt;&gt;"oui","",IF(OR($E111="encadrant",$E111="élève et encadrant"),COUNTIFS($H$5:$H111,"oui",$E$5:$E111,"encadrant")+COUNTIFS($H$5:$H111,"oui",$E$5:$E111,"élève et encadrant"),""))</f>
        <v/>
      </c>
      <c r="N111" s="10" t="str">
        <f t="shared" si="11"/>
        <v/>
      </c>
      <c r="O111" s="10" t="str">
        <f>IF($B111="","",COUNTIF(Personnes!$D$5:$D$154,"&lt;"&amp;$D111)+COUNTIF($D$5:$D111,$D111))</f>
        <v/>
      </c>
      <c r="P111" s="8"/>
    </row>
    <row r="112" spans="1:16" x14ac:dyDescent="0.2">
      <c r="A112" s="10" t="str">
        <f>IF($H112="","",COUNTIF($H$5:$H112,"oui"))</f>
        <v/>
      </c>
      <c r="B112" s="8"/>
      <c r="C112" s="8"/>
      <c r="D112" s="8"/>
      <c r="E112" s="8"/>
      <c r="F112" s="8"/>
      <c r="G112" s="11"/>
      <c r="H112" s="10" t="str">
        <f t="shared" si="9"/>
        <v/>
      </c>
      <c r="I112" s="10" t="str">
        <f>IF($H112="","",COUNTIF(Presences!$C$5:$C$504,$B112))</f>
        <v/>
      </c>
      <c r="J112" s="10" t="str">
        <f>IF($H112="","",Tableau_de_bord!$B$5)</f>
        <v/>
      </c>
      <c r="K112" s="13" t="str">
        <f t="shared" si="10"/>
        <v/>
      </c>
      <c r="L112" s="10" t="str">
        <f>IF($H112&lt;&gt;"oui","",IF(OR($E112="élève",$E112="élève et encadrant"),COUNTIFS($H$5:$H112,"oui",$E$5:$E112,"élève")+COUNTIFS($H$5:$H112,"oui",$E$5:$E112,"élève et encadrant"),""))</f>
        <v/>
      </c>
      <c r="M112" s="10" t="str">
        <f>IF($H112&lt;&gt;"oui","",IF(OR($E112="encadrant",$E112="élève et encadrant"),COUNTIFS($H$5:$H112,"oui",$E$5:$E112,"encadrant")+COUNTIFS($H$5:$H112,"oui",$E$5:$E112,"élève et encadrant"),""))</f>
        <v/>
      </c>
      <c r="N112" s="10" t="str">
        <f t="shared" si="11"/>
        <v/>
      </c>
      <c r="O112" s="10" t="str">
        <f>IF($B112="","",COUNTIF(Personnes!$D$5:$D$154,"&lt;"&amp;$D112)+COUNTIF($D$5:$D112,$D112))</f>
        <v/>
      </c>
      <c r="P112" s="8"/>
    </row>
    <row r="113" spans="1:16" x14ac:dyDescent="0.2">
      <c r="A113" s="10" t="str">
        <f>IF($H113="","",COUNTIF($H$5:$H113,"oui"))</f>
        <v/>
      </c>
      <c r="B113" s="8"/>
      <c r="C113" s="8"/>
      <c r="D113" s="8"/>
      <c r="E113" s="8"/>
      <c r="F113" s="8"/>
      <c r="G113" s="11"/>
      <c r="H113" s="10" t="str">
        <f t="shared" si="9"/>
        <v/>
      </c>
      <c r="I113" s="10" t="str">
        <f>IF($H113="","",COUNTIF(Presences!$C$5:$C$504,$B113))</f>
        <v/>
      </c>
      <c r="J113" s="10" t="str">
        <f>IF($H113="","",Tableau_de_bord!$B$5)</f>
        <v/>
      </c>
      <c r="K113" s="13" t="str">
        <f t="shared" si="10"/>
        <v/>
      </c>
      <c r="L113" s="10" t="str">
        <f>IF($H113&lt;&gt;"oui","",IF(OR($E113="élève",$E113="élève et encadrant"),COUNTIFS($H$5:$H113,"oui",$E$5:$E113,"élève")+COUNTIFS($H$5:$H113,"oui",$E$5:$E113,"élève et encadrant"),""))</f>
        <v/>
      </c>
      <c r="M113" s="10" t="str">
        <f>IF($H113&lt;&gt;"oui","",IF(OR($E113="encadrant",$E113="élève et encadrant"),COUNTIFS($H$5:$H113,"oui",$E$5:$E113,"encadrant")+COUNTIFS($H$5:$H113,"oui",$E$5:$E113,"élève et encadrant"),""))</f>
        <v/>
      </c>
      <c r="N113" s="10" t="str">
        <f t="shared" si="11"/>
        <v/>
      </c>
      <c r="O113" s="10" t="str">
        <f>IF($B113="","",COUNTIF(Personnes!$D$5:$D$154,"&lt;"&amp;$D113)+COUNTIF($D$5:$D113,$D113))</f>
        <v/>
      </c>
      <c r="P113" s="8"/>
    </row>
    <row r="114" spans="1:16" x14ac:dyDescent="0.2">
      <c r="A114" s="10" t="str">
        <f>IF($H114="","",COUNTIF($H$5:$H114,"oui"))</f>
        <v/>
      </c>
      <c r="B114" s="8"/>
      <c r="C114" s="8"/>
      <c r="D114" s="8"/>
      <c r="E114" s="8"/>
      <c r="F114" s="8"/>
      <c r="G114" s="11"/>
      <c r="H114" s="10" t="str">
        <f t="shared" si="9"/>
        <v/>
      </c>
      <c r="I114" s="10" t="str">
        <f>IF($H114="","",COUNTIF(Presences!$C$5:$C$504,$B114))</f>
        <v/>
      </c>
      <c r="J114" s="10" t="str">
        <f>IF($H114="","",Tableau_de_bord!$B$5)</f>
        <v/>
      </c>
      <c r="K114" s="13" t="str">
        <f t="shared" si="10"/>
        <v/>
      </c>
      <c r="L114" s="10" t="str">
        <f>IF($H114&lt;&gt;"oui","",IF(OR($E114="élève",$E114="élève et encadrant"),COUNTIFS($H$5:$H114,"oui",$E$5:$E114,"élève")+COUNTIFS($H$5:$H114,"oui",$E$5:$E114,"élève et encadrant"),""))</f>
        <v/>
      </c>
      <c r="M114" s="10" t="str">
        <f>IF($H114&lt;&gt;"oui","",IF(OR($E114="encadrant",$E114="élève et encadrant"),COUNTIFS($H$5:$H114,"oui",$E$5:$E114,"encadrant")+COUNTIFS($H$5:$H114,"oui",$E$5:$E114,"élève et encadrant"),""))</f>
        <v/>
      </c>
      <c r="N114" s="10" t="str">
        <f t="shared" si="11"/>
        <v/>
      </c>
      <c r="O114" s="10" t="str">
        <f>IF($B114="","",COUNTIF(Personnes!$D$5:$D$154,"&lt;"&amp;$D114)+COUNTIF($D$5:$D114,$D114))</f>
        <v/>
      </c>
      <c r="P114" s="8"/>
    </row>
    <row r="115" spans="1:16" x14ac:dyDescent="0.2">
      <c r="A115" s="10" t="str">
        <f>IF($H115="","",COUNTIF($H$5:$H115,"oui"))</f>
        <v/>
      </c>
      <c r="B115" s="8"/>
      <c r="C115" s="8"/>
      <c r="D115" s="8"/>
      <c r="E115" s="8"/>
      <c r="F115" s="8"/>
      <c r="G115" s="11"/>
      <c r="H115" s="10" t="str">
        <f t="shared" si="9"/>
        <v/>
      </c>
      <c r="I115" s="10" t="str">
        <f>IF($H115="","",COUNTIF(Presences!$C$5:$C$504,$B115))</f>
        <v/>
      </c>
      <c r="J115" s="10" t="str">
        <f>IF($H115="","",Tableau_de_bord!$B$5)</f>
        <v/>
      </c>
      <c r="K115" s="13" t="str">
        <f t="shared" si="10"/>
        <v/>
      </c>
      <c r="L115" s="10" t="str">
        <f>IF($H115&lt;&gt;"oui","",IF(OR($E115="élève",$E115="élève et encadrant"),COUNTIFS($H$5:$H115,"oui",$E$5:$E115,"élève")+COUNTIFS($H$5:$H115,"oui",$E$5:$E115,"élève et encadrant"),""))</f>
        <v/>
      </c>
      <c r="M115" s="10" t="str">
        <f>IF($H115&lt;&gt;"oui","",IF(OR($E115="encadrant",$E115="élève et encadrant"),COUNTIFS($H$5:$H115,"oui",$E$5:$E115,"encadrant")+COUNTIFS($H$5:$H115,"oui",$E$5:$E115,"élève et encadrant"),""))</f>
        <v/>
      </c>
      <c r="N115" s="10" t="str">
        <f t="shared" si="11"/>
        <v/>
      </c>
      <c r="O115" s="10" t="str">
        <f>IF($B115="","",COUNTIF(Personnes!$D$5:$D$154,"&lt;"&amp;$D115)+COUNTIF($D$5:$D115,$D115))</f>
        <v/>
      </c>
      <c r="P115" s="8"/>
    </row>
    <row r="116" spans="1:16" x14ac:dyDescent="0.2">
      <c r="A116" s="10" t="str">
        <f>IF($H116="","",COUNTIF($H$5:$H116,"oui"))</f>
        <v/>
      </c>
      <c r="B116" s="8"/>
      <c r="C116" s="8"/>
      <c r="D116" s="8"/>
      <c r="E116" s="8"/>
      <c r="F116" s="8"/>
      <c r="G116" s="11"/>
      <c r="H116" s="10" t="str">
        <f t="shared" si="9"/>
        <v/>
      </c>
      <c r="I116" s="10" t="str">
        <f>IF($H116="","",COUNTIF(Presences!$C$5:$C$504,$B116))</f>
        <v/>
      </c>
      <c r="J116" s="10" t="str">
        <f>IF($H116="","",Tableau_de_bord!$B$5)</f>
        <v/>
      </c>
      <c r="K116" s="13" t="str">
        <f t="shared" si="10"/>
        <v/>
      </c>
      <c r="L116" s="10" t="str">
        <f>IF($H116&lt;&gt;"oui","",IF(OR($E116="élève",$E116="élève et encadrant"),COUNTIFS($H$5:$H116,"oui",$E$5:$E116,"élève")+COUNTIFS($H$5:$H116,"oui",$E$5:$E116,"élève et encadrant"),""))</f>
        <v/>
      </c>
      <c r="M116" s="10" t="str">
        <f>IF($H116&lt;&gt;"oui","",IF(OR($E116="encadrant",$E116="élève et encadrant"),COUNTIFS($H$5:$H116,"oui",$E$5:$E116,"encadrant")+COUNTIFS($H$5:$H116,"oui",$E$5:$E116,"élève et encadrant"),""))</f>
        <v/>
      </c>
      <c r="N116" s="10" t="str">
        <f t="shared" si="11"/>
        <v/>
      </c>
      <c r="O116" s="10" t="str">
        <f>IF($B116="","",COUNTIF(Personnes!$D$5:$D$154,"&lt;"&amp;$D116)+COUNTIF($D$5:$D116,$D116))</f>
        <v/>
      </c>
      <c r="P116" s="8"/>
    </row>
    <row r="117" spans="1:16" x14ac:dyDescent="0.2">
      <c r="A117" s="10" t="str">
        <f>IF($H117="","",COUNTIF($H$5:$H117,"oui"))</f>
        <v/>
      </c>
      <c r="B117" s="8"/>
      <c r="C117" s="8"/>
      <c r="D117" s="8"/>
      <c r="E117" s="8"/>
      <c r="F117" s="8"/>
      <c r="G117" s="11"/>
      <c r="H117" s="10" t="str">
        <f t="shared" si="9"/>
        <v/>
      </c>
      <c r="I117" s="10" t="str">
        <f>IF($H117="","",COUNTIF(Presences!$C$5:$C$504,$B117))</f>
        <v/>
      </c>
      <c r="J117" s="10" t="str">
        <f>IF($H117="","",Tableau_de_bord!$B$5)</f>
        <v/>
      </c>
      <c r="K117" s="13" t="str">
        <f t="shared" si="10"/>
        <v/>
      </c>
      <c r="L117" s="10" t="str">
        <f>IF($H117&lt;&gt;"oui","",IF(OR($E117="élève",$E117="élève et encadrant"),COUNTIFS($H$5:$H117,"oui",$E$5:$E117,"élève")+COUNTIFS($H$5:$H117,"oui",$E$5:$E117,"élève et encadrant"),""))</f>
        <v/>
      </c>
      <c r="M117" s="10" t="str">
        <f>IF($H117&lt;&gt;"oui","",IF(OR($E117="encadrant",$E117="élève et encadrant"),COUNTIFS($H$5:$H117,"oui",$E$5:$E117,"encadrant")+COUNTIFS($H$5:$H117,"oui",$E$5:$E117,"élève et encadrant"),""))</f>
        <v/>
      </c>
      <c r="N117" s="10" t="str">
        <f t="shared" si="11"/>
        <v/>
      </c>
      <c r="O117" s="10" t="str">
        <f>IF($B117="","",COUNTIF(Personnes!$D$5:$D$154,"&lt;"&amp;$D117)+COUNTIF($D$5:$D117,$D117))</f>
        <v/>
      </c>
      <c r="P117" s="8"/>
    </row>
    <row r="118" spans="1:16" x14ac:dyDescent="0.2">
      <c r="A118" s="10" t="str">
        <f>IF($H118="","",COUNTIF($H$5:$H118,"oui"))</f>
        <v/>
      </c>
      <c r="B118" s="8"/>
      <c r="C118" s="8"/>
      <c r="D118" s="8"/>
      <c r="E118" s="8"/>
      <c r="F118" s="8"/>
      <c r="G118" s="11"/>
      <c r="H118" s="10" t="str">
        <f t="shared" si="9"/>
        <v/>
      </c>
      <c r="I118" s="10" t="str">
        <f>IF($H118="","",COUNTIF(Presences!$C$5:$C$504,$B118))</f>
        <v/>
      </c>
      <c r="J118" s="10" t="str">
        <f>IF($H118="","",Tableau_de_bord!$B$5)</f>
        <v/>
      </c>
      <c r="K118" s="13" t="str">
        <f t="shared" si="10"/>
        <v/>
      </c>
      <c r="L118" s="10" t="str">
        <f>IF($H118&lt;&gt;"oui","",IF(OR($E118="élève",$E118="élève et encadrant"),COUNTIFS($H$5:$H118,"oui",$E$5:$E118,"élève")+COUNTIFS($H$5:$H118,"oui",$E$5:$E118,"élève et encadrant"),""))</f>
        <v/>
      </c>
      <c r="M118" s="10" t="str">
        <f>IF($H118&lt;&gt;"oui","",IF(OR($E118="encadrant",$E118="élève et encadrant"),COUNTIFS($H$5:$H118,"oui",$E$5:$E118,"encadrant")+COUNTIFS($H$5:$H118,"oui",$E$5:$E118,"élève et encadrant"),""))</f>
        <v/>
      </c>
      <c r="N118" s="10" t="str">
        <f t="shared" si="11"/>
        <v/>
      </c>
      <c r="O118" s="10" t="str">
        <f>IF($B118="","",COUNTIF(Personnes!$D$5:$D$154,"&lt;"&amp;$D118)+COUNTIF($D$5:$D118,$D118))</f>
        <v/>
      </c>
      <c r="P118" s="8"/>
    </row>
    <row r="119" spans="1:16" x14ac:dyDescent="0.2">
      <c r="A119" s="10" t="str">
        <f>IF($H119="","",COUNTIF($H$5:$H119,"oui"))</f>
        <v/>
      </c>
      <c r="B119" s="8"/>
      <c r="C119" s="8"/>
      <c r="D119" s="8"/>
      <c r="E119" s="8"/>
      <c r="F119" s="8"/>
      <c r="G119" s="11"/>
      <c r="H119" s="10" t="str">
        <f t="shared" si="9"/>
        <v/>
      </c>
      <c r="I119" s="10" t="str">
        <f>IF($H119="","",COUNTIF(Presences!$C$5:$C$504,$B119))</f>
        <v/>
      </c>
      <c r="J119" s="10" t="str">
        <f>IF($H119="","",Tableau_de_bord!$B$5)</f>
        <v/>
      </c>
      <c r="K119" s="13" t="str">
        <f t="shared" si="10"/>
        <v/>
      </c>
      <c r="L119" s="10" t="str">
        <f>IF($H119&lt;&gt;"oui","",IF(OR($E119="élève",$E119="élève et encadrant"),COUNTIFS($H$5:$H119,"oui",$E$5:$E119,"élève")+COUNTIFS($H$5:$H119,"oui",$E$5:$E119,"élève et encadrant"),""))</f>
        <v/>
      </c>
      <c r="M119" s="10" t="str">
        <f>IF($H119&lt;&gt;"oui","",IF(OR($E119="encadrant",$E119="élève et encadrant"),COUNTIFS($H$5:$H119,"oui",$E$5:$E119,"encadrant")+COUNTIFS($H$5:$H119,"oui",$E$5:$E119,"élève et encadrant"),""))</f>
        <v/>
      </c>
      <c r="N119" s="10" t="str">
        <f t="shared" si="11"/>
        <v/>
      </c>
      <c r="O119" s="10" t="str">
        <f>IF($B119="","",COUNTIF(Personnes!$D$5:$D$154,"&lt;"&amp;$D119)+COUNTIF($D$5:$D119,$D119))</f>
        <v/>
      </c>
      <c r="P119" s="8"/>
    </row>
    <row r="120" spans="1:16" x14ac:dyDescent="0.2">
      <c r="A120" s="10" t="str">
        <f>IF($H120="","",COUNTIF($H$5:$H120,"oui"))</f>
        <v/>
      </c>
      <c r="B120" s="8"/>
      <c r="C120" s="8"/>
      <c r="D120" s="8"/>
      <c r="E120" s="8"/>
      <c r="F120" s="8"/>
      <c r="G120" s="11"/>
      <c r="H120" s="10" t="str">
        <f t="shared" si="9"/>
        <v/>
      </c>
      <c r="I120" s="10" t="str">
        <f>IF($H120="","",COUNTIF(Presences!$C$5:$C$504,$B120))</f>
        <v/>
      </c>
      <c r="J120" s="10" t="str">
        <f>IF($H120="","",Tableau_de_bord!$B$5)</f>
        <v/>
      </c>
      <c r="K120" s="13" t="str">
        <f t="shared" si="10"/>
        <v/>
      </c>
      <c r="L120" s="10" t="str">
        <f>IF($H120&lt;&gt;"oui","",IF(OR($E120="élève",$E120="élève et encadrant"),COUNTIFS($H$5:$H120,"oui",$E$5:$E120,"élève")+COUNTIFS($H$5:$H120,"oui",$E$5:$E120,"élève et encadrant"),""))</f>
        <v/>
      </c>
      <c r="M120" s="10" t="str">
        <f>IF($H120&lt;&gt;"oui","",IF(OR($E120="encadrant",$E120="élève et encadrant"),COUNTIFS($H$5:$H120,"oui",$E$5:$E120,"encadrant")+COUNTIFS($H$5:$H120,"oui",$E$5:$E120,"élève et encadrant"),""))</f>
        <v/>
      </c>
      <c r="N120" s="10" t="str">
        <f t="shared" si="11"/>
        <v/>
      </c>
      <c r="O120" s="10" t="str">
        <f>IF($B120="","",COUNTIF(Personnes!$D$5:$D$154,"&lt;"&amp;$D120)+COUNTIF($D$5:$D120,$D120))</f>
        <v/>
      </c>
      <c r="P120" s="8"/>
    </row>
    <row r="121" spans="1:16" x14ac:dyDescent="0.2">
      <c r="A121" s="10" t="str">
        <f>IF($H121="","",COUNTIF($H$5:$H121,"oui"))</f>
        <v/>
      </c>
      <c r="B121" s="8"/>
      <c r="C121" s="8"/>
      <c r="D121" s="8"/>
      <c r="E121" s="8"/>
      <c r="F121" s="8"/>
      <c r="G121" s="11"/>
      <c r="H121" s="10" t="str">
        <f t="shared" si="9"/>
        <v/>
      </c>
      <c r="I121" s="10" t="str">
        <f>IF($H121="","",COUNTIF(Presences!$C$5:$C$504,$B121))</f>
        <v/>
      </c>
      <c r="J121" s="10" t="str">
        <f>IF($H121="","",Tableau_de_bord!$B$5)</f>
        <v/>
      </c>
      <c r="K121" s="13" t="str">
        <f t="shared" si="10"/>
        <v/>
      </c>
      <c r="L121" s="10" t="str">
        <f>IF($H121&lt;&gt;"oui","",IF(OR($E121="élève",$E121="élève et encadrant"),COUNTIFS($H$5:$H121,"oui",$E$5:$E121,"élève")+COUNTIFS($H$5:$H121,"oui",$E$5:$E121,"élève et encadrant"),""))</f>
        <v/>
      </c>
      <c r="M121" s="10" t="str">
        <f>IF($H121&lt;&gt;"oui","",IF(OR($E121="encadrant",$E121="élève et encadrant"),COUNTIFS($H$5:$H121,"oui",$E$5:$E121,"encadrant")+COUNTIFS($H$5:$H121,"oui",$E$5:$E121,"élève et encadrant"),""))</f>
        <v/>
      </c>
      <c r="N121" s="10" t="str">
        <f t="shared" si="11"/>
        <v/>
      </c>
      <c r="O121" s="10" t="str">
        <f>IF($B121="","",COUNTIF(Personnes!$D$5:$D$154,"&lt;"&amp;$D121)+COUNTIF($D$5:$D121,$D121))</f>
        <v/>
      </c>
      <c r="P121" s="8"/>
    </row>
    <row r="122" spans="1:16" x14ac:dyDescent="0.2">
      <c r="A122" s="10" t="str">
        <f>IF($H122="","",COUNTIF($H$5:$H122,"oui"))</f>
        <v/>
      </c>
      <c r="B122" s="8"/>
      <c r="C122" s="8"/>
      <c r="D122" s="8"/>
      <c r="E122" s="8"/>
      <c r="F122" s="8"/>
      <c r="G122" s="11"/>
      <c r="H122" s="10" t="str">
        <f t="shared" si="9"/>
        <v/>
      </c>
      <c r="I122" s="10" t="str">
        <f>IF($H122="","",COUNTIF(Presences!$C$5:$C$504,$B122))</f>
        <v/>
      </c>
      <c r="J122" s="10" t="str">
        <f>IF($H122="","",Tableau_de_bord!$B$5)</f>
        <v/>
      </c>
      <c r="K122" s="13" t="str">
        <f t="shared" si="10"/>
        <v/>
      </c>
      <c r="L122" s="10" t="str">
        <f>IF($H122&lt;&gt;"oui","",IF(OR($E122="élève",$E122="élève et encadrant"),COUNTIFS($H$5:$H122,"oui",$E$5:$E122,"élève")+COUNTIFS($H$5:$H122,"oui",$E$5:$E122,"élève et encadrant"),""))</f>
        <v/>
      </c>
      <c r="M122" s="10" t="str">
        <f>IF($H122&lt;&gt;"oui","",IF(OR($E122="encadrant",$E122="élève et encadrant"),COUNTIFS($H$5:$H122,"oui",$E$5:$E122,"encadrant")+COUNTIFS($H$5:$H122,"oui",$E$5:$E122,"élève et encadrant"),""))</f>
        <v/>
      </c>
      <c r="N122" s="10" t="str">
        <f t="shared" si="11"/>
        <v/>
      </c>
      <c r="O122" s="10" t="str">
        <f>IF($B122="","",COUNTIF(Personnes!$D$5:$D$154,"&lt;"&amp;$D122)+COUNTIF($D$5:$D122,$D122))</f>
        <v/>
      </c>
      <c r="P122" s="8"/>
    </row>
    <row r="123" spans="1:16" x14ac:dyDescent="0.2">
      <c r="A123" s="10" t="str">
        <f>IF($H123="","",COUNTIF($H$5:$H123,"oui"))</f>
        <v/>
      </c>
      <c r="B123" s="8"/>
      <c r="C123" s="8"/>
      <c r="D123" s="8"/>
      <c r="E123" s="8"/>
      <c r="F123" s="8"/>
      <c r="G123" s="11"/>
      <c r="H123" s="10" t="str">
        <f t="shared" si="9"/>
        <v/>
      </c>
      <c r="I123" s="10" t="str">
        <f>IF($H123="","",COUNTIF(Presences!$C$5:$C$504,$B123))</f>
        <v/>
      </c>
      <c r="J123" s="10" t="str">
        <f>IF($H123="","",Tableau_de_bord!$B$5)</f>
        <v/>
      </c>
      <c r="K123" s="13" t="str">
        <f t="shared" si="10"/>
        <v/>
      </c>
      <c r="L123" s="10" t="str">
        <f>IF($H123&lt;&gt;"oui","",IF(OR($E123="élève",$E123="élève et encadrant"),COUNTIFS($H$5:$H123,"oui",$E$5:$E123,"élève")+COUNTIFS($H$5:$H123,"oui",$E$5:$E123,"élève et encadrant"),""))</f>
        <v/>
      </c>
      <c r="M123" s="10" t="str">
        <f>IF($H123&lt;&gt;"oui","",IF(OR($E123="encadrant",$E123="élève et encadrant"),COUNTIFS($H$5:$H123,"oui",$E$5:$E123,"encadrant")+COUNTIFS($H$5:$H123,"oui",$E$5:$E123,"élève et encadrant"),""))</f>
        <v/>
      </c>
      <c r="N123" s="10" t="str">
        <f t="shared" si="11"/>
        <v/>
      </c>
      <c r="O123" s="10" t="str">
        <f>IF($B123="","",COUNTIF(Personnes!$D$5:$D$154,"&lt;"&amp;$D123)+COUNTIF($D$5:$D123,$D123))</f>
        <v/>
      </c>
      <c r="P123" s="8"/>
    </row>
    <row r="124" spans="1:16" x14ac:dyDescent="0.2">
      <c r="A124" s="10" t="str">
        <f>IF($H124="","",COUNTIF($H$5:$H124,"oui"))</f>
        <v/>
      </c>
      <c r="B124" s="8"/>
      <c r="C124" s="8"/>
      <c r="D124" s="8"/>
      <c r="E124" s="8"/>
      <c r="F124" s="8"/>
      <c r="G124" s="11"/>
      <c r="H124" s="10" t="str">
        <f t="shared" si="9"/>
        <v/>
      </c>
      <c r="I124" s="10" t="str">
        <f>IF($H124="","",COUNTIF(Presences!$C$5:$C$504,$B124))</f>
        <v/>
      </c>
      <c r="J124" s="10" t="str">
        <f>IF($H124="","",Tableau_de_bord!$B$5)</f>
        <v/>
      </c>
      <c r="K124" s="13" t="str">
        <f t="shared" si="10"/>
        <v/>
      </c>
      <c r="L124" s="10" t="str">
        <f>IF($H124&lt;&gt;"oui","",IF(OR($E124="élève",$E124="élève et encadrant"),COUNTIFS($H$5:$H124,"oui",$E$5:$E124,"élève")+COUNTIFS($H$5:$H124,"oui",$E$5:$E124,"élève et encadrant"),""))</f>
        <v/>
      </c>
      <c r="M124" s="10" t="str">
        <f>IF($H124&lt;&gt;"oui","",IF(OR($E124="encadrant",$E124="élève et encadrant"),COUNTIFS($H$5:$H124,"oui",$E$5:$E124,"encadrant")+COUNTIFS($H$5:$H124,"oui",$E$5:$E124,"élève et encadrant"),""))</f>
        <v/>
      </c>
      <c r="N124" s="10" t="str">
        <f t="shared" si="11"/>
        <v/>
      </c>
      <c r="O124" s="10" t="str">
        <f>IF($B124="","",COUNTIF(Personnes!$D$5:$D$154,"&lt;"&amp;$D124)+COUNTIF($D$5:$D124,$D124))</f>
        <v/>
      </c>
      <c r="P124" s="8"/>
    </row>
    <row r="125" spans="1:16" x14ac:dyDescent="0.2">
      <c r="A125" s="10" t="str">
        <f>IF($H125="","",COUNTIF($H$5:$H125,"oui"))</f>
        <v/>
      </c>
      <c r="B125" s="8"/>
      <c r="C125" s="8"/>
      <c r="D125" s="8"/>
      <c r="E125" s="8"/>
      <c r="F125" s="8"/>
      <c r="G125" s="11"/>
      <c r="H125" s="10" t="str">
        <f t="shared" si="9"/>
        <v/>
      </c>
      <c r="I125" s="10" t="str">
        <f>IF($H125="","",COUNTIF(Presences!$C$5:$C$504,$B125))</f>
        <v/>
      </c>
      <c r="J125" s="10" t="str">
        <f>IF($H125="","",Tableau_de_bord!$B$5)</f>
        <v/>
      </c>
      <c r="K125" s="13" t="str">
        <f t="shared" si="10"/>
        <v/>
      </c>
      <c r="L125" s="10" t="str">
        <f>IF($H125&lt;&gt;"oui","",IF(OR($E125="élève",$E125="élève et encadrant"),COUNTIFS($H$5:$H125,"oui",$E$5:$E125,"élève")+COUNTIFS($H$5:$H125,"oui",$E$5:$E125,"élève et encadrant"),""))</f>
        <v/>
      </c>
      <c r="M125" s="10" t="str">
        <f>IF($H125&lt;&gt;"oui","",IF(OR($E125="encadrant",$E125="élève et encadrant"),COUNTIFS($H$5:$H125,"oui",$E$5:$E125,"encadrant")+COUNTIFS($H$5:$H125,"oui",$E$5:$E125,"élève et encadrant"),""))</f>
        <v/>
      </c>
      <c r="N125" s="10" t="str">
        <f t="shared" si="11"/>
        <v/>
      </c>
      <c r="O125" s="10" t="str">
        <f>IF($B125="","",COUNTIF(Personnes!$D$5:$D$154,"&lt;"&amp;$D125)+COUNTIF($D$5:$D125,$D125))</f>
        <v/>
      </c>
      <c r="P125" s="8"/>
    </row>
    <row r="126" spans="1:16" x14ac:dyDescent="0.2">
      <c r="A126" s="10" t="str">
        <f>IF($H126="","",COUNTIF($H$5:$H126,"oui"))</f>
        <v/>
      </c>
      <c r="B126" s="8"/>
      <c r="C126" s="8"/>
      <c r="D126" s="8"/>
      <c r="E126" s="8"/>
      <c r="F126" s="8"/>
      <c r="G126" s="11"/>
      <c r="H126" s="10" t="str">
        <f t="shared" si="9"/>
        <v/>
      </c>
      <c r="I126" s="10" t="str">
        <f>IF($H126="","",COUNTIF(Presences!$C$5:$C$504,$B126))</f>
        <v/>
      </c>
      <c r="J126" s="10" t="str">
        <f>IF($H126="","",Tableau_de_bord!$B$5)</f>
        <v/>
      </c>
      <c r="K126" s="13" t="str">
        <f t="shared" si="10"/>
        <v/>
      </c>
      <c r="L126" s="10" t="str">
        <f>IF($H126&lt;&gt;"oui","",IF(OR($E126="élève",$E126="élève et encadrant"),COUNTIFS($H$5:$H126,"oui",$E$5:$E126,"élève")+COUNTIFS($H$5:$H126,"oui",$E$5:$E126,"élève et encadrant"),""))</f>
        <v/>
      </c>
      <c r="M126" s="10" t="str">
        <f>IF($H126&lt;&gt;"oui","",IF(OR($E126="encadrant",$E126="élève et encadrant"),COUNTIFS($H$5:$H126,"oui",$E$5:$E126,"encadrant")+COUNTIFS($H$5:$H126,"oui",$E$5:$E126,"élève et encadrant"),""))</f>
        <v/>
      </c>
      <c r="N126" s="10" t="str">
        <f t="shared" si="11"/>
        <v/>
      </c>
      <c r="O126" s="10" t="str">
        <f>IF($B126="","",COUNTIF(Personnes!$D$5:$D$154,"&lt;"&amp;$D126)+COUNTIF($D$5:$D126,$D126))</f>
        <v/>
      </c>
      <c r="P126" s="8"/>
    </row>
    <row r="127" spans="1:16" x14ac:dyDescent="0.2">
      <c r="A127" s="10" t="str">
        <f>IF($H127="","",COUNTIF($H$5:$H127,"oui"))</f>
        <v/>
      </c>
      <c r="B127" s="8"/>
      <c r="C127" s="8"/>
      <c r="D127" s="8"/>
      <c r="E127" s="8"/>
      <c r="F127" s="8"/>
      <c r="G127" s="11"/>
      <c r="H127" s="10" t="str">
        <f t="shared" si="9"/>
        <v/>
      </c>
      <c r="I127" s="10" t="str">
        <f>IF($H127="","",COUNTIF(Presences!$C$5:$C$504,$B127))</f>
        <v/>
      </c>
      <c r="J127" s="10" t="str">
        <f>IF($H127="","",Tableau_de_bord!$B$5)</f>
        <v/>
      </c>
      <c r="K127" s="13" t="str">
        <f t="shared" si="10"/>
        <v/>
      </c>
      <c r="L127" s="10" t="str">
        <f>IF($H127&lt;&gt;"oui","",IF(OR($E127="élève",$E127="élève et encadrant"),COUNTIFS($H$5:$H127,"oui",$E$5:$E127,"élève")+COUNTIFS($H$5:$H127,"oui",$E$5:$E127,"élève et encadrant"),""))</f>
        <v/>
      </c>
      <c r="M127" s="10" t="str">
        <f>IF($H127&lt;&gt;"oui","",IF(OR($E127="encadrant",$E127="élève et encadrant"),COUNTIFS($H$5:$H127,"oui",$E$5:$E127,"encadrant")+COUNTIFS($H$5:$H127,"oui",$E$5:$E127,"élève et encadrant"),""))</f>
        <v/>
      </c>
      <c r="N127" s="10" t="str">
        <f t="shared" si="11"/>
        <v/>
      </c>
      <c r="O127" s="10" t="str">
        <f>IF($B127="","",COUNTIF(Personnes!$D$5:$D$154,"&lt;"&amp;$D127)+COUNTIF($D$5:$D127,$D127))</f>
        <v/>
      </c>
      <c r="P127" s="8"/>
    </row>
    <row r="128" spans="1:16" x14ac:dyDescent="0.2">
      <c r="A128" s="10" t="str">
        <f>IF($H128="","",COUNTIF($H$5:$H128,"oui"))</f>
        <v/>
      </c>
      <c r="B128" s="8"/>
      <c r="C128" s="8"/>
      <c r="D128" s="8"/>
      <c r="E128" s="8"/>
      <c r="F128" s="8"/>
      <c r="G128" s="11"/>
      <c r="H128" s="10" t="str">
        <f t="shared" si="9"/>
        <v/>
      </c>
      <c r="I128" s="10" t="str">
        <f>IF($H128="","",COUNTIF(Presences!$C$5:$C$504,$B128))</f>
        <v/>
      </c>
      <c r="J128" s="10" t="str">
        <f>IF($H128="","",Tableau_de_bord!$B$5)</f>
        <v/>
      </c>
      <c r="K128" s="13" t="str">
        <f t="shared" si="10"/>
        <v/>
      </c>
      <c r="L128" s="10" t="str">
        <f>IF($H128&lt;&gt;"oui","",IF(OR($E128="élève",$E128="élève et encadrant"),COUNTIFS($H$5:$H128,"oui",$E$5:$E128,"élève")+COUNTIFS($H$5:$H128,"oui",$E$5:$E128,"élève et encadrant"),""))</f>
        <v/>
      </c>
      <c r="M128" s="10" t="str">
        <f>IF($H128&lt;&gt;"oui","",IF(OR($E128="encadrant",$E128="élève et encadrant"),COUNTIFS($H$5:$H128,"oui",$E$5:$E128,"encadrant")+COUNTIFS($H$5:$H128,"oui",$E$5:$E128,"élève et encadrant"),""))</f>
        <v/>
      </c>
      <c r="N128" s="10" t="str">
        <f t="shared" si="11"/>
        <v/>
      </c>
      <c r="O128" s="10" t="str">
        <f>IF($B128="","",COUNTIF(Personnes!$D$5:$D$154,"&lt;"&amp;$D128)+COUNTIF($D$5:$D128,$D128))</f>
        <v/>
      </c>
      <c r="P128" s="8"/>
    </row>
    <row r="129" spans="1:16" x14ac:dyDescent="0.2">
      <c r="A129" s="10" t="str">
        <f>IF($H129="","",COUNTIF($H$5:$H129,"oui"))</f>
        <v/>
      </c>
      <c r="B129" s="8"/>
      <c r="C129" s="8"/>
      <c r="D129" s="8"/>
      <c r="E129" s="8"/>
      <c r="F129" s="8"/>
      <c r="G129" s="11"/>
      <c r="H129" s="10" t="str">
        <f t="shared" si="9"/>
        <v/>
      </c>
      <c r="I129" s="10" t="str">
        <f>IF($H129="","",COUNTIF(Presences!$C$5:$C$504,$B129))</f>
        <v/>
      </c>
      <c r="J129" s="10" t="str">
        <f>IF($H129="","",Tableau_de_bord!$B$5)</f>
        <v/>
      </c>
      <c r="K129" s="13" t="str">
        <f t="shared" si="10"/>
        <v/>
      </c>
      <c r="L129" s="10" t="str">
        <f>IF($H129&lt;&gt;"oui","",IF(OR($E129="élève",$E129="élève et encadrant"),COUNTIFS($H$5:$H129,"oui",$E$5:$E129,"élève")+COUNTIFS($H$5:$H129,"oui",$E$5:$E129,"élève et encadrant"),""))</f>
        <v/>
      </c>
      <c r="M129" s="10" t="str">
        <f>IF($H129&lt;&gt;"oui","",IF(OR($E129="encadrant",$E129="élève et encadrant"),COUNTIFS($H$5:$H129,"oui",$E$5:$E129,"encadrant")+COUNTIFS($H$5:$H129,"oui",$E$5:$E129,"élève et encadrant"),""))</f>
        <v/>
      </c>
      <c r="N129" s="10" t="str">
        <f t="shared" si="11"/>
        <v/>
      </c>
      <c r="O129" s="10" t="str">
        <f>IF($B129="","",COUNTIF(Personnes!$D$5:$D$154,"&lt;"&amp;$D129)+COUNTIF($D$5:$D129,$D129))</f>
        <v/>
      </c>
      <c r="P129" s="8"/>
    </row>
    <row r="130" spans="1:16" x14ac:dyDescent="0.2">
      <c r="A130" s="10" t="str">
        <f>IF($H130="","",COUNTIF($H$5:$H130,"oui"))</f>
        <v/>
      </c>
      <c r="B130" s="8"/>
      <c r="C130" s="8"/>
      <c r="D130" s="8"/>
      <c r="E130" s="8"/>
      <c r="F130" s="8"/>
      <c r="G130" s="11"/>
      <c r="H130" s="10" t="str">
        <f t="shared" si="9"/>
        <v/>
      </c>
      <c r="I130" s="10" t="str">
        <f>IF($H130="","",COUNTIF(Presences!$C$5:$C$504,$B130))</f>
        <v/>
      </c>
      <c r="J130" s="10" t="str">
        <f>IF($H130="","",Tableau_de_bord!$B$5)</f>
        <v/>
      </c>
      <c r="K130" s="13" t="str">
        <f t="shared" si="10"/>
        <v/>
      </c>
      <c r="L130" s="10" t="str">
        <f>IF($H130&lt;&gt;"oui","",IF(OR($E130="élève",$E130="élève et encadrant"),COUNTIFS($H$5:$H130,"oui",$E$5:$E130,"élève")+COUNTIFS($H$5:$H130,"oui",$E$5:$E130,"élève et encadrant"),""))</f>
        <v/>
      </c>
      <c r="M130" s="10" t="str">
        <f>IF($H130&lt;&gt;"oui","",IF(OR($E130="encadrant",$E130="élève et encadrant"),COUNTIFS($H$5:$H130,"oui",$E$5:$E130,"encadrant")+COUNTIFS($H$5:$H130,"oui",$E$5:$E130,"élève et encadrant"),""))</f>
        <v/>
      </c>
      <c r="N130" s="10" t="str">
        <f t="shared" si="11"/>
        <v/>
      </c>
      <c r="O130" s="10" t="str">
        <f>IF($B130="","",COUNTIF(Personnes!$D$5:$D$154,"&lt;"&amp;$D130)+COUNTIF($D$5:$D130,$D130))</f>
        <v/>
      </c>
      <c r="P130" s="8"/>
    </row>
    <row r="131" spans="1:16" x14ac:dyDescent="0.2">
      <c r="A131" s="10" t="str">
        <f>IF($H131="","",COUNTIF($H$5:$H131,"oui"))</f>
        <v/>
      </c>
      <c r="B131" s="8"/>
      <c r="C131" s="8"/>
      <c r="D131" s="8"/>
      <c r="E131" s="8"/>
      <c r="F131" s="8"/>
      <c r="G131" s="11"/>
      <c r="H131" s="10" t="str">
        <f t="shared" si="9"/>
        <v/>
      </c>
      <c r="I131" s="10" t="str">
        <f>IF($H131="","",COUNTIF(Presences!$C$5:$C$504,$B131))</f>
        <v/>
      </c>
      <c r="J131" s="10" t="str">
        <f>IF($H131="","",Tableau_de_bord!$B$5)</f>
        <v/>
      </c>
      <c r="K131" s="13" t="str">
        <f t="shared" si="10"/>
        <v/>
      </c>
      <c r="L131" s="10" t="str">
        <f>IF($H131&lt;&gt;"oui","",IF(OR($E131="élève",$E131="élève et encadrant"),COUNTIFS($H$5:$H131,"oui",$E$5:$E131,"élève")+COUNTIFS($H$5:$H131,"oui",$E$5:$E131,"élève et encadrant"),""))</f>
        <v/>
      </c>
      <c r="M131" s="10" t="str">
        <f>IF($H131&lt;&gt;"oui","",IF(OR($E131="encadrant",$E131="élève et encadrant"),COUNTIFS($H$5:$H131,"oui",$E$5:$E131,"encadrant")+COUNTIFS($H$5:$H131,"oui",$E$5:$E131,"élève et encadrant"),""))</f>
        <v/>
      </c>
      <c r="N131" s="10" t="str">
        <f t="shared" si="11"/>
        <v/>
      </c>
      <c r="O131" s="10" t="str">
        <f>IF($B131="","",COUNTIF(Personnes!$D$5:$D$154,"&lt;"&amp;$D131)+COUNTIF($D$5:$D131,$D131))</f>
        <v/>
      </c>
      <c r="P131" s="8"/>
    </row>
    <row r="132" spans="1:16" x14ac:dyDescent="0.2">
      <c r="A132" s="10" t="str">
        <f>IF($H132="","",COUNTIF($H$5:$H132,"oui"))</f>
        <v/>
      </c>
      <c r="B132" s="8"/>
      <c r="C132" s="8"/>
      <c r="D132" s="8"/>
      <c r="E132" s="8"/>
      <c r="F132" s="8"/>
      <c r="G132" s="11"/>
      <c r="H132" s="10" t="str">
        <f t="shared" si="9"/>
        <v/>
      </c>
      <c r="I132" s="10" t="str">
        <f>IF($H132="","",COUNTIF(Presences!$C$5:$C$504,$B132))</f>
        <v/>
      </c>
      <c r="J132" s="10" t="str">
        <f>IF($H132="","",Tableau_de_bord!$B$5)</f>
        <v/>
      </c>
      <c r="K132" s="13" t="str">
        <f t="shared" si="10"/>
        <v/>
      </c>
      <c r="L132" s="10" t="str">
        <f>IF($H132&lt;&gt;"oui","",IF(OR($E132="élève",$E132="élève et encadrant"),COUNTIFS($H$5:$H132,"oui",$E$5:$E132,"élève")+COUNTIFS($H$5:$H132,"oui",$E$5:$E132,"élève et encadrant"),""))</f>
        <v/>
      </c>
      <c r="M132" s="10" t="str">
        <f>IF($H132&lt;&gt;"oui","",IF(OR($E132="encadrant",$E132="élève et encadrant"),COUNTIFS($H$5:$H132,"oui",$E$5:$E132,"encadrant")+COUNTIFS($H$5:$H132,"oui",$E$5:$E132,"élève et encadrant"),""))</f>
        <v/>
      </c>
      <c r="N132" s="10" t="str">
        <f t="shared" si="11"/>
        <v/>
      </c>
      <c r="O132" s="10" t="str">
        <f>IF($B132="","",COUNTIF(Personnes!$D$5:$D$154,"&lt;"&amp;$D132)+COUNTIF($D$5:$D132,$D132))</f>
        <v/>
      </c>
      <c r="P132" s="8"/>
    </row>
    <row r="133" spans="1:16" x14ac:dyDescent="0.2">
      <c r="A133" s="10" t="str">
        <f>IF($H133="","",COUNTIF($H$5:$H133,"oui"))</f>
        <v/>
      </c>
      <c r="B133" s="8"/>
      <c r="C133" s="8"/>
      <c r="D133" s="8"/>
      <c r="E133" s="8"/>
      <c r="F133" s="8"/>
      <c r="G133" s="11"/>
      <c r="H133" s="10" t="str">
        <f t="shared" ref="H133:H154" si="12">IF($B133="","",IF(ISNUMBER(SEARCH("/LC/","/"&amp;SUBSTITUTE($F133," / ","/")&amp;"/")),"oui",""))</f>
        <v/>
      </c>
      <c r="I133" s="10" t="str">
        <f>IF($H133="","",COUNTIF(Presences!$C$5:$C$504,$B133))</f>
        <v/>
      </c>
      <c r="J133" s="10" t="str">
        <f>IF($H133="","",Tableau_de_bord!$B$5)</f>
        <v/>
      </c>
      <c r="K133" s="13" t="str">
        <f t="shared" ref="K133:K154" si="13">IFERROR(IF($J133=0,"",$I133/$J133),"")</f>
        <v/>
      </c>
      <c r="L133" s="10" t="str">
        <f>IF($H133&lt;&gt;"oui","",IF(OR($E133="élève",$E133="élève et encadrant"),COUNTIFS($H$5:$H133,"oui",$E$5:$E133,"élève")+COUNTIFS($H$5:$H133,"oui",$E$5:$E133,"élève et encadrant"),""))</f>
        <v/>
      </c>
      <c r="M133" s="10" t="str">
        <f>IF($H133&lt;&gt;"oui","",IF(OR($E133="encadrant",$E133="élève et encadrant"),COUNTIFS($H$5:$H133,"oui",$E$5:$E133,"encadrant")+COUNTIFS($H$5:$H133,"oui",$E$5:$E133,"élève et encadrant"),""))</f>
        <v/>
      </c>
      <c r="N133" s="10" t="str">
        <f t="shared" ref="N133:N154" si="14">IF($B133="","",TRIM(IF($D133="",$C133,$D133&amp;" "&amp;$C133))&amp;" ["&amp;$B133&amp;"]")</f>
        <v/>
      </c>
      <c r="O133" s="10" t="str">
        <f>IF($B133="","",COUNTIF(Personnes!$D$5:$D$154,"&lt;"&amp;$D133)+COUNTIF($D$5:$D133,$D133))</f>
        <v/>
      </c>
      <c r="P133" s="8"/>
    </row>
    <row r="134" spans="1:16" x14ac:dyDescent="0.2">
      <c r="A134" s="10" t="str">
        <f>IF($H134="","",COUNTIF($H$5:$H134,"oui"))</f>
        <v/>
      </c>
      <c r="B134" s="8"/>
      <c r="C134" s="8"/>
      <c r="D134" s="8"/>
      <c r="E134" s="8"/>
      <c r="F134" s="8"/>
      <c r="G134" s="11"/>
      <c r="H134" s="10" t="str">
        <f t="shared" si="12"/>
        <v/>
      </c>
      <c r="I134" s="10" t="str">
        <f>IF($H134="","",COUNTIF(Presences!$C$5:$C$504,$B134))</f>
        <v/>
      </c>
      <c r="J134" s="10" t="str">
        <f>IF($H134="","",Tableau_de_bord!$B$5)</f>
        <v/>
      </c>
      <c r="K134" s="13" t="str">
        <f t="shared" si="13"/>
        <v/>
      </c>
      <c r="L134" s="10" t="str">
        <f>IF($H134&lt;&gt;"oui","",IF(OR($E134="élève",$E134="élève et encadrant"),COUNTIFS($H$5:$H134,"oui",$E$5:$E134,"élève")+COUNTIFS($H$5:$H134,"oui",$E$5:$E134,"élève et encadrant"),""))</f>
        <v/>
      </c>
      <c r="M134" s="10" t="str">
        <f>IF($H134&lt;&gt;"oui","",IF(OR($E134="encadrant",$E134="élève et encadrant"),COUNTIFS($H$5:$H134,"oui",$E$5:$E134,"encadrant")+COUNTIFS($H$5:$H134,"oui",$E$5:$E134,"élève et encadrant"),""))</f>
        <v/>
      </c>
      <c r="N134" s="10" t="str">
        <f t="shared" si="14"/>
        <v/>
      </c>
      <c r="O134" s="10" t="str">
        <f>IF($B134="","",COUNTIF(Personnes!$D$5:$D$154,"&lt;"&amp;$D134)+COUNTIF($D$5:$D134,$D134))</f>
        <v/>
      </c>
      <c r="P134" s="8"/>
    </row>
    <row r="135" spans="1:16" x14ac:dyDescent="0.2">
      <c r="A135" s="10" t="str">
        <f>IF($H135="","",COUNTIF($H$5:$H135,"oui"))</f>
        <v/>
      </c>
      <c r="B135" s="8"/>
      <c r="C135" s="8"/>
      <c r="D135" s="8"/>
      <c r="E135" s="8"/>
      <c r="F135" s="8"/>
      <c r="G135" s="11"/>
      <c r="H135" s="10" t="str">
        <f t="shared" si="12"/>
        <v/>
      </c>
      <c r="I135" s="10" t="str">
        <f>IF($H135="","",COUNTIF(Presences!$C$5:$C$504,$B135))</f>
        <v/>
      </c>
      <c r="J135" s="10" t="str">
        <f>IF($H135="","",Tableau_de_bord!$B$5)</f>
        <v/>
      </c>
      <c r="K135" s="13" t="str">
        <f t="shared" si="13"/>
        <v/>
      </c>
      <c r="L135" s="10" t="str">
        <f>IF($H135&lt;&gt;"oui","",IF(OR($E135="élève",$E135="élève et encadrant"),COUNTIFS($H$5:$H135,"oui",$E$5:$E135,"élève")+COUNTIFS($H$5:$H135,"oui",$E$5:$E135,"élève et encadrant"),""))</f>
        <v/>
      </c>
      <c r="M135" s="10" t="str">
        <f>IF($H135&lt;&gt;"oui","",IF(OR($E135="encadrant",$E135="élève et encadrant"),COUNTIFS($H$5:$H135,"oui",$E$5:$E135,"encadrant")+COUNTIFS($H$5:$H135,"oui",$E$5:$E135,"élève et encadrant"),""))</f>
        <v/>
      </c>
      <c r="N135" s="10" t="str">
        <f t="shared" si="14"/>
        <v/>
      </c>
      <c r="O135" s="10" t="str">
        <f>IF($B135="","",COUNTIF(Personnes!$D$5:$D$154,"&lt;"&amp;$D135)+COUNTIF($D$5:$D135,$D135))</f>
        <v/>
      </c>
      <c r="P135" s="8"/>
    </row>
    <row r="136" spans="1:16" x14ac:dyDescent="0.2">
      <c r="A136" s="10" t="str">
        <f>IF($H136="","",COUNTIF($H$5:$H136,"oui"))</f>
        <v/>
      </c>
      <c r="B136" s="8"/>
      <c r="C136" s="8"/>
      <c r="D136" s="8"/>
      <c r="E136" s="8"/>
      <c r="F136" s="8"/>
      <c r="G136" s="11"/>
      <c r="H136" s="10" t="str">
        <f t="shared" si="12"/>
        <v/>
      </c>
      <c r="I136" s="10" t="str">
        <f>IF($H136="","",COUNTIF(Presences!$C$5:$C$504,$B136))</f>
        <v/>
      </c>
      <c r="J136" s="10" t="str">
        <f>IF($H136="","",Tableau_de_bord!$B$5)</f>
        <v/>
      </c>
      <c r="K136" s="13" t="str">
        <f t="shared" si="13"/>
        <v/>
      </c>
      <c r="L136" s="10" t="str">
        <f>IF($H136&lt;&gt;"oui","",IF(OR($E136="élève",$E136="élève et encadrant"),COUNTIFS($H$5:$H136,"oui",$E$5:$E136,"élève")+COUNTIFS($H$5:$H136,"oui",$E$5:$E136,"élève et encadrant"),""))</f>
        <v/>
      </c>
      <c r="M136" s="10" t="str">
        <f>IF($H136&lt;&gt;"oui","",IF(OR($E136="encadrant",$E136="élève et encadrant"),COUNTIFS($H$5:$H136,"oui",$E$5:$E136,"encadrant")+COUNTIFS($H$5:$H136,"oui",$E$5:$E136,"élève et encadrant"),""))</f>
        <v/>
      </c>
      <c r="N136" s="10" t="str">
        <f t="shared" si="14"/>
        <v/>
      </c>
      <c r="O136" s="10" t="str">
        <f>IF($B136="","",COUNTIF(Personnes!$D$5:$D$154,"&lt;"&amp;$D136)+COUNTIF($D$5:$D136,$D136))</f>
        <v/>
      </c>
      <c r="P136" s="8"/>
    </row>
    <row r="137" spans="1:16" x14ac:dyDescent="0.2">
      <c r="A137" s="10" t="str">
        <f>IF($H137="","",COUNTIF($H$5:$H137,"oui"))</f>
        <v/>
      </c>
      <c r="B137" s="8"/>
      <c r="C137" s="8"/>
      <c r="D137" s="8"/>
      <c r="E137" s="8"/>
      <c r="F137" s="8"/>
      <c r="G137" s="11"/>
      <c r="H137" s="10" t="str">
        <f t="shared" si="12"/>
        <v/>
      </c>
      <c r="I137" s="10" t="str">
        <f>IF($H137="","",COUNTIF(Presences!$C$5:$C$504,$B137))</f>
        <v/>
      </c>
      <c r="J137" s="10" t="str">
        <f>IF($H137="","",Tableau_de_bord!$B$5)</f>
        <v/>
      </c>
      <c r="K137" s="13" t="str">
        <f t="shared" si="13"/>
        <v/>
      </c>
      <c r="L137" s="10" t="str">
        <f>IF($H137&lt;&gt;"oui","",IF(OR($E137="élève",$E137="élève et encadrant"),COUNTIFS($H$5:$H137,"oui",$E$5:$E137,"élève")+COUNTIFS($H$5:$H137,"oui",$E$5:$E137,"élève et encadrant"),""))</f>
        <v/>
      </c>
      <c r="M137" s="10" t="str">
        <f>IF($H137&lt;&gt;"oui","",IF(OR($E137="encadrant",$E137="élève et encadrant"),COUNTIFS($H$5:$H137,"oui",$E$5:$E137,"encadrant")+COUNTIFS($H$5:$H137,"oui",$E$5:$E137,"élève et encadrant"),""))</f>
        <v/>
      </c>
      <c r="N137" s="10" t="str">
        <f t="shared" si="14"/>
        <v/>
      </c>
      <c r="O137" s="10" t="str">
        <f>IF($B137="","",COUNTIF(Personnes!$D$5:$D$154,"&lt;"&amp;$D137)+COUNTIF($D$5:$D137,$D137))</f>
        <v/>
      </c>
      <c r="P137" s="8"/>
    </row>
    <row r="138" spans="1:16" x14ac:dyDescent="0.2">
      <c r="A138" s="10" t="str">
        <f>IF($H138="","",COUNTIF($H$5:$H138,"oui"))</f>
        <v/>
      </c>
      <c r="B138" s="8"/>
      <c r="C138" s="8"/>
      <c r="D138" s="8"/>
      <c r="E138" s="8"/>
      <c r="F138" s="8"/>
      <c r="G138" s="11"/>
      <c r="H138" s="10" t="str">
        <f t="shared" si="12"/>
        <v/>
      </c>
      <c r="I138" s="10" t="str">
        <f>IF($H138="","",COUNTIF(Presences!$C$5:$C$504,$B138))</f>
        <v/>
      </c>
      <c r="J138" s="10" t="str">
        <f>IF($H138="","",Tableau_de_bord!$B$5)</f>
        <v/>
      </c>
      <c r="K138" s="13" t="str">
        <f t="shared" si="13"/>
        <v/>
      </c>
      <c r="L138" s="10" t="str">
        <f>IF($H138&lt;&gt;"oui","",IF(OR($E138="élève",$E138="élève et encadrant"),COUNTIFS($H$5:$H138,"oui",$E$5:$E138,"élève")+COUNTIFS($H$5:$H138,"oui",$E$5:$E138,"élève et encadrant"),""))</f>
        <v/>
      </c>
      <c r="M138" s="10" t="str">
        <f>IF($H138&lt;&gt;"oui","",IF(OR($E138="encadrant",$E138="élève et encadrant"),COUNTIFS($H$5:$H138,"oui",$E$5:$E138,"encadrant")+COUNTIFS($H$5:$H138,"oui",$E$5:$E138,"élève et encadrant"),""))</f>
        <v/>
      </c>
      <c r="N138" s="10" t="str">
        <f t="shared" si="14"/>
        <v/>
      </c>
      <c r="O138" s="10" t="str">
        <f>IF($B138="","",COUNTIF(Personnes!$D$5:$D$154,"&lt;"&amp;$D138)+COUNTIF($D$5:$D138,$D138))</f>
        <v/>
      </c>
      <c r="P138" s="8"/>
    </row>
    <row r="139" spans="1:16" x14ac:dyDescent="0.2">
      <c r="A139" s="10" t="str">
        <f>IF($H139="","",COUNTIF($H$5:$H139,"oui"))</f>
        <v/>
      </c>
      <c r="B139" s="8"/>
      <c r="C139" s="8"/>
      <c r="D139" s="8"/>
      <c r="E139" s="8"/>
      <c r="F139" s="8"/>
      <c r="G139" s="11"/>
      <c r="H139" s="10" t="str">
        <f t="shared" si="12"/>
        <v/>
      </c>
      <c r="I139" s="10" t="str">
        <f>IF($H139="","",COUNTIF(Presences!$C$5:$C$504,$B139))</f>
        <v/>
      </c>
      <c r="J139" s="10" t="str">
        <f>IF($H139="","",Tableau_de_bord!$B$5)</f>
        <v/>
      </c>
      <c r="K139" s="13" t="str">
        <f t="shared" si="13"/>
        <v/>
      </c>
      <c r="L139" s="10" t="str">
        <f>IF($H139&lt;&gt;"oui","",IF(OR($E139="élève",$E139="élève et encadrant"),COUNTIFS($H$5:$H139,"oui",$E$5:$E139,"élève")+COUNTIFS($H$5:$H139,"oui",$E$5:$E139,"élève et encadrant"),""))</f>
        <v/>
      </c>
      <c r="M139" s="10" t="str">
        <f>IF($H139&lt;&gt;"oui","",IF(OR($E139="encadrant",$E139="élève et encadrant"),COUNTIFS($H$5:$H139,"oui",$E$5:$E139,"encadrant")+COUNTIFS($H$5:$H139,"oui",$E$5:$E139,"élève et encadrant"),""))</f>
        <v/>
      </c>
      <c r="N139" s="10" t="str">
        <f t="shared" si="14"/>
        <v/>
      </c>
      <c r="O139" s="10" t="str">
        <f>IF($B139="","",COUNTIF(Personnes!$D$5:$D$154,"&lt;"&amp;$D139)+COUNTIF($D$5:$D139,$D139))</f>
        <v/>
      </c>
      <c r="P139" s="8"/>
    </row>
    <row r="140" spans="1:16" x14ac:dyDescent="0.2">
      <c r="A140" s="10" t="str">
        <f>IF($H140="","",COUNTIF($H$5:$H140,"oui"))</f>
        <v/>
      </c>
      <c r="B140" s="8"/>
      <c r="C140" s="8"/>
      <c r="D140" s="8"/>
      <c r="E140" s="8"/>
      <c r="F140" s="8"/>
      <c r="G140" s="11"/>
      <c r="H140" s="10" t="str">
        <f t="shared" si="12"/>
        <v/>
      </c>
      <c r="I140" s="10" t="str">
        <f>IF($H140="","",COUNTIF(Presences!$C$5:$C$504,$B140))</f>
        <v/>
      </c>
      <c r="J140" s="10" t="str">
        <f>IF($H140="","",Tableau_de_bord!$B$5)</f>
        <v/>
      </c>
      <c r="K140" s="13" t="str">
        <f t="shared" si="13"/>
        <v/>
      </c>
      <c r="L140" s="10" t="str">
        <f>IF($H140&lt;&gt;"oui","",IF(OR($E140="élève",$E140="élève et encadrant"),COUNTIFS($H$5:$H140,"oui",$E$5:$E140,"élève")+COUNTIFS($H$5:$H140,"oui",$E$5:$E140,"élève et encadrant"),""))</f>
        <v/>
      </c>
      <c r="M140" s="10" t="str">
        <f>IF($H140&lt;&gt;"oui","",IF(OR($E140="encadrant",$E140="élève et encadrant"),COUNTIFS($H$5:$H140,"oui",$E$5:$E140,"encadrant")+COUNTIFS($H$5:$H140,"oui",$E$5:$E140,"élève et encadrant"),""))</f>
        <v/>
      </c>
      <c r="N140" s="10" t="str">
        <f t="shared" si="14"/>
        <v/>
      </c>
      <c r="O140" s="10" t="str">
        <f>IF($B140="","",COUNTIF(Personnes!$D$5:$D$154,"&lt;"&amp;$D140)+COUNTIF($D$5:$D140,$D140))</f>
        <v/>
      </c>
      <c r="P140" s="8"/>
    </row>
    <row r="141" spans="1:16" x14ac:dyDescent="0.2">
      <c r="A141" s="10" t="str">
        <f>IF($H141="","",COUNTIF($H$5:$H141,"oui"))</f>
        <v/>
      </c>
      <c r="B141" s="8"/>
      <c r="C141" s="8"/>
      <c r="D141" s="8"/>
      <c r="E141" s="8"/>
      <c r="F141" s="8"/>
      <c r="G141" s="11"/>
      <c r="H141" s="10" t="str">
        <f t="shared" si="12"/>
        <v/>
      </c>
      <c r="I141" s="10" t="str">
        <f>IF($H141="","",COUNTIF(Presences!$C$5:$C$504,$B141))</f>
        <v/>
      </c>
      <c r="J141" s="10" t="str">
        <f>IF($H141="","",Tableau_de_bord!$B$5)</f>
        <v/>
      </c>
      <c r="K141" s="13" t="str">
        <f t="shared" si="13"/>
        <v/>
      </c>
      <c r="L141" s="10" t="str">
        <f>IF($H141&lt;&gt;"oui","",IF(OR($E141="élève",$E141="élève et encadrant"),COUNTIFS($H$5:$H141,"oui",$E$5:$E141,"élève")+COUNTIFS($H$5:$H141,"oui",$E$5:$E141,"élève et encadrant"),""))</f>
        <v/>
      </c>
      <c r="M141" s="10" t="str">
        <f>IF($H141&lt;&gt;"oui","",IF(OR($E141="encadrant",$E141="élève et encadrant"),COUNTIFS($H$5:$H141,"oui",$E$5:$E141,"encadrant")+COUNTIFS($H$5:$H141,"oui",$E$5:$E141,"élève et encadrant"),""))</f>
        <v/>
      </c>
      <c r="N141" s="10" t="str">
        <f t="shared" si="14"/>
        <v/>
      </c>
      <c r="O141" s="10" t="str">
        <f>IF($B141="","",COUNTIF(Personnes!$D$5:$D$154,"&lt;"&amp;$D141)+COUNTIF($D$5:$D141,$D141))</f>
        <v/>
      </c>
      <c r="P141" s="8"/>
    </row>
    <row r="142" spans="1:16" x14ac:dyDescent="0.2">
      <c r="A142" s="10" t="str">
        <f>IF($H142="","",COUNTIF($H$5:$H142,"oui"))</f>
        <v/>
      </c>
      <c r="B142" s="8"/>
      <c r="C142" s="8"/>
      <c r="D142" s="8"/>
      <c r="E142" s="8"/>
      <c r="F142" s="8"/>
      <c r="G142" s="11"/>
      <c r="H142" s="10" t="str">
        <f t="shared" si="12"/>
        <v/>
      </c>
      <c r="I142" s="10" t="str">
        <f>IF($H142="","",COUNTIF(Presences!$C$5:$C$504,$B142))</f>
        <v/>
      </c>
      <c r="J142" s="10" t="str">
        <f>IF($H142="","",Tableau_de_bord!$B$5)</f>
        <v/>
      </c>
      <c r="K142" s="13" t="str">
        <f t="shared" si="13"/>
        <v/>
      </c>
      <c r="L142" s="10" t="str">
        <f>IF($H142&lt;&gt;"oui","",IF(OR($E142="élève",$E142="élève et encadrant"),COUNTIFS($H$5:$H142,"oui",$E$5:$E142,"élève")+COUNTIFS($H$5:$H142,"oui",$E$5:$E142,"élève et encadrant"),""))</f>
        <v/>
      </c>
      <c r="M142" s="10" t="str">
        <f>IF($H142&lt;&gt;"oui","",IF(OR($E142="encadrant",$E142="élève et encadrant"),COUNTIFS($H$5:$H142,"oui",$E$5:$E142,"encadrant")+COUNTIFS($H$5:$H142,"oui",$E$5:$E142,"élève et encadrant"),""))</f>
        <v/>
      </c>
      <c r="N142" s="10" t="str">
        <f t="shared" si="14"/>
        <v/>
      </c>
      <c r="O142" s="10" t="str">
        <f>IF($B142="","",COUNTIF(Personnes!$D$5:$D$154,"&lt;"&amp;$D142)+COUNTIF($D$5:$D142,$D142))</f>
        <v/>
      </c>
      <c r="P142" s="8"/>
    </row>
    <row r="143" spans="1:16" x14ac:dyDescent="0.2">
      <c r="A143" s="10" t="str">
        <f>IF($H143="","",COUNTIF($H$5:$H143,"oui"))</f>
        <v/>
      </c>
      <c r="B143" s="8"/>
      <c r="C143" s="8"/>
      <c r="D143" s="8"/>
      <c r="E143" s="8"/>
      <c r="F143" s="8"/>
      <c r="G143" s="11"/>
      <c r="H143" s="10" t="str">
        <f t="shared" si="12"/>
        <v/>
      </c>
      <c r="I143" s="10" t="str">
        <f>IF($H143="","",COUNTIF(Presences!$C$5:$C$504,$B143))</f>
        <v/>
      </c>
      <c r="J143" s="10" t="str">
        <f>IF($H143="","",Tableau_de_bord!$B$5)</f>
        <v/>
      </c>
      <c r="K143" s="13" t="str">
        <f t="shared" si="13"/>
        <v/>
      </c>
      <c r="L143" s="10" t="str">
        <f>IF($H143&lt;&gt;"oui","",IF(OR($E143="élève",$E143="élève et encadrant"),COUNTIFS($H$5:$H143,"oui",$E$5:$E143,"élève")+COUNTIFS($H$5:$H143,"oui",$E$5:$E143,"élève et encadrant"),""))</f>
        <v/>
      </c>
      <c r="M143" s="10" t="str">
        <f>IF($H143&lt;&gt;"oui","",IF(OR($E143="encadrant",$E143="élève et encadrant"),COUNTIFS($H$5:$H143,"oui",$E$5:$E143,"encadrant")+COUNTIFS($H$5:$H143,"oui",$E$5:$E143,"élève et encadrant"),""))</f>
        <v/>
      </c>
      <c r="N143" s="10" t="str">
        <f t="shared" si="14"/>
        <v/>
      </c>
      <c r="O143" s="10" t="str">
        <f>IF($B143="","",COUNTIF(Personnes!$D$5:$D$154,"&lt;"&amp;$D143)+COUNTIF($D$5:$D143,$D143))</f>
        <v/>
      </c>
      <c r="P143" s="8"/>
    </row>
    <row r="144" spans="1:16" x14ac:dyDescent="0.2">
      <c r="A144" s="10" t="str">
        <f>IF($H144="","",COUNTIF($H$5:$H144,"oui"))</f>
        <v/>
      </c>
      <c r="B144" s="8"/>
      <c r="C144" s="8"/>
      <c r="D144" s="8"/>
      <c r="E144" s="8"/>
      <c r="F144" s="8"/>
      <c r="G144" s="11"/>
      <c r="H144" s="10" t="str">
        <f t="shared" si="12"/>
        <v/>
      </c>
      <c r="I144" s="10" t="str">
        <f>IF($H144="","",COUNTIF(Presences!$C$5:$C$504,$B144))</f>
        <v/>
      </c>
      <c r="J144" s="10" t="str">
        <f>IF($H144="","",Tableau_de_bord!$B$5)</f>
        <v/>
      </c>
      <c r="K144" s="13" t="str">
        <f t="shared" si="13"/>
        <v/>
      </c>
      <c r="L144" s="10" t="str">
        <f>IF($H144&lt;&gt;"oui","",IF(OR($E144="élève",$E144="élève et encadrant"),COUNTIFS($H$5:$H144,"oui",$E$5:$E144,"élève")+COUNTIFS($H$5:$H144,"oui",$E$5:$E144,"élève et encadrant"),""))</f>
        <v/>
      </c>
      <c r="M144" s="10" t="str">
        <f>IF($H144&lt;&gt;"oui","",IF(OR($E144="encadrant",$E144="élève et encadrant"),COUNTIFS($H$5:$H144,"oui",$E$5:$E144,"encadrant")+COUNTIFS($H$5:$H144,"oui",$E$5:$E144,"élève et encadrant"),""))</f>
        <v/>
      </c>
      <c r="N144" s="10" t="str">
        <f t="shared" si="14"/>
        <v/>
      </c>
      <c r="O144" s="10" t="str">
        <f>IF($B144="","",COUNTIF(Personnes!$D$5:$D$154,"&lt;"&amp;$D144)+COUNTIF($D$5:$D144,$D144))</f>
        <v/>
      </c>
      <c r="P144" s="8"/>
    </row>
    <row r="145" spans="1:16" x14ac:dyDescent="0.2">
      <c r="A145" s="10" t="str">
        <f>IF($H145="","",COUNTIF($H$5:$H145,"oui"))</f>
        <v/>
      </c>
      <c r="B145" s="8"/>
      <c r="C145" s="8"/>
      <c r="D145" s="8"/>
      <c r="E145" s="8"/>
      <c r="F145" s="8"/>
      <c r="G145" s="11"/>
      <c r="H145" s="10" t="str">
        <f t="shared" si="12"/>
        <v/>
      </c>
      <c r="I145" s="10" t="str">
        <f>IF($H145="","",COUNTIF(Presences!$C$5:$C$504,$B145))</f>
        <v/>
      </c>
      <c r="J145" s="10" t="str">
        <f>IF($H145="","",Tableau_de_bord!$B$5)</f>
        <v/>
      </c>
      <c r="K145" s="13" t="str">
        <f t="shared" si="13"/>
        <v/>
      </c>
      <c r="L145" s="10" t="str">
        <f>IF($H145&lt;&gt;"oui","",IF(OR($E145="élève",$E145="élève et encadrant"),COUNTIFS($H$5:$H145,"oui",$E$5:$E145,"élève")+COUNTIFS($H$5:$H145,"oui",$E$5:$E145,"élève et encadrant"),""))</f>
        <v/>
      </c>
      <c r="M145" s="10" t="str">
        <f>IF($H145&lt;&gt;"oui","",IF(OR($E145="encadrant",$E145="élève et encadrant"),COUNTIFS($H$5:$H145,"oui",$E$5:$E145,"encadrant")+COUNTIFS($H$5:$H145,"oui",$E$5:$E145,"élève et encadrant"),""))</f>
        <v/>
      </c>
      <c r="N145" s="10" t="str">
        <f t="shared" si="14"/>
        <v/>
      </c>
      <c r="O145" s="10" t="str">
        <f>IF($B145="","",COUNTIF(Personnes!$D$5:$D$154,"&lt;"&amp;$D145)+COUNTIF($D$5:$D145,$D145))</f>
        <v/>
      </c>
      <c r="P145" s="8"/>
    </row>
    <row r="146" spans="1:16" x14ac:dyDescent="0.2">
      <c r="A146" s="10" t="str">
        <f>IF($H146="","",COUNTIF($H$5:$H146,"oui"))</f>
        <v/>
      </c>
      <c r="B146" s="8"/>
      <c r="C146" s="8"/>
      <c r="D146" s="8"/>
      <c r="E146" s="8"/>
      <c r="F146" s="8"/>
      <c r="G146" s="11"/>
      <c r="H146" s="10" t="str">
        <f t="shared" si="12"/>
        <v/>
      </c>
      <c r="I146" s="10" t="str">
        <f>IF($H146="","",COUNTIF(Presences!$C$5:$C$504,$B146))</f>
        <v/>
      </c>
      <c r="J146" s="10" t="str">
        <f>IF($H146="","",Tableau_de_bord!$B$5)</f>
        <v/>
      </c>
      <c r="K146" s="13" t="str">
        <f t="shared" si="13"/>
        <v/>
      </c>
      <c r="L146" s="10" t="str">
        <f>IF($H146&lt;&gt;"oui","",IF(OR($E146="élève",$E146="élève et encadrant"),COUNTIFS($H$5:$H146,"oui",$E$5:$E146,"élève")+COUNTIFS($H$5:$H146,"oui",$E$5:$E146,"élève et encadrant"),""))</f>
        <v/>
      </c>
      <c r="M146" s="10" t="str">
        <f>IF($H146&lt;&gt;"oui","",IF(OR($E146="encadrant",$E146="élève et encadrant"),COUNTIFS($H$5:$H146,"oui",$E$5:$E146,"encadrant")+COUNTIFS($H$5:$H146,"oui",$E$5:$E146,"élève et encadrant"),""))</f>
        <v/>
      </c>
      <c r="N146" s="10" t="str">
        <f t="shared" si="14"/>
        <v/>
      </c>
      <c r="O146" s="10" t="str">
        <f>IF($B146="","",COUNTIF(Personnes!$D$5:$D$154,"&lt;"&amp;$D146)+COUNTIF($D$5:$D146,$D146))</f>
        <v/>
      </c>
      <c r="P146" s="8"/>
    </row>
    <row r="147" spans="1:16" x14ac:dyDescent="0.2">
      <c r="A147" s="10" t="str">
        <f>IF($H147="","",COUNTIF($H$5:$H147,"oui"))</f>
        <v/>
      </c>
      <c r="B147" s="8"/>
      <c r="C147" s="8"/>
      <c r="D147" s="8"/>
      <c r="E147" s="8"/>
      <c r="F147" s="8"/>
      <c r="G147" s="11"/>
      <c r="H147" s="10" t="str">
        <f t="shared" si="12"/>
        <v/>
      </c>
      <c r="I147" s="10" t="str">
        <f>IF($H147="","",COUNTIF(Presences!$C$5:$C$504,$B147))</f>
        <v/>
      </c>
      <c r="J147" s="10" t="str">
        <f>IF($H147="","",Tableau_de_bord!$B$5)</f>
        <v/>
      </c>
      <c r="K147" s="13" t="str">
        <f t="shared" si="13"/>
        <v/>
      </c>
      <c r="L147" s="10" t="str">
        <f>IF($H147&lt;&gt;"oui","",IF(OR($E147="élève",$E147="élève et encadrant"),COUNTIFS($H$5:$H147,"oui",$E$5:$E147,"élève")+COUNTIFS($H$5:$H147,"oui",$E$5:$E147,"élève et encadrant"),""))</f>
        <v/>
      </c>
      <c r="M147" s="10" t="str">
        <f>IF($H147&lt;&gt;"oui","",IF(OR($E147="encadrant",$E147="élève et encadrant"),COUNTIFS($H$5:$H147,"oui",$E$5:$E147,"encadrant")+COUNTIFS($H$5:$H147,"oui",$E$5:$E147,"élève et encadrant"),""))</f>
        <v/>
      </c>
      <c r="N147" s="10" t="str">
        <f t="shared" si="14"/>
        <v/>
      </c>
      <c r="O147" s="10" t="str">
        <f>IF($B147="","",COUNTIF(Personnes!$D$5:$D$154,"&lt;"&amp;$D147)+COUNTIF($D$5:$D147,$D147))</f>
        <v/>
      </c>
      <c r="P147" s="8"/>
    </row>
    <row r="148" spans="1:16" x14ac:dyDescent="0.2">
      <c r="A148" s="10" t="str">
        <f>IF($H148="","",COUNTIF($H$5:$H148,"oui"))</f>
        <v/>
      </c>
      <c r="B148" s="8"/>
      <c r="C148" s="8"/>
      <c r="D148" s="8"/>
      <c r="E148" s="8"/>
      <c r="F148" s="8"/>
      <c r="G148" s="11"/>
      <c r="H148" s="10" t="str">
        <f t="shared" si="12"/>
        <v/>
      </c>
      <c r="I148" s="10" t="str">
        <f>IF($H148="","",COUNTIF(Presences!$C$5:$C$504,$B148))</f>
        <v/>
      </c>
      <c r="J148" s="10" t="str">
        <f>IF($H148="","",Tableau_de_bord!$B$5)</f>
        <v/>
      </c>
      <c r="K148" s="13" t="str">
        <f t="shared" si="13"/>
        <v/>
      </c>
      <c r="L148" s="10" t="str">
        <f>IF($H148&lt;&gt;"oui","",IF(OR($E148="élève",$E148="élève et encadrant"),COUNTIFS($H$5:$H148,"oui",$E$5:$E148,"élève")+COUNTIFS($H$5:$H148,"oui",$E$5:$E148,"élève et encadrant"),""))</f>
        <v/>
      </c>
      <c r="M148" s="10" t="str">
        <f>IF($H148&lt;&gt;"oui","",IF(OR($E148="encadrant",$E148="élève et encadrant"),COUNTIFS($H$5:$H148,"oui",$E$5:$E148,"encadrant")+COUNTIFS($H$5:$H148,"oui",$E$5:$E148,"élève et encadrant"),""))</f>
        <v/>
      </c>
      <c r="N148" s="10" t="str">
        <f t="shared" si="14"/>
        <v/>
      </c>
      <c r="O148" s="10" t="str">
        <f>IF($B148="","",COUNTIF(Personnes!$D$5:$D$154,"&lt;"&amp;$D148)+COUNTIF($D$5:$D148,$D148))</f>
        <v/>
      </c>
      <c r="P148" s="8"/>
    </row>
    <row r="149" spans="1:16" x14ac:dyDescent="0.2">
      <c r="A149" s="10" t="str">
        <f>IF($H149="","",COUNTIF($H$5:$H149,"oui"))</f>
        <v/>
      </c>
      <c r="B149" s="8"/>
      <c r="C149" s="8"/>
      <c r="D149" s="8"/>
      <c r="E149" s="8"/>
      <c r="F149" s="8"/>
      <c r="G149" s="11"/>
      <c r="H149" s="10" t="str">
        <f t="shared" si="12"/>
        <v/>
      </c>
      <c r="I149" s="10" t="str">
        <f>IF($H149="","",COUNTIF(Presences!$C$5:$C$504,$B149))</f>
        <v/>
      </c>
      <c r="J149" s="10" t="str">
        <f>IF($H149="","",Tableau_de_bord!$B$5)</f>
        <v/>
      </c>
      <c r="K149" s="13" t="str">
        <f t="shared" si="13"/>
        <v/>
      </c>
      <c r="L149" s="10" t="str">
        <f>IF($H149&lt;&gt;"oui","",IF(OR($E149="élève",$E149="élève et encadrant"),COUNTIFS($H$5:$H149,"oui",$E$5:$E149,"élève")+COUNTIFS($H$5:$H149,"oui",$E$5:$E149,"élève et encadrant"),""))</f>
        <v/>
      </c>
      <c r="M149" s="10" t="str">
        <f>IF($H149&lt;&gt;"oui","",IF(OR($E149="encadrant",$E149="élève et encadrant"),COUNTIFS($H$5:$H149,"oui",$E$5:$E149,"encadrant")+COUNTIFS($H$5:$H149,"oui",$E$5:$E149,"élève et encadrant"),""))</f>
        <v/>
      </c>
      <c r="N149" s="10" t="str">
        <f t="shared" si="14"/>
        <v/>
      </c>
      <c r="O149" s="10" t="str">
        <f>IF($B149="","",COUNTIF(Personnes!$D$5:$D$154,"&lt;"&amp;$D149)+COUNTIF($D$5:$D149,$D149))</f>
        <v/>
      </c>
      <c r="P149" s="8"/>
    </row>
    <row r="150" spans="1:16" x14ac:dyDescent="0.2">
      <c r="A150" s="10" t="str">
        <f>IF($H150="","",COUNTIF($H$5:$H150,"oui"))</f>
        <v/>
      </c>
      <c r="B150" s="8"/>
      <c r="C150" s="8"/>
      <c r="D150" s="8"/>
      <c r="E150" s="8"/>
      <c r="F150" s="8"/>
      <c r="G150" s="11"/>
      <c r="H150" s="10" t="str">
        <f t="shared" si="12"/>
        <v/>
      </c>
      <c r="I150" s="10" t="str">
        <f>IF($H150="","",COUNTIF(Presences!$C$5:$C$504,$B150))</f>
        <v/>
      </c>
      <c r="J150" s="10" t="str">
        <f>IF($H150="","",Tableau_de_bord!$B$5)</f>
        <v/>
      </c>
      <c r="K150" s="13" t="str">
        <f t="shared" si="13"/>
        <v/>
      </c>
      <c r="L150" s="10" t="str">
        <f>IF($H150&lt;&gt;"oui","",IF(OR($E150="élève",$E150="élève et encadrant"),COUNTIFS($H$5:$H150,"oui",$E$5:$E150,"élève")+COUNTIFS($H$5:$H150,"oui",$E$5:$E150,"élève et encadrant"),""))</f>
        <v/>
      </c>
      <c r="M150" s="10" t="str">
        <f>IF($H150&lt;&gt;"oui","",IF(OR($E150="encadrant",$E150="élève et encadrant"),COUNTIFS($H$5:$H150,"oui",$E$5:$E150,"encadrant")+COUNTIFS($H$5:$H150,"oui",$E$5:$E150,"élève et encadrant"),""))</f>
        <v/>
      </c>
      <c r="N150" s="10" t="str">
        <f t="shared" si="14"/>
        <v/>
      </c>
      <c r="O150" s="10" t="str">
        <f>IF($B150="","",COUNTIF(Personnes!$D$5:$D$154,"&lt;"&amp;$D150)+COUNTIF($D$5:$D150,$D150))</f>
        <v/>
      </c>
      <c r="P150" s="8"/>
    </row>
    <row r="151" spans="1:16" x14ac:dyDescent="0.2">
      <c r="A151" s="10" t="str">
        <f>IF($H151="","",COUNTIF($H$5:$H151,"oui"))</f>
        <v/>
      </c>
      <c r="B151" s="8"/>
      <c r="C151" s="8"/>
      <c r="D151" s="8"/>
      <c r="E151" s="8"/>
      <c r="F151" s="8"/>
      <c r="G151" s="11"/>
      <c r="H151" s="10" t="str">
        <f t="shared" si="12"/>
        <v/>
      </c>
      <c r="I151" s="10" t="str">
        <f>IF($H151="","",COUNTIF(Presences!$C$5:$C$504,$B151))</f>
        <v/>
      </c>
      <c r="J151" s="10" t="str">
        <f>IF($H151="","",Tableau_de_bord!$B$5)</f>
        <v/>
      </c>
      <c r="K151" s="13" t="str">
        <f t="shared" si="13"/>
        <v/>
      </c>
      <c r="L151" s="10" t="str">
        <f>IF($H151&lt;&gt;"oui","",IF(OR($E151="élève",$E151="élève et encadrant"),COUNTIFS($H$5:$H151,"oui",$E$5:$E151,"élève")+COUNTIFS($H$5:$H151,"oui",$E$5:$E151,"élève et encadrant"),""))</f>
        <v/>
      </c>
      <c r="M151" s="10" t="str">
        <f>IF($H151&lt;&gt;"oui","",IF(OR($E151="encadrant",$E151="élève et encadrant"),COUNTIFS($H$5:$H151,"oui",$E$5:$E151,"encadrant")+COUNTIFS($H$5:$H151,"oui",$E$5:$E151,"élève et encadrant"),""))</f>
        <v/>
      </c>
      <c r="N151" s="10" t="str">
        <f t="shared" si="14"/>
        <v/>
      </c>
      <c r="O151" s="10" t="str">
        <f>IF($B151="","",COUNTIF(Personnes!$D$5:$D$154,"&lt;"&amp;$D151)+COUNTIF($D$5:$D151,$D151))</f>
        <v/>
      </c>
      <c r="P151" s="8"/>
    </row>
    <row r="152" spans="1:16" x14ac:dyDescent="0.2">
      <c r="A152" s="10" t="str">
        <f>IF($H152="","",COUNTIF($H$5:$H152,"oui"))</f>
        <v/>
      </c>
      <c r="B152" s="8"/>
      <c r="C152" s="8"/>
      <c r="D152" s="8"/>
      <c r="E152" s="8"/>
      <c r="F152" s="8"/>
      <c r="G152" s="11"/>
      <c r="H152" s="10" t="str">
        <f t="shared" si="12"/>
        <v/>
      </c>
      <c r="I152" s="10" t="str">
        <f>IF($H152="","",COUNTIF(Presences!$C$5:$C$504,$B152))</f>
        <v/>
      </c>
      <c r="J152" s="10" t="str">
        <f>IF($H152="","",Tableau_de_bord!$B$5)</f>
        <v/>
      </c>
      <c r="K152" s="13" t="str">
        <f t="shared" si="13"/>
        <v/>
      </c>
      <c r="L152" s="10" t="str">
        <f>IF($H152&lt;&gt;"oui","",IF(OR($E152="élève",$E152="élève et encadrant"),COUNTIFS($H$5:$H152,"oui",$E$5:$E152,"élève")+COUNTIFS($H$5:$H152,"oui",$E$5:$E152,"élève et encadrant"),""))</f>
        <v/>
      </c>
      <c r="M152" s="10" t="str">
        <f>IF($H152&lt;&gt;"oui","",IF(OR($E152="encadrant",$E152="élève et encadrant"),COUNTIFS($H$5:$H152,"oui",$E$5:$E152,"encadrant")+COUNTIFS($H$5:$H152,"oui",$E$5:$E152,"élève et encadrant"),""))</f>
        <v/>
      </c>
      <c r="N152" s="10" t="str">
        <f t="shared" si="14"/>
        <v/>
      </c>
      <c r="O152" s="10" t="str">
        <f>IF($B152="","",COUNTIF(Personnes!$D$5:$D$154,"&lt;"&amp;$D152)+COUNTIF($D$5:$D152,$D152))</f>
        <v/>
      </c>
      <c r="P152" s="8"/>
    </row>
    <row r="153" spans="1:16" x14ac:dyDescent="0.2">
      <c r="A153" s="10" t="str">
        <f>IF($H153="","",COUNTIF($H$5:$H153,"oui"))</f>
        <v/>
      </c>
      <c r="B153" s="8"/>
      <c r="C153" s="8"/>
      <c r="D153" s="8"/>
      <c r="E153" s="8"/>
      <c r="F153" s="8"/>
      <c r="G153" s="11"/>
      <c r="H153" s="10" t="str">
        <f t="shared" si="12"/>
        <v/>
      </c>
      <c r="I153" s="10" t="str">
        <f>IF($H153="","",COUNTIF(Presences!$C$5:$C$504,$B153))</f>
        <v/>
      </c>
      <c r="J153" s="10" t="str">
        <f>IF($H153="","",Tableau_de_bord!$B$5)</f>
        <v/>
      </c>
      <c r="K153" s="13" t="str">
        <f t="shared" si="13"/>
        <v/>
      </c>
      <c r="L153" s="10" t="str">
        <f>IF($H153&lt;&gt;"oui","",IF(OR($E153="élève",$E153="élève et encadrant"),COUNTIFS($H$5:$H153,"oui",$E$5:$E153,"élève")+COUNTIFS($H$5:$H153,"oui",$E$5:$E153,"élève et encadrant"),""))</f>
        <v/>
      </c>
      <c r="M153" s="10" t="str">
        <f>IF($H153&lt;&gt;"oui","",IF(OR($E153="encadrant",$E153="élève et encadrant"),COUNTIFS($H$5:$H153,"oui",$E$5:$E153,"encadrant")+COUNTIFS($H$5:$H153,"oui",$E$5:$E153,"élève et encadrant"),""))</f>
        <v/>
      </c>
      <c r="N153" s="10" t="str">
        <f t="shared" si="14"/>
        <v/>
      </c>
      <c r="O153" s="10" t="str">
        <f>IF($B153="","",COUNTIF(Personnes!$D$5:$D$154,"&lt;"&amp;$D153)+COUNTIF($D$5:$D153,$D153))</f>
        <v/>
      </c>
      <c r="P153" s="8"/>
    </row>
    <row r="154" spans="1:16" x14ac:dyDescent="0.2">
      <c r="A154" s="10" t="str">
        <f>IF($H154="","",COUNTIF($H$5:$H154,"oui"))</f>
        <v/>
      </c>
      <c r="B154" s="8"/>
      <c r="C154" s="8"/>
      <c r="D154" s="8"/>
      <c r="E154" s="8"/>
      <c r="F154" s="8"/>
      <c r="G154" s="11"/>
      <c r="H154" s="10" t="str">
        <f t="shared" si="12"/>
        <v/>
      </c>
      <c r="I154" s="10" t="str">
        <f>IF($H154="","",COUNTIF(Presences!$C$5:$C$504,$B154))</f>
        <v/>
      </c>
      <c r="J154" s="10" t="str">
        <f>IF($H154="","",Tableau_de_bord!$B$5)</f>
        <v/>
      </c>
      <c r="K154" s="13" t="str">
        <f t="shared" si="13"/>
        <v/>
      </c>
      <c r="L154" s="10" t="str">
        <f>IF($H154&lt;&gt;"oui","",IF(OR($E154="élève",$E154="élève et encadrant"),COUNTIFS($H$5:$H154,"oui",$E$5:$E154,"élève")+COUNTIFS($H$5:$H154,"oui",$E$5:$E154,"élève et encadrant"),""))</f>
        <v/>
      </c>
      <c r="M154" s="10" t="str">
        <f>IF($H154&lt;&gt;"oui","",IF(OR($E154="encadrant",$E154="élève et encadrant"),COUNTIFS($H$5:$H154,"oui",$E$5:$E154,"encadrant")+COUNTIFS($H$5:$H154,"oui",$E$5:$E154,"élève et encadrant"),""))</f>
        <v/>
      </c>
      <c r="N154" s="10" t="str">
        <f t="shared" si="14"/>
        <v/>
      </c>
      <c r="O154" s="10" t="str">
        <f>IF($B154="","",COUNTIF(Personnes!$D$5:$D$154,"&lt;"&amp;$D154)+COUNTIF($D$5:$D154,$D154))</f>
        <v/>
      </c>
      <c r="P154" s="8"/>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5F"/>
  </sheetPr>
  <dimension ref="A1:U48"/>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12" customWidth="1"/>
    <col min="3" max="3" width="11" customWidth="1"/>
    <col min="4" max="4" width="40" customWidth="1"/>
    <col min="5" max="5" width="11" customWidth="1"/>
    <col min="6" max="7" width="9" customWidth="1"/>
    <col min="8" max="8" width="14" customWidth="1"/>
    <col min="9" max="9" width="11" customWidth="1"/>
    <col min="10" max="10" width="18" customWidth="1"/>
    <col min="11" max="11" width="10" customWidth="1"/>
    <col min="12" max="12" width="18" customWidth="1"/>
    <col min="13" max="13" width="14" customWidth="1"/>
    <col min="14" max="14" width="18" customWidth="1"/>
    <col min="15" max="15" width="12" customWidth="1"/>
    <col min="16" max="16" width="18" customWidth="1"/>
    <col min="17" max="17" width="14" customWidth="1"/>
    <col min="18" max="18" width="38" customWidth="1"/>
    <col min="19" max="19" width="28" customWidth="1"/>
    <col min="20" max="20" width="11" customWidth="1"/>
    <col min="21" max="21" width="24" customWidth="1"/>
  </cols>
  <sheetData>
    <row r="1" spans="1:21" ht="18" x14ac:dyDescent="0.2">
      <c r="A1" s="4" t="s">
        <v>490</v>
      </c>
    </row>
    <row r="2" spans="1:21" x14ac:dyDescent="0.2">
      <c r="A2" s="5" t="s">
        <v>491</v>
      </c>
    </row>
    <row r="4" spans="1:21" ht="32" customHeight="1" x14ac:dyDescent="0.2">
      <c r="A4" s="6" t="s">
        <v>492</v>
      </c>
      <c r="B4" s="6" t="s">
        <v>493</v>
      </c>
      <c r="C4" s="6" t="s">
        <v>130</v>
      </c>
      <c r="D4" s="6" t="s">
        <v>494</v>
      </c>
      <c r="E4" s="6" t="s">
        <v>495</v>
      </c>
      <c r="F4" s="6" t="s">
        <v>133</v>
      </c>
      <c r="G4" s="6" t="s">
        <v>496</v>
      </c>
      <c r="H4" s="6" t="s">
        <v>497</v>
      </c>
      <c r="I4" s="6" t="s">
        <v>498</v>
      </c>
      <c r="J4" s="6" t="s">
        <v>499</v>
      </c>
      <c r="K4" s="6" t="s">
        <v>500</v>
      </c>
      <c r="L4" s="6" t="s">
        <v>501</v>
      </c>
      <c r="M4" s="6" t="s">
        <v>502</v>
      </c>
      <c r="N4" s="6" t="s">
        <v>503</v>
      </c>
      <c r="O4" s="6" t="s">
        <v>504</v>
      </c>
      <c r="P4" s="6" t="s">
        <v>505</v>
      </c>
      <c r="Q4" s="6" t="s">
        <v>506</v>
      </c>
      <c r="R4" s="6" t="s">
        <v>507</v>
      </c>
      <c r="S4" s="6" t="s">
        <v>152</v>
      </c>
      <c r="T4" s="6" t="s">
        <v>508</v>
      </c>
      <c r="U4" s="6" t="s">
        <v>509</v>
      </c>
    </row>
    <row r="5" spans="1:21" x14ac:dyDescent="0.2">
      <c r="A5" s="10" t="str">
        <f>IF($B5="","","S"&amp;TEXT(COUNTIF($B$5:$B5,"&lt;&gt;"),"000")&amp;" — "&amp;TEXT(DAY($B5),"00")&amp;"/"&amp;TEXT(MONTH($B5),"00")&amp;"/"&amp;YEAR($B5)&amp;" ("&amp;$C5&amp;")")</f>
        <v>S001 — 12/09/2026 (samedi)</v>
      </c>
      <c r="B5" s="14">
        <v>46277</v>
      </c>
      <c r="C5" s="10" t="str">
        <f>IF($B5="","",IFERROR(INDEX(Listes!$A$2:$A$8,WEEKDAY($B5,2)),""))</f>
        <v>samedi</v>
      </c>
      <c r="D5" s="15" t="s">
        <v>510</v>
      </c>
      <c r="E5" s="10" t="str">
        <f t="shared" ref="E5:E48" si="0">IFERROR(MID($D5,FIND("[",$D5)+1,FIND("]",$D5)-FIND("[",$D5)-1),"")</f>
        <v>CR-SAM</v>
      </c>
      <c r="F5" s="10" t="str">
        <f>IFERROR(IF($E5="","",INDEX(Referentiel!$E$54:$E$63,MATCH($E5,Referentiel!$A$54:$A$63,0))&amp;""),"")</f>
        <v>B50</v>
      </c>
      <c r="G5" s="10" t="str">
        <f>IFERROR(IF($E5="","",INDEX(Referentiel!$F$54:$F$63,MATCH($E5,Referentiel!$A$54:$A$63,0))&amp;""),"")</f>
        <v>LC</v>
      </c>
      <c r="H5" s="15"/>
      <c r="I5" s="15" t="s">
        <v>511</v>
      </c>
      <c r="J5" s="15"/>
      <c r="K5" s="10" t="str">
        <f>IF($J5="","",IFERROR(IF(ISNUMBER(FIND("[",$J5)),MID($J5,FIND("[",$J5)+1,FIND("]",$J5)-FIND("[",$J5)-1),IF(ISNUMBER($J5),INDEX(Personnes!$B$5:$B$154,MATCH($J5,Personnes!$A$5:$A$154,0)),IFERROR(INDEX(Personnes!$B$5:$B$154,MATCH($J5&amp;"*",Personnes!$C$5:$C$154,0)),INDEX(Personnes!$B$5:$B$154,MATCH($J5&amp;"*",Personnes!$D$5:$D$154,0))))),""))</f>
        <v/>
      </c>
      <c r="L5" s="10" t="str">
        <f>IFERROR(INDEX(Personnes!$C$5:$C$154,MATCH($K5,Personnes!$B$5:$B$154,0))&amp;"","")</f>
        <v/>
      </c>
      <c r="M5" s="10" t="str">
        <f>IFERROR(INDEX(Personnes!$D$5:$D$154,MATCH($K5,Personnes!$B$5:$B$154,0))&amp;"","")</f>
        <v/>
      </c>
      <c r="N5" s="15"/>
      <c r="O5" s="10" t="str">
        <f>IF($N5&lt;&gt;"",IF($N5="","",IFERROR(IF(ISNUMBER(FIND("[",$N5)),MID($N5,FIND("[",$N5)+1,FIND("]",$N5)-FIND("[",$N5)-1),IF(ISNUMBER($N5),INDEX(Personnes!$B$5:$B$154,MATCH($N5,Personnes!$A$5:$A$154,0)),IFERROR(INDEX(Personnes!$B$5:$B$154,MATCH($N5&amp;"*",Personnes!$C$5:$C$154,0)),INDEX(Personnes!$B$5:$B$154,MATCH($N5&amp;"*",Personnes!$D$5:$D$154,0))))),"")),IF($E5="","",IFERROR(INDEX(Referentiel!$H$54:$H$63,MATCH($E5,Referentiel!$A$54:$A$63,0)),"")))</f>
        <v>P045</v>
      </c>
      <c r="P5" s="10" t="str">
        <f>IFERROR(INDEX(Personnes!$C$5:$C$154,MATCH($O5,Personnes!$B$5:$B$154,0))&amp;"","")</f>
        <v>SEGUI</v>
      </c>
      <c r="Q5" s="10" t="str">
        <f>IFERROR(INDEX(Personnes!$D$5:$D$154,MATCH($O5,Personnes!$B$5:$B$154,0))&amp;"","")</f>
        <v>Danny</v>
      </c>
      <c r="R5" s="9"/>
      <c r="S5" s="9"/>
      <c r="T5" s="10">
        <f>IF($A5="","",COUNTIFS(Presences!$A$5:$A$504,$A5,Presences!$C$5:$C$504,"&lt;&gt;"))</f>
        <v>0</v>
      </c>
      <c r="U5" s="10" t="str">
        <f>IF($A5="","",IF(AND($J5&lt;&gt;"",$K5=""),"DP non reconnu",IF(AND($K5&lt;&gt;"",COUNTIF(Referentiel!$A$81:$A$110,$K5)=0),"DP sans qualification Sécurité valide",IF(AND($N5&lt;&gt;"",$O5=""),"responsable non reconnu",IF(AND($G5&lt;&gt;"",$G5&lt;&gt;"LC"),"créneau rattaché à un autre groupe",IF($I5&lt;&gt;"tenue","",IF(OR($K5="",$O5=""),"couverture incomplète","ok")))))))</f>
        <v/>
      </c>
    </row>
    <row r="6" spans="1:21" x14ac:dyDescent="0.2">
      <c r="A6" s="10" t="str">
        <f>IF($B6="","","S"&amp;TEXT(COUNTIF($B$5:$B6,"&lt;&gt;"),"000")&amp;" — "&amp;TEXT(DAY($B6),"00")&amp;"/"&amp;TEXT(MONTH($B6),"00")&amp;"/"&amp;YEAR($B6)&amp;" ("&amp;$C6&amp;")")</f>
        <v>S002 — 19/09/2026 (samedi)</v>
      </c>
      <c r="B6" s="14">
        <v>46284</v>
      </c>
      <c r="C6" s="10" t="str">
        <f>IF($B6="","",IFERROR(INDEX(Listes!$A$2:$A$8,WEEKDAY($B6,2)),""))</f>
        <v>samedi</v>
      </c>
      <c r="D6" s="15" t="s">
        <v>510</v>
      </c>
      <c r="E6" s="10" t="str">
        <f t="shared" si="0"/>
        <v>CR-SAM</v>
      </c>
      <c r="F6" s="10" t="str">
        <f>IFERROR(IF($E6="","",INDEX(Referentiel!$E$54:$E$63,MATCH($E6,Referentiel!$A$54:$A$63,0))&amp;""),"")</f>
        <v>B50</v>
      </c>
      <c r="G6" s="10" t="str">
        <f>IFERROR(IF($E6="","",INDEX(Referentiel!$F$54:$F$63,MATCH($E6,Referentiel!$A$54:$A$63,0))&amp;""),"")</f>
        <v>LC</v>
      </c>
      <c r="H6" s="15"/>
      <c r="I6" s="15" t="s">
        <v>511</v>
      </c>
      <c r="J6" s="15"/>
      <c r="K6" s="10" t="str">
        <f>IF($J6="","",IFERROR(IF(ISNUMBER(FIND("[",$J6)),MID($J6,FIND("[",$J6)+1,FIND("]",$J6)-FIND("[",$J6)-1),IF(ISNUMBER($J6),INDEX(Personnes!$B$5:$B$154,MATCH($J6,Personnes!$A$5:$A$154,0)),IFERROR(INDEX(Personnes!$B$5:$B$154,MATCH($J6&amp;"*",Personnes!$C$5:$C$154,0)),INDEX(Personnes!$B$5:$B$154,MATCH($J6&amp;"*",Personnes!$D$5:$D$154,0))))),""))</f>
        <v/>
      </c>
      <c r="L6" s="10" t="str">
        <f>IFERROR(INDEX(Personnes!$C$5:$C$154,MATCH($K6,Personnes!$B$5:$B$154,0))&amp;"","")</f>
        <v/>
      </c>
      <c r="M6" s="10" t="str">
        <f>IFERROR(INDEX(Personnes!$D$5:$D$154,MATCH($K6,Personnes!$B$5:$B$154,0))&amp;"","")</f>
        <v/>
      </c>
      <c r="N6" s="15"/>
      <c r="O6" s="10" t="str">
        <f>IF($N6&lt;&gt;"",IF($N6="","",IFERROR(IF(ISNUMBER(FIND("[",$N6)),MID($N6,FIND("[",$N6)+1,FIND("]",$N6)-FIND("[",$N6)-1),IF(ISNUMBER($N6),INDEX(Personnes!$B$5:$B$154,MATCH($N6,Personnes!$A$5:$A$154,0)),IFERROR(INDEX(Personnes!$B$5:$B$154,MATCH($N6&amp;"*",Personnes!$C$5:$C$154,0)),INDEX(Personnes!$B$5:$B$154,MATCH($N6&amp;"*",Personnes!$D$5:$D$154,0))))),"")),IF($E6="","",IFERROR(INDEX(Referentiel!$H$54:$H$63,MATCH($E6,Referentiel!$A$54:$A$63,0)),"")))</f>
        <v>P045</v>
      </c>
      <c r="P6" s="10" t="str">
        <f>IFERROR(INDEX(Personnes!$C$5:$C$154,MATCH($O6,Personnes!$B$5:$B$154,0))&amp;"","")</f>
        <v>SEGUI</v>
      </c>
      <c r="Q6" s="10" t="str">
        <f>IFERROR(INDEX(Personnes!$D$5:$D$154,MATCH($O6,Personnes!$B$5:$B$154,0))&amp;"","")</f>
        <v>Danny</v>
      </c>
      <c r="R6" s="9"/>
      <c r="S6" s="9"/>
      <c r="T6" s="10">
        <f>IF($A6="","",COUNTIFS(Presences!$A$5:$A$504,$A6,Presences!$C$5:$C$504,"&lt;&gt;"))</f>
        <v>0</v>
      </c>
      <c r="U6" s="10" t="str">
        <f>IF($A6="","",IF(AND($J6&lt;&gt;"",$K6=""),"DP non reconnu",IF(AND($K6&lt;&gt;"",COUNTIF(Referentiel!$A$81:$A$110,$K6)=0),"DP sans qualification Sécurité valide",IF(AND($N6&lt;&gt;"",$O6=""),"responsable non reconnu",IF(AND($G6&lt;&gt;"",$G6&lt;&gt;"LC"),"créneau rattaché à un autre groupe",IF($I6&lt;&gt;"tenue","",IF(OR($K6="",$O6=""),"couverture incomplète","ok")))))))</f>
        <v/>
      </c>
    </row>
    <row r="7" spans="1:21" x14ac:dyDescent="0.2">
      <c r="A7" s="10" t="str">
        <f>IF($B7="","","S"&amp;TEXT(COUNTIF($B$5:$B7,"&lt;&gt;"),"000")&amp;" — "&amp;TEXT(DAY($B7),"00")&amp;"/"&amp;TEXT(MONTH($B7),"00")&amp;"/"&amp;YEAR($B7)&amp;" ("&amp;$C7&amp;")")</f>
        <v>S003 — 26/09/2026 (samedi)</v>
      </c>
      <c r="B7" s="14">
        <v>46291</v>
      </c>
      <c r="C7" s="10" t="str">
        <f>IF($B7="","",IFERROR(INDEX(Listes!$A$2:$A$8,WEEKDAY($B7,2)),""))</f>
        <v>samedi</v>
      </c>
      <c r="D7" s="15" t="s">
        <v>510</v>
      </c>
      <c r="E7" s="10" t="str">
        <f t="shared" si="0"/>
        <v>CR-SAM</v>
      </c>
      <c r="F7" s="10" t="str">
        <f>IFERROR(IF($E7="","",INDEX(Referentiel!$E$54:$E$63,MATCH($E7,Referentiel!$A$54:$A$63,0))&amp;""),"")</f>
        <v>B50</v>
      </c>
      <c r="G7" s="10" t="str">
        <f>IFERROR(IF($E7="","",INDEX(Referentiel!$F$54:$F$63,MATCH($E7,Referentiel!$A$54:$A$63,0))&amp;""),"")</f>
        <v>LC</v>
      </c>
      <c r="H7" s="15"/>
      <c r="I7" s="15" t="s">
        <v>511</v>
      </c>
      <c r="J7" s="15"/>
      <c r="K7" s="10" t="str">
        <f>IF($J7="","",IFERROR(IF(ISNUMBER(FIND("[",$J7)),MID($J7,FIND("[",$J7)+1,FIND("]",$J7)-FIND("[",$J7)-1),IF(ISNUMBER($J7),INDEX(Personnes!$B$5:$B$154,MATCH($J7,Personnes!$A$5:$A$154,0)),IFERROR(INDEX(Personnes!$B$5:$B$154,MATCH($J7&amp;"*",Personnes!$C$5:$C$154,0)),INDEX(Personnes!$B$5:$B$154,MATCH($J7&amp;"*",Personnes!$D$5:$D$154,0))))),""))</f>
        <v/>
      </c>
      <c r="L7" s="10" t="str">
        <f>IFERROR(INDEX(Personnes!$C$5:$C$154,MATCH($K7,Personnes!$B$5:$B$154,0))&amp;"","")</f>
        <v/>
      </c>
      <c r="M7" s="10" t="str">
        <f>IFERROR(INDEX(Personnes!$D$5:$D$154,MATCH($K7,Personnes!$B$5:$B$154,0))&amp;"","")</f>
        <v/>
      </c>
      <c r="N7" s="15"/>
      <c r="O7" s="10" t="str">
        <f>IF($N7&lt;&gt;"",IF($N7="","",IFERROR(IF(ISNUMBER(FIND("[",$N7)),MID($N7,FIND("[",$N7)+1,FIND("]",$N7)-FIND("[",$N7)-1),IF(ISNUMBER($N7),INDEX(Personnes!$B$5:$B$154,MATCH($N7,Personnes!$A$5:$A$154,0)),IFERROR(INDEX(Personnes!$B$5:$B$154,MATCH($N7&amp;"*",Personnes!$C$5:$C$154,0)),INDEX(Personnes!$B$5:$B$154,MATCH($N7&amp;"*",Personnes!$D$5:$D$154,0))))),"")),IF($E7="","",IFERROR(INDEX(Referentiel!$H$54:$H$63,MATCH($E7,Referentiel!$A$54:$A$63,0)),"")))</f>
        <v>P045</v>
      </c>
      <c r="P7" s="10" t="str">
        <f>IFERROR(INDEX(Personnes!$C$5:$C$154,MATCH($O7,Personnes!$B$5:$B$154,0))&amp;"","")</f>
        <v>SEGUI</v>
      </c>
      <c r="Q7" s="10" t="str">
        <f>IFERROR(INDEX(Personnes!$D$5:$D$154,MATCH($O7,Personnes!$B$5:$B$154,0))&amp;"","")</f>
        <v>Danny</v>
      </c>
      <c r="R7" s="9"/>
      <c r="S7" s="9"/>
      <c r="T7" s="10">
        <f>IF($A7="","",COUNTIFS(Presences!$A$5:$A$504,$A7,Presences!$C$5:$C$504,"&lt;&gt;"))</f>
        <v>0</v>
      </c>
      <c r="U7" s="10" t="str">
        <f>IF($A7="","",IF(AND($J7&lt;&gt;"",$K7=""),"DP non reconnu",IF(AND($K7&lt;&gt;"",COUNTIF(Referentiel!$A$81:$A$110,$K7)=0),"DP sans qualification Sécurité valide",IF(AND($N7&lt;&gt;"",$O7=""),"responsable non reconnu",IF(AND($G7&lt;&gt;"",$G7&lt;&gt;"LC"),"créneau rattaché à un autre groupe",IF($I7&lt;&gt;"tenue","",IF(OR($K7="",$O7=""),"couverture incomplète","ok")))))))</f>
        <v/>
      </c>
    </row>
    <row r="8" spans="1:21" x14ac:dyDescent="0.2">
      <c r="A8" s="10" t="str">
        <f>IF($B8="","","S"&amp;TEXT(COUNTIF($B$5:$B8,"&lt;&gt;"),"000")&amp;" — "&amp;TEXT(DAY($B8),"00")&amp;"/"&amp;TEXT(MONTH($B8),"00")&amp;"/"&amp;YEAR($B8)&amp;" ("&amp;$C8&amp;")")</f>
        <v>S004 — 03/10/2026 (samedi)</v>
      </c>
      <c r="B8" s="14">
        <v>46298</v>
      </c>
      <c r="C8" s="10" t="str">
        <f>IF($B8="","",IFERROR(INDEX(Listes!$A$2:$A$8,WEEKDAY($B8,2)),""))</f>
        <v>samedi</v>
      </c>
      <c r="D8" s="15" t="s">
        <v>510</v>
      </c>
      <c r="E8" s="10" t="str">
        <f t="shared" si="0"/>
        <v>CR-SAM</v>
      </c>
      <c r="F8" s="10" t="str">
        <f>IFERROR(IF($E8="","",INDEX(Referentiel!$E$54:$E$63,MATCH($E8,Referentiel!$A$54:$A$63,0))&amp;""),"")</f>
        <v>B50</v>
      </c>
      <c r="G8" s="10" t="str">
        <f>IFERROR(IF($E8="","",INDEX(Referentiel!$F$54:$F$63,MATCH($E8,Referentiel!$A$54:$A$63,0))&amp;""),"")</f>
        <v>LC</v>
      </c>
      <c r="H8" s="15"/>
      <c r="I8" s="15" t="s">
        <v>511</v>
      </c>
      <c r="J8" s="15"/>
      <c r="K8" s="10" t="str">
        <f>IF($J8="","",IFERROR(IF(ISNUMBER(FIND("[",$J8)),MID($J8,FIND("[",$J8)+1,FIND("]",$J8)-FIND("[",$J8)-1),IF(ISNUMBER($J8),INDEX(Personnes!$B$5:$B$154,MATCH($J8,Personnes!$A$5:$A$154,0)),IFERROR(INDEX(Personnes!$B$5:$B$154,MATCH($J8&amp;"*",Personnes!$C$5:$C$154,0)),INDEX(Personnes!$B$5:$B$154,MATCH($J8&amp;"*",Personnes!$D$5:$D$154,0))))),""))</f>
        <v/>
      </c>
      <c r="L8" s="10" t="str">
        <f>IFERROR(INDEX(Personnes!$C$5:$C$154,MATCH($K8,Personnes!$B$5:$B$154,0))&amp;"","")</f>
        <v/>
      </c>
      <c r="M8" s="10" t="str">
        <f>IFERROR(INDEX(Personnes!$D$5:$D$154,MATCH($K8,Personnes!$B$5:$B$154,0))&amp;"","")</f>
        <v/>
      </c>
      <c r="N8" s="15"/>
      <c r="O8" s="10" t="str">
        <f>IF($N8&lt;&gt;"",IF($N8="","",IFERROR(IF(ISNUMBER(FIND("[",$N8)),MID($N8,FIND("[",$N8)+1,FIND("]",$N8)-FIND("[",$N8)-1),IF(ISNUMBER($N8),INDEX(Personnes!$B$5:$B$154,MATCH($N8,Personnes!$A$5:$A$154,0)),IFERROR(INDEX(Personnes!$B$5:$B$154,MATCH($N8&amp;"*",Personnes!$C$5:$C$154,0)),INDEX(Personnes!$B$5:$B$154,MATCH($N8&amp;"*",Personnes!$D$5:$D$154,0))))),"")),IF($E8="","",IFERROR(INDEX(Referentiel!$H$54:$H$63,MATCH($E8,Referentiel!$A$54:$A$63,0)),"")))</f>
        <v>P045</v>
      </c>
      <c r="P8" s="10" t="str">
        <f>IFERROR(INDEX(Personnes!$C$5:$C$154,MATCH($O8,Personnes!$B$5:$B$154,0))&amp;"","")</f>
        <v>SEGUI</v>
      </c>
      <c r="Q8" s="10" t="str">
        <f>IFERROR(INDEX(Personnes!$D$5:$D$154,MATCH($O8,Personnes!$B$5:$B$154,0))&amp;"","")</f>
        <v>Danny</v>
      </c>
      <c r="R8" s="9"/>
      <c r="S8" s="9"/>
      <c r="T8" s="10">
        <f>IF($A8="","",COUNTIFS(Presences!$A$5:$A$504,$A8,Presences!$C$5:$C$504,"&lt;&gt;"))</f>
        <v>0</v>
      </c>
      <c r="U8" s="10" t="str">
        <f>IF($A8="","",IF(AND($J8&lt;&gt;"",$K8=""),"DP non reconnu",IF(AND($K8&lt;&gt;"",COUNTIF(Referentiel!$A$81:$A$110,$K8)=0),"DP sans qualification Sécurité valide",IF(AND($N8&lt;&gt;"",$O8=""),"responsable non reconnu",IF(AND($G8&lt;&gt;"",$G8&lt;&gt;"LC"),"créneau rattaché à un autre groupe",IF($I8&lt;&gt;"tenue","",IF(OR($K8="",$O8=""),"couverture incomplète","ok")))))))</f>
        <v/>
      </c>
    </row>
    <row r="9" spans="1:21" x14ac:dyDescent="0.2">
      <c r="A9" s="10" t="str">
        <f>IF($B9="","","S"&amp;TEXT(COUNTIF($B$5:$B9,"&lt;&gt;"),"000")&amp;" — "&amp;TEXT(DAY($B9),"00")&amp;"/"&amp;TEXT(MONTH($B9),"00")&amp;"/"&amp;YEAR($B9)&amp;" ("&amp;$C9&amp;")")</f>
        <v>S005 — 10/10/2026 (samedi)</v>
      </c>
      <c r="B9" s="14">
        <v>46305</v>
      </c>
      <c r="C9" s="10" t="str">
        <f>IF($B9="","",IFERROR(INDEX(Listes!$A$2:$A$8,WEEKDAY($B9,2)),""))</f>
        <v>samedi</v>
      </c>
      <c r="D9" s="15" t="s">
        <v>510</v>
      </c>
      <c r="E9" s="10" t="str">
        <f t="shared" si="0"/>
        <v>CR-SAM</v>
      </c>
      <c r="F9" s="10" t="str">
        <f>IFERROR(IF($E9="","",INDEX(Referentiel!$E$54:$E$63,MATCH($E9,Referentiel!$A$54:$A$63,0))&amp;""),"")</f>
        <v>B50</v>
      </c>
      <c r="G9" s="10" t="str">
        <f>IFERROR(IF($E9="","",INDEX(Referentiel!$F$54:$F$63,MATCH($E9,Referentiel!$A$54:$A$63,0))&amp;""),"")</f>
        <v>LC</v>
      </c>
      <c r="H9" s="15"/>
      <c r="I9" s="15" t="s">
        <v>511</v>
      </c>
      <c r="J9" s="15"/>
      <c r="K9" s="10" t="str">
        <f>IF($J9="","",IFERROR(IF(ISNUMBER(FIND("[",$J9)),MID($J9,FIND("[",$J9)+1,FIND("]",$J9)-FIND("[",$J9)-1),IF(ISNUMBER($J9),INDEX(Personnes!$B$5:$B$154,MATCH($J9,Personnes!$A$5:$A$154,0)),IFERROR(INDEX(Personnes!$B$5:$B$154,MATCH($J9&amp;"*",Personnes!$C$5:$C$154,0)),INDEX(Personnes!$B$5:$B$154,MATCH($J9&amp;"*",Personnes!$D$5:$D$154,0))))),""))</f>
        <v/>
      </c>
      <c r="L9" s="10" t="str">
        <f>IFERROR(INDEX(Personnes!$C$5:$C$154,MATCH($K9,Personnes!$B$5:$B$154,0))&amp;"","")</f>
        <v/>
      </c>
      <c r="M9" s="10" t="str">
        <f>IFERROR(INDEX(Personnes!$D$5:$D$154,MATCH($K9,Personnes!$B$5:$B$154,0))&amp;"","")</f>
        <v/>
      </c>
      <c r="N9" s="15"/>
      <c r="O9" s="10" t="str">
        <f>IF($N9&lt;&gt;"",IF($N9="","",IFERROR(IF(ISNUMBER(FIND("[",$N9)),MID($N9,FIND("[",$N9)+1,FIND("]",$N9)-FIND("[",$N9)-1),IF(ISNUMBER($N9),INDEX(Personnes!$B$5:$B$154,MATCH($N9,Personnes!$A$5:$A$154,0)),IFERROR(INDEX(Personnes!$B$5:$B$154,MATCH($N9&amp;"*",Personnes!$C$5:$C$154,0)),INDEX(Personnes!$B$5:$B$154,MATCH($N9&amp;"*",Personnes!$D$5:$D$154,0))))),"")),IF($E9="","",IFERROR(INDEX(Referentiel!$H$54:$H$63,MATCH($E9,Referentiel!$A$54:$A$63,0)),"")))</f>
        <v>P045</v>
      </c>
      <c r="P9" s="10" t="str">
        <f>IFERROR(INDEX(Personnes!$C$5:$C$154,MATCH($O9,Personnes!$B$5:$B$154,0))&amp;"","")</f>
        <v>SEGUI</v>
      </c>
      <c r="Q9" s="10" t="str">
        <f>IFERROR(INDEX(Personnes!$D$5:$D$154,MATCH($O9,Personnes!$B$5:$B$154,0))&amp;"","")</f>
        <v>Danny</v>
      </c>
      <c r="R9" s="9"/>
      <c r="S9" s="9"/>
      <c r="T9" s="10">
        <f>IF($A9="","",COUNTIFS(Presences!$A$5:$A$504,$A9,Presences!$C$5:$C$504,"&lt;&gt;"))</f>
        <v>0</v>
      </c>
      <c r="U9" s="10" t="str">
        <f>IF($A9="","",IF(AND($J9&lt;&gt;"",$K9=""),"DP non reconnu",IF(AND($K9&lt;&gt;"",COUNTIF(Referentiel!$A$81:$A$110,$K9)=0),"DP sans qualification Sécurité valide",IF(AND($N9&lt;&gt;"",$O9=""),"responsable non reconnu",IF(AND($G9&lt;&gt;"",$G9&lt;&gt;"LC"),"créneau rattaché à un autre groupe",IF($I9&lt;&gt;"tenue","",IF(OR($K9="",$O9=""),"couverture incomplète","ok")))))))</f>
        <v/>
      </c>
    </row>
    <row r="10" spans="1:21" x14ac:dyDescent="0.2">
      <c r="A10" s="10" t="str">
        <f>IF($B10="","","S"&amp;TEXT(COUNTIF($B$5:$B10,"&lt;&gt;"),"000")&amp;" — "&amp;TEXT(DAY($B10),"00")&amp;"/"&amp;TEXT(MONTH($B10),"00")&amp;"/"&amp;YEAR($B10)&amp;" ("&amp;$C10&amp;")")</f>
        <v>S006 — 17/10/2026 (samedi)</v>
      </c>
      <c r="B10" s="14">
        <v>46312</v>
      </c>
      <c r="C10" s="10" t="str">
        <f>IF($B10="","",IFERROR(INDEX(Listes!$A$2:$A$8,WEEKDAY($B10,2)),""))</f>
        <v>samedi</v>
      </c>
      <c r="D10" s="15" t="s">
        <v>510</v>
      </c>
      <c r="E10" s="10" t="str">
        <f t="shared" si="0"/>
        <v>CR-SAM</v>
      </c>
      <c r="F10" s="10" t="str">
        <f>IFERROR(IF($E10="","",INDEX(Referentiel!$E$54:$E$63,MATCH($E10,Referentiel!$A$54:$A$63,0))&amp;""),"")</f>
        <v>B50</v>
      </c>
      <c r="G10" s="10" t="str">
        <f>IFERROR(IF($E10="","",INDEX(Referentiel!$F$54:$F$63,MATCH($E10,Referentiel!$A$54:$A$63,0))&amp;""),"")</f>
        <v>LC</v>
      </c>
      <c r="H10" s="15"/>
      <c r="I10" s="15" t="s">
        <v>511</v>
      </c>
      <c r="J10" s="15"/>
      <c r="K10" s="10" t="str">
        <f>IF($J10="","",IFERROR(IF(ISNUMBER(FIND("[",$J10)),MID($J10,FIND("[",$J10)+1,FIND("]",$J10)-FIND("[",$J10)-1),IF(ISNUMBER($J10),INDEX(Personnes!$B$5:$B$154,MATCH($J10,Personnes!$A$5:$A$154,0)),IFERROR(INDEX(Personnes!$B$5:$B$154,MATCH($J10&amp;"*",Personnes!$C$5:$C$154,0)),INDEX(Personnes!$B$5:$B$154,MATCH($J10&amp;"*",Personnes!$D$5:$D$154,0))))),""))</f>
        <v/>
      </c>
      <c r="L10" s="10" t="str">
        <f>IFERROR(INDEX(Personnes!$C$5:$C$154,MATCH($K10,Personnes!$B$5:$B$154,0))&amp;"","")</f>
        <v/>
      </c>
      <c r="M10" s="10" t="str">
        <f>IFERROR(INDEX(Personnes!$D$5:$D$154,MATCH($K10,Personnes!$B$5:$B$154,0))&amp;"","")</f>
        <v/>
      </c>
      <c r="N10" s="15"/>
      <c r="O10" s="10" t="str">
        <f>IF($N10&lt;&gt;"",IF($N10="","",IFERROR(IF(ISNUMBER(FIND("[",$N10)),MID($N10,FIND("[",$N10)+1,FIND("]",$N10)-FIND("[",$N10)-1),IF(ISNUMBER($N10),INDEX(Personnes!$B$5:$B$154,MATCH($N10,Personnes!$A$5:$A$154,0)),IFERROR(INDEX(Personnes!$B$5:$B$154,MATCH($N10&amp;"*",Personnes!$C$5:$C$154,0)),INDEX(Personnes!$B$5:$B$154,MATCH($N10&amp;"*",Personnes!$D$5:$D$154,0))))),"")),IF($E10="","",IFERROR(INDEX(Referentiel!$H$54:$H$63,MATCH($E10,Referentiel!$A$54:$A$63,0)),"")))</f>
        <v>P045</v>
      </c>
      <c r="P10" s="10" t="str">
        <f>IFERROR(INDEX(Personnes!$C$5:$C$154,MATCH($O10,Personnes!$B$5:$B$154,0))&amp;"","")</f>
        <v>SEGUI</v>
      </c>
      <c r="Q10" s="10" t="str">
        <f>IFERROR(INDEX(Personnes!$D$5:$D$154,MATCH($O10,Personnes!$B$5:$B$154,0))&amp;"","")</f>
        <v>Danny</v>
      </c>
      <c r="R10" s="9"/>
      <c r="S10" s="9"/>
      <c r="T10" s="10">
        <f>IF($A10="","",COUNTIFS(Presences!$A$5:$A$504,$A10,Presences!$C$5:$C$504,"&lt;&gt;"))</f>
        <v>0</v>
      </c>
      <c r="U10" s="10" t="str">
        <f>IF($A10="","",IF(AND($J10&lt;&gt;"",$K10=""),"DP non reconnu",IF(AND($K10&lt;&gt;"",COUNTIF(Referentiel!$A$81:$A$110,$K10)=0),"DP sans qualification Sécurité valide",IF(AND($N10&lt;&gt;"",$O10=""),"responsable non reconnu",IF(AND($G10&lt;&gt;"",$G10&lt;&gt;"LC"),"créneau rattaché à un autre groupe",IF($I10&lt;&gt;"tenue","",IF(OR($K10="",$O10=""),"couverture incomplète","ok")))))))</f>
        <v/>
      </c>
    </row>
    <row r="11" spans="1:21" x14ac:dyDescent="0.2">
      <c r="A11" s="10" t="str">
        <f>IF($B11="","","S"&amp;TEXT(COUNTIF($B$5:$B11,"&lt;&gt;"),"000")&amp;" — "&amp;TEXT(DAY($B11),"00")&amp;"/"&amp;TEXT(MONTH($B11),"00")&amp;"/"&amp;YEAR($B11)&amp;" ("&amp;$C11&amp;")")</f>
        <v>S007 — 24/10/2026 (samedi)</v>
      </c>
      <c r="B11" s="14">
        <v>46319</v>
      </c>
      <c r="C11" s="10" t="str">
        <f>IF($B11="","",IFERROR(INDEX(Listes!$A$2:$A$8,WEEKDAY($B11,2)),""))</f>
        <v>samedi</v>
      </c>
      <c r="D11" s="15" t="s">
        <v>510</v>
      </c>
      <c r="E11" s="10" t="str">
        <f t="shared" si="0"/>
        <v>CR-SAM</v>
      </c>
      <c r="F11" s="10" t="str">
        <f>IFERROR(IF($E11="","",INDEX(Referentiel!$E$54:$E$63,MATCH($E11,Referentiel!$A$54:$A$63,0))&amp;""),"")</f>
        <v>B50</v>
      </c>
      <c r="G11" s="10" t="str">
        <f>IFERROR(IF($E11="","",INDEX(Referentiel!$F$54:$F$63,MATCH($E11,Referentiel!$A$54:$A$63,0))&amp;""),"")</f>
        <v>LC</v>
      </c>
      <c r="H11" s="15"/>
      <c r="I11" s="15" t="s">
        <v>511</v>
      </c>
      <c r="J11" s="15"/>
      <c r="K11" s="10" t="str">
        <f>IF($J11="","",IFERROR(IF(ISNUMBER(FIND("[",$J11)),MID($J11,FIND("[",$J11)+1,FIND("]",$J11)-FIND("[",$J11)-1),IF(ISNUMBER($J11),INDEX(Personnes!$B$5:$B$154,MATCH($J11,Personnes!$A$5:$A$154,0)),IFERROR(INDEX(Personnes!$B$5:$B$154,MATCH($J11&amp;"*",Personnes!$C$5:$C$154,0)),INDEX(Personnes!$B$5:$B$154,MATCH($J11&amp;"*",Personnes!$D$5:$D$154,0))))),""))</f>
        <v/>
      </c>
      <c r="L11" s="10" t="str">
        <f>IFERROR(INDEX(Personnes!$C$5:$C$154,MATCH($K11,Personnes!$B$5:$B$154,0))&amp;"","")</f>
        <v/>
      </c>
      <c r="M11" s="10" t="str">
        <f>IFERROR(INDEX(Personnes!$D$5:$D$154,MATCH($K11,Personnes!$B$5:$B$154,0))&amp;"","")</f>
        <v/>
      </c>
      <c r="N11" s="15"/>
      <c r="O11" s="10" t="str">
        <f>IF($N11&lt;&gt;"",IF($N11="","",IFERROR(IF(ISNUMBER(FIND("[",$N11)),MID($N11,FIND("[",$N11)+1,FIND("]",$N11)-FIND("[",$N11)-1),IF(ISNUMBER($N11),INDEX(Personnes!$B$5:$B$154,MATCH($N11,Personnes!$A$5:$A$154,0)),IFERROR(INDEX(Personnes!$B$5:$B$154,MATCH($N11&amp;"*",Personnes!$C$5:$C$154,0)),INDEX(Personnes!$B$5:$B$154,MATCH($N11&amp;"*",Personnes!$D$5:$D$154,0))))),"")),IF($E11="","",IFERROR(INDEX(Referentiel!$H$54:$H$63,MATCH($E11,Referentiel!$A$54:$A$63,0)),"")))</f>
        <v>P045</v>
      </c>
      <c r="P11" s="10" t="str">
        <f>IFERROR(INDEX(Personnes!$C$5:$C$154,MATCH($O11,Personnes!$B$5:$B$154,0))&amp;"","")</f>
        <v>SEGUI</v>
      </c>
      <c r="Q11" s="10" t="str">
        <f>IFERROR(INDEX(Personnes!$D$5:$D$154,MATCH($O11,Personnes!$B$5:$B$154,0))&amp;"","")</f>
        <v>Danny</v>
      </c>
      <c r="R11" s="9"/>
      <c r="S11" s="9"/>
      <c r="T11" s="10">
        <f>IF($A11="","",COUNTIFS(Presences!$A$5:$A$504,$A11,Presences!$C$5:$C$504,"&lt;&gt;"))</f>
        <v>0</v>
      </c>
      <c r="U11" s="10" t="str">
        <f>IF($A11="","",IF(AND($J11&lt;&gt;"",$K11=""),"DP non reconnu",IF(AND($K11&lt;&gt;"",COUNTIF(Referentiel!$A$81:$A$110,$K11)=0),"DP sans qualification Sécurité valide",IF(AND($N11&lt;&gt;"",$O11=""),"responsable non reconnu",IF(AND($G11&lt;&gt;"",$G11&lt;&gt;"LC"),"créneau rattaché à un autre groupe",IF($I11&lt;&gt;"tenue","",IF(OR($K11="",$O11=""),"couverture incomplète","ok")))))))</f>
        <v/>
      </c>
    </row>
    <row r="12" spans="1:21" x14ac:dyDescent="0.2">
      <c r="A12" s="10" t="str">
        <f>IF($B12="","","S"&amp;TEXT(COUNTIF($B$5:$B12,"&lt;&gt;"),"000")&amp;" — "&amp;TEXT(DAY($B12),"00")&amp;"/"&amp;TEXT(MONTH($B12),"00")&amp;"/"&amp;YEAR($B12)&amp;" ("&amp;$C12&amp;")")</f>
        <v>S008 — 31/10/2026 (samedi)</v>
      </c>
      <c r="B12" s="14">
        <v>46326</v>
      </c>
      <c r="C12" s="10" t="str">
        <f>IF($B12="","",IFERROR(INDEX(Listes!$A$2:$A$8,WEEKDAY($B12,2)),""))</f>
        <v>samedi</v>
      </c>
      <c r="D12" s="15" t="s">
        <v>510</v>
      </c>
      <c r="E12" s="10" t="str">
        <f t="shared" si="0"/>
        <v>CR-SAM</v>
      </c>
      <c r="F12" s="10" t="str">
        <f>IFERROR(IF($E12="","",INDEX(Referentiel!$E$54:$E$63,MATCH($E12,Referentiel!$A$54:$A$63,0))&amp;""),"")</f>
        <v>B50</v>
      </c>
      <c r="G12" s="10" t="str">
        <f>IFERROR(IF($E12="","",INDEX(Referentiel!$F$54:$F$63,MATCH($E12,Referentiel!$A$54:$A$63,0))&amp;""),"")</f>
        <v>LC</v>
      </c>
      <c r="H12" s="15"/>
      <c r="I12" s="15" t="s">
        <v>511</v>
      </c>
      <c r="J12" s="15"/>
      <c r="K12" s="10" t="str">
        <f>IF($J12="","",IFERROR(IF(ISNUMBER(FIND("[",$J12)),MID($J12,FIND("[",$J12)+1,FIND("]",$J12)-FIND("[",$J12)-1),IF(ISNUMBER($J12),INDEX(Personnes!$B$5:$B$154,MATCH($J12,Personnes!$A$5:$A$154,0)),IFERROR(INDEX(Personnes!$B$5:$B$154,MATCH($J12&amp;"*",Personnes!$C$5:$C$154,0)),INDEX(Personnes!$B$5:$B$154,MATCH($J12&amp;"*",Personnes!$D$5:$D$154,0))))),""))</f>
        <v/>
      </c>
      <c r="L12" s="10" t="str">
        <f>IFERROR(INDEX(Personnes!$C$5:$C$154,MATCH($K12,Personnes!$B$5:$B$154,0))&amp;"","")</f>
        <v/>
      </c>
      <c r="M12" s="10" t="str">
        <f>IFERROR(INDEX(Personnes!$D$5:$D$154,MATCH($K12,Personnes!$B$5:$B$154,0))&amp;"","")</f>
        <v/>
      </c>
      <c r="N12" s="15"/>
      <c r="O12" s="10" t="str">
        <f>IF($N12&lt;&gt;"",IF($N12="","",IFERROR(IF(ISNUMBER(FIND("[",$N12)),MID($N12,FIND("[",$N12)+1,FIND("]",$N12)-FIND("[",$N12)-1),IF(ISNUMBER($N12),INDEX(Personnes!$B$5:$B$154,MATCH($N12,Personnes!$A$5:$A$154,0)),IFERROR(INDEX(Personnes!$B$5:$B$154,MATCH($N12&amp;"*",Personnes!$C$5:$C$154,0)),INDEX(Personnes!$B$5:$B$154,MATCH($N12&amp;"*",Personnes!$D$5:$D$154,0))))),"")),IF($E12="","",IFERROR(INDEX(Referentiel!$H$54:$H$63,MATCH($E12,Referentiel!$A$54:$A$63,0)),"")))</f>
        <v>P045</v>
      </c>
      <c r="P12" s="10" t="str">
        <f>IFERROR(INDEX(Personnes!$C$5:$C$154,MATCH($O12,Personnes!$B$5:$B$154,0))&amp;"","")</f>
        <v>SEGUI</v>
      </c>
      <c r="Q12" s="10" t="str">
        <f>IFERROR(INDEX(Personnes!$D$5:$D$154,MATCH($O12,Personnes!$B$5:$B$154,0))&amp;"","")</f>
        <v>Danny</v>
      </c>
      <c r="R12" s="9"/>
      <c r="S12" s="9"/>
      <c r="T12" s="10">
        <f>IF($A12="","",COUNTIFS(Presences!$A$5:$A$504,$A12,Presences!$C$5:$C$504,"&lt;&gt;"))</f>
        <v>0</v>
      </c>
      <c r="U12" s="10" t="str">
        <f>IF($A12="","",IF(AND($J12&lt;&gt;"",$K12=""),"DP non reconnu",IF(AND($K12&lt;&gt;"",COUNTIF(Referentiel!$A$81:$A$110,$K12)=0),"DP sans qualification Sécurité valide",IF(AND($N12&lt;&gt;"",$O12=""),"responsable non reconnu",IF(AND($G12&lt;&gt;"",$G12&lt;&gt;"LC"),"créneau rattaché à un autre groupe",IF($I12&lt;&gt;"tenue","",IF(OR($K12="",$O12=""),"couverture incomplète","ok")))))))</f>
        <v/>
      </c>
    </row>
    <row r="13" spans="1:21" x14ac:dyDescent="0.2">
      <c r="A13" s="10" t="str">
        <f>IF($B13="","","S"&amp;TEXT(COUNTIF($B$5:$B13,"&lt;&gt;"),"000")&amp;" — "&amp;TEXT(DAY($B13),"00")&amp;"/"&amp;TEXT(MONTH($B13),"00")&amp;"/"&amp;YEAR($B13)&amp;" ("&amp;$C13&amp;")")</f>
        <v>S009 — 07/11/2026 (samedi)</v>
      </c>
      <c r="B13" s="14">
        <v>46333</v>
      </c>
      <c r="C13" s="10" t="str">
        <f>IF($B13="","",IFERROR(INDEX(Listes!$A$2:$A$8,WEEKDAY($B13,2)),""))</f>
        <v>samedi</v>
      </c>
      <c r="D13" s="15" t="s">
        <v>510</v>
      </c>
      <c r="E13" s="10" t="str">
        <f t="shared" si="0"/>
        <v>CR-SAM</v>
      </c>
      <c r="F13" s="10" t="str">
        <f>IFERROR(IF($E13="","",INDEX(Referentiel!$E$54:$E$63,MATCH($E13,Referentiel!$A$54:$A$63,0))&amp;""),"")</f>
        <v>B50</v>
      </c>
      <c r="G13" s="10" t="str">
        <f>IFERROR(IF($E13="","",INDEX(Referentiel!$F$54:$F$63,MATCH($E13,Referentiel!$A$54:$A$63,0))&amp;""),"")</f>
        <v>LC</v>
      </c>
      <c r="H13" s="15"/>
      <c r="I13" s="15" t="s">
        <v>511</v>
      </c>
      <c r="J13" s="15"/>
      <c r="K13" s="10" t="str">
        <f>IF($J13="","",IFERROR(IF(ISNUMBER(FIND("[",$J13)),MID($J13,FIND("[",$J13)+1,FIND("]",$J13)-FIND("[",$J13)-1),IF(ISNUMBER($J13),INDEX(Personnes!$B$5:$B$154,MATCH($J13,Personnes!$A$5:$A$154,0)),IFERROR(INDEX(Personnes!$B$5:$B$154,MATCH($J13&amp;"*",Personnes!$C$5:$C$154,0)),INDEX(Personnes!$B$5:$B$154,MATCH($J13&amp;"*",Personnes!$D$5:$D$154,0))))),""))</f>
        <v/>
      </c>
      <c r="L13" s="10" t="str">
        <f>IFERROR(INDEX(Personnes!$C$5:$C$154,MATCH($K13,Personnes!$B$5:$B$154,0))&amp;"","")</f>
        <v/>
      </c>
      <c r="M13" s="10" t="str">
        <f>IFERROR(INDEX(Personnes!$D$5:$D$154,MATCH($K13,Personnes!$B$5:$B$154,0))&amp;"","")</f>
        <v/>
      </c>
      <c r="N13" s="15"/>
      <c r="O13" s="10" t="str">
        <f>IF($N13&lt;&gt;"",IF($N13="","",IFERROR(IF(ISNUMBER(FIND("[",$N13)),MID($N13,FIND("[",$N13)+1,FIND("]",$N13)-FIND("[",$N13)-1),IF(ISNUMBER($N13),INDEX(Personnes!$B$5:$B$154,MATCH($N13,Personnes!$A$5:$A$154,0)),IFERROR(INDEX(Personnes!$B$5:$B$154,MATCH($N13&amp;"*",Personnes!$C$5:$C$154,0)),INDEX(Personnes!$B$5:$B$154,MATCH($N13&amp;"*",Personnes!$D$5:$D$154,0))))),"")),IF($E13="","",IFERROR(INDEX(Referentiel!$H$54:$H$63,MATCH($E13,Referentiel!$A$54:$A$63,0)),"")))</f>
        <v>P045</v>
      </c>
      <c r="P13" s="10" t="str">
        <f>IFERROR(INDEX(Personnes!$C$5:$C$154,MATCH($O13,Personnes!$B$5:$B$154,0))&amp;"","")</f>
        <v>SEGUI</v>
      </c>
      <c r="Q13" s="10" t="str">
        <f>IFERROR(INDEX(Personnes!$D$5:$D$154,MATCH($O13,Personnes!$B$5:$B$154,0))&amp;"","")</f>
        <v>Danny</v>
      </c>
      <c r="R13" s="9"/>
      <c r="S13" s="9"/>
      <c r="T13" s="10">
        <f>IF($A13="","",COUNTIFS(Presences!$A$5:$A$504,$A13,Presences!$C$5:$C$504,"&lt;&gt;"))</f>
        <v>0</v>
      </c>
      <c r="U13" s="10" t="str">
        <f>IF($A13="","",IF(AND($J13&lt;&gt;"",$K13=""),"DP non reconnu",IF(AND($K13&lt;&gt;"",COUNTIF(Referentiel!$A$81:$A$110,$K13)=0),"DP sans qualification Sécurité valide",IF(AND($N13&lt;&gt;"",$O13=""),"responsable non reconnu",IF(AND($G13&lt;&gt;"",$G13&lt;&gt;"LC"),"créneau rattaché à un autre groupe",IF($I13&lt;&gt;"tenue","",IF(OR($K13="",$O13=""),"couverture incomplète","ok")))))))</f>
        <v/>
      </c>
    </row>
    <row r="14" spans="1:21" x14ac:dyDescent="0.2">
      <c r="A14" s="10" t="str">
        <f>IF($B14="","","S"&amp;TEXT(COUNTIF($B$5:$B14,"&lt;&gt;"),"000")&amp;" — "&amp;TEXT(DAY($B14),"00")&amp;"/"&amp;TEXT(MONTH($B14),"00")&amp;"/"&amp;YEAR($B14)&amp;" ("&amp;$C14&amp;")")</f>
        <v>S010 — 14/11/2026 (samedi)</v>
      </c>
      <c r="B14" s="14">
        <v>46340</v>
      </c>
      <c r="C14" s="10" t="str">
        <f>IF($B14="","",IFERROR(INDEX(Listes!$A$2:$A$8,WEEKDAY($B14,2)),""))</f>
        <v>samedi</v>
      </c>
      <c r="D14" s="15" t="s">
        <v>510</v>
      </c>
      <c r="E14" s="10" t="str">
        <f t="shared" si="0"/>
        <v>CR-SAM</v>
      </c>
      <c r="F14" s="10" t="str">
        <f>IFERROR(IF($E14="","",INDEX(Referentiel!$E$54:$E$63,MATCH($E14,Referentiel!$A$54:$A$63,0))&amp;""),"")</f>
        <v>B50</v>
      </c>
      <c r="G14" s="10" t="str">
        <f>IFERROR(IF($E14="","",INDEX(Referentiel!$F$54:$F$63,MATCH($E14,Referentiel!$A$54:$A$63,0))&amp;""),"")</f>
        <v>LC</v>
      </c>
      <c r="H14" s="15"/>
      <c r="I14" s="15" t="s">
        <v>511</v>
      </c>
      <c r="J14" s="15"/>
      <c r="K14" s="10" t="str">
        <f>IF($J14="","",IFERROR(IF(ISNUMBER(FIND("[",$J14)),MID($J14,FIND("[",$J14)+1,FIND("]",$J14)-FIND("[",$J14)-1),IF(ISNUMBER($J14),INDEX(Personnes!$B$5:$B$154,MATCH($J14,Personnes!$A$5:$A$154,0)),IFERROR(INDEX(Personnes!$B$5:$B$154,MATCH($J14&amp;"*",Personnes!$C$5:$C$154,0)),INDEX(Personnes!$B$5:$B$154,MATCH($J14&amp;"*",Personnes!$D$5:$D$154,0))))),""))</f>
        <v/>
      </c>
      <c r="L14" s="10" t="str">
        <f>IFERROR(INDEX(Personnes!$C$5:$C$154,MATCH($K14,Personnes!$B$5:$B$154,0))&amp;"","")</f>
        <v/>
      </c>
      <c r="M14" s="10" t="str">
        <f>IFERROR(INDEX(Personnes!$D$5:$D$154,MATCH($K14,Personnes!$B$5:$B$154,0))&amp;"","")</f>
        <v/>
      </c>
      <c r="N14" s="15"/>
      <c r="O14" s="10" t="str">
        <f>IF($N14&lt;&gt;"",IF($N14="","",IFERROR(IF(ISNUMBER(FIND("[",$N14)),MID($N14,FIND("[",$N14)+1,FIND("]",$N14)-FIND("[",$N14)-1),IF(ISNUMBER($N14),INDEX(Personnes!$B$5:$B$154,MATCH($N14,Personnes!$A$5:$A$154,0)),IFERROR(INDEX(Personnes!$B$5:$B$154,MATCH($N14&amp;"*",Personnes!$C$5:$C$154,0)),INDEX(Personnes!$B$5:$B$154,MATCH($N14&amp;"*",Personnes!$D$5:$D$154,0))))),"")),IF($E14="","",IFERROR(INDEX(Referentiel!$H$54:$H$63,MATCH($E14,Referentiel!$A$54:$A$63,0)),"")))</f>
        <v>P045</v>
      </c>
      <c r="P14" s="10" t="str">
        <f>IFERROR(INDEX(Personnes!$C$5:$C$154,MATCH($O14,Personnes!$B$5:$B$154,0))&amp;"","")</f>
        <v>SEGUI</v>
      </c>
      <c r="Q14" s="10" t="str">
        <f>IFERROR(INDEX(Personnes!$D$5:$D$154,MATCH($O14,Personnes!$B$5:$B$154,0))&amp;"","")</f>
        <v>Danny</v>
      </c>
      <c r="R14" s="9"/>
      <c r="S14" s="9"/>
      <c r="T14" s="10">
        <f>IF($A14="","",COUNTIFS(Presences!$A$5:$A$504,$A14,Presences!$C$5:$C$504,"&lt;&gt;"))</f>
        <v>0</v>
      </c>
      <c r="U14" s="10" t="str">
        <f>IF($A14="","",IF(AND($J14&lt;&gt;"",$K14=""),"DP non reconnu",IF(AND($K14&lt;&gt;"",COUNTIF(Referentiel!$A$81:$A$110,$K14)=0),"DP sans qualification Sécurité valide",IF(AND($N14&lt;&gt;"",$O14=""),"responsable non reconnu",IF(AND($G14&lt;&gt;"",$G14&lt;&gt;"LC"),"créneau rattaché à un autre groupe",IF($I14&lt;&gt;"tenue","",IF(OR($K14="",$O14=""),"couverture incomplète","ok")))))))</f>
        <v/>
      </c>
    </row>
    <row r="15" spans="1:21" x14ac:dyDescent="0.2">
      <c r="A15" s="10" t="str">
        <f>IF($B15="","","S"&amp;TEXT(COUNTIF($B$5:$B15,"&lt;&gt;"),"000")&amp;" — "&amp;TEXT(DAY($B15),"00")&amp;"/"&amp;TEXT(MONTH($B15),"00")&amp;"/"&amp;YEAR($B15)&amp;" ("&amp;$C15&amp;")")</f>
        <v>S011 — 21/11/2026 (samedi)</v>
      </c>
      <c r="B15" s="14">
        <v>46347</v>
      </c>
      <c r="C15" s="10" t="str">
        <f>IF($B15="","",IFERROR(INDEX(Listes!$A$2:$A$8,WEEKDAY($B15,2)),""))</f>
        <v>samedi</v>
      </c>
      <c r="D15" s="15" t="s">
        <v>510</v>
      </c>
      <c r="E15" s="10" t="str">
        <f t="shared" si="0"/>
        <v>CR-SAM</v>
      </c>
      <c r="F15" s="10" t="str">
        <f>IFERROR(IF($E15="","",INDEX(Referentiel!$E$54:$E$63,MATCH($E15,Referentiel!$A$54:$A$63,0))&amp;""),"")</f>
        <v>B50</v>
      </c>
      <c r="G15" s="10" t="str">
        <f>IFERROR(IF($E15="","",INDEX(Referentiel!$F$54:$F$63,MATCH($E15,Referentiel!$A$54:$A$63,0))&amp;""),"")</f>
        <v>LC</v>
      </c>
      <c r="H15" s="15"/>
      <c r="I15" s="15" t="s">
        <v>511</v>
      </c>
      <c r="J15" s="15"/>
      <c r="K15" s="10" t="str">
        <f>IF($J15="","",IFERROR(IF(ISNUMBER(FIND("[",$J15)),MID($J15,FIND("[",$J15)+1,FIND("]",$J15)-FIND("[",$J15)-1),IF(ISNUMBER($J15),INDEX(Personnes!$B$5:$B$154,MATCH($J15,Personnes!$A$5:$A$154,0)),IFERROR(INDEX(Personnes!$B$5:$B$154,MATCH($J15&amp;"*",Personnes!$C$5:$C$154,0)),INDEX(Personnes!$B$5:$B$154,MATCH($J15&amp;"*",Personnes!$D$5:$D$154,0))))),""))</f>
        <v/>
      </c>
      <c r="L15" s="10" t="str">
        <f>IFERROR(INDEX(Personnes!$C$5:$C$154,MATCH($K15,Personnes!$B$5:$B$154,0))&amp;"","")</f>
        <v/>
      </c>
      <c r="M15" s="10" t="str">
        <f>IFERROR(INDEX(Personnes!$D$5:$D$154,MATCH($K15,Personnes!$B$5:$B$154,0))&amp;"","")</f>
        <v/>
      </c>
      <c r="N15" s="15"/>
      <c r="O15" s="10" t="str">
        <f>IF($N15&lt;&gt;"",IF($N15="","",IFERROR(IF(ISNUMBER(FIND("[",$N15)),MID($N15,FIND("[",$N15)+1,FIND("]",$N15)-FIND("[",$N15)-1),IF(ISNUMBER($N15),INDEX(Personnes!$B$5:$B$154,MATCH($N15,Personnes!$A$5:$A$154,0)),IFERROR(INDEX(Personnes!$B$5:$B$154,MATCH($N15&amp;"*",Personnes!$C$5:$C$154,0)),INDEX(Personnes!$B$5:$B$154,MATCH($N15&amp;"*",Personnes!$D$5:$D$154,0))))),"")),IF($E15="","",IFERROR(INDEX(Referentiel!$H$54:$H$63,MATCH($E15,Referentiel!$A$54:$A$63,0)),"")))</f>
        <v>P045</v>
      </c>
      <c r="P15" s="10" t="str">
        <f>IFERROR(INDEX(Personnes!$C$5:$C$154,MATCH($O15,Personnes!$B$5:$B$154,0))&amp;"","")</f>
        <v>SEGUI</v>
      </c>
      <c r="Q15" s="10" t="str">
        <f>IFERROR(INDEX(Personnes!$D$5:$D$154,MATCH($O15,Personnes!$B$5:$B$154,0))&amp;"","")</f>
        <v>Danny</v>
      </c>
      <c r="R15" s="9"/>
      <c r="S15" s="9"/>
      <c r="T15" s="10">
        <f>IF($A15="","",COUNTIFS(Presences!$A$5:$A$504,$A15,Presences!$C$5:$C$504,"&lt;&gt;"))</f>
        <v>0</v>
      </c>
      <c r="U15" s="10" t="str">
        <f>IF($A15="","",IF(AND($J15&lt;&gt;"",$K15=""),"DP non reconnu",IF(AND($K15&lt;&gt;"",COUNTIF(Referentiel!$A$81:$A$110,$K15)=0),"DP sans qualification Sécurité valide",IF(AND($N15&lt;&gt;"",$O15=""),"responsable non reconnu",IF(AND($G15&lt;&gt;"",$G15&lt;&gt;"LC"),"créneau rattaché à un autre groupe",IF($I15&lt;&gt;"tenue","",IF(OR($K15="",$O15=""),"couverture incomplète","ok")))))))</f>
        <v/>
      </c>
    </row>
    <row r="16" spans="1:21" x14ac:dyDescent="0.2">
      <c r="A16" s="10" t="str">
        <f>IF($B16="","","S"&amp;TEXT(COUNTIF($B$5:$B16,"&lt;&gt;"),"000")&amp;" — "&amp;TEXT(DAY($B16),"00")&amp;"/"&amp;TEXT(MONTH($B16),"00")&amp;"/"&amp;YEAR($B16)&amp;" ("&amp;$C16&amp;")")</f>
        <v>S012 — 28/11/2026 (samedi)</v>
      </c>
      <c r="B16" s="14">
        <v>46354</v>
      </c>
      <c r="C16" s="10" t="str">
        <f>IF($B16="","",IFERROR(INDEX(Listes!$A$2:$A$8,WEEKDAY($B16,2)),""))</f>
        <v>samedi</v>
      </c>
      <c r="D16" s="15" t="s">
        <v>510</v>
      </c>
      <c r="E16" s="10" t="str">
        <f t="shared" si="0"/>
        <v>CR-SAM</v>
      </c>
      <c r="F16" s="10" t="str">
        <f>IFERROR(IF($E16="","",INDEX(Referentiel!$E$54:$E$63,MATCH($E16,Referentiel!$A$54:$A$63,0))&amp;""),"")</f>
        <v>B50</v>
      </c>
      <c r="G16" s="10" t="str">
        <f>IFERROR(IF($E16="","",INDEX(Referentiel!$F$54:$F$63,MATCH($E16,Referentiel!$A$54:$A$63,0))&amp;""),"")</f>
        <v>LC</v>
      </c>
      <c r="H16" s="15"/>
      <c r="I16" s="15" t="s">
        <v>511</v>
      </c>
      <c r="J16" s="15"/>
      <c r="K16" s="10" t="str">
        <f>IF($J16="","",IFERROR(IF(ISNUMBER(FIND("[",$J16)),MID($J16,FIND("[",$J16)+1,FIND("]",$J16)-FIND("[",$J16)-1),IF(ISNUMBER($J16),INDEX(Personnes!$B$5:$B$154,MATCH($J16,Personnes!$A$5:$A$154,0)),IFERROR(INDEX(Personnes!$B$5:$B$154,MATCH($J16&amp;"*",Personnes!$C$5:$C$154,0)),INDEX(Personnes!$B$5:$B$154,MATCH($J16&amp;"*",Personnes!$D$5:$D$154,0))))),""))</f>
        <v/>
      </c>
      <c r="L16" s="10" t="str">
        <f>IFERROR(INDEX(Personnes!$C$5:$C$154,MATCH($K16,Personnes!$B$5:$B$154,0))&amp;"","")</f>
        <v/>
      </c>
      <c r="M16" s="10" t="str">
        <f>IFERROR(INDEX(Personnes!$D$5:$D$154,MATCH($K16,Personnes!$B$5:$B$154,0))&amp;"","")</f>
        <v/>
      </c>
      <c r="N16" s="15"/>
      <c r="O16" s="10" t="str">
        <f>IF($N16&lt;&gt;"",IF($N16="","",IFERROR(IF(ISNUMBER(FIND("[",$N16)),MID($N16,FIND("[",$N16)+1,FIND("]",$N16)-FIND("[",$N16)-1),IF(ISNUMBER($N16),INDEX(Personnes!$B$5:$B$154,MATCH($N16,Personnes!$A$5:$A$154,0)),IFERROR(INDEX(Personnes!$B$5:$B$154,MATCH($N16&amp;"*",Personnes!$C$5:$C$154,0)),INDEX(Personnes!$B$5:$B$154,MATCH($N16&amp;"*",Personnes!$D$5:$D$154,0))))),"")),IF($E16="","",IFERROR(INDEX(Referentiel!$H$54:$H$63,MATCH($E16,Referentiel!$A$54:$A$63,0)),"")))</f>
        <v>P045</v>
      </c>
      <c r="P16" s="10" t="str">
        <f>IFERROR(INDEX(Personnes!$C$5:$C$154,MATCH($O16,Personnes!$B$5:$B$154,0))&amp;"","")</f>
        <v>SEGUI</v>
      </c>
      <c r="Q16" s="10" t="str">
        <f>IFERROR(INDEX(Personnes!$D$5:$D$154,MATCH($O16,Personnes!$B$5:$B$154,0))&amp;"","")</f>
        <v>Danny</v>
      </c>
      <c r="R16" s="9"/>
      <c r="S16" s="9"/>
      <c r="T16" s="10">
        <f>IF($A16="","",COUNTIFS(Presences!$A$5:$A$504,$A16,Presences!$C$5:$C$504,"&lt;&gt;"))</f>
        <v>0</v>
      </c>
      <c r="U16" s="10" t="str">
        <f>IF($A16="","",IF(AND($J16&lt;&gt;"",$K16=""),"DP non reconnu",IF(AND($K16&lt;&gt;"",COUNTIF(Referentiel!$A$81:$A$110,$K16)=0),"DP sans qualification Sécurité valide",IF(AND($N16&lt;&gt;"",$O16=""),"responsable non reconnu",IF(AND($G16&lt;&gt;"",$G16&lt;&gt;"LC"),"créneau rattaché à un autre groupe",IF($I16&lt;&gt;"tenue","",IF(OR($K16="",$O16=""),"couverture incomplète","ok")))))))</f>
        <v/>
      </c>
    </row>
    <row r="17" spans="1:21" x14ac:dyDescent="0.2">
      <c r="A17" s="10" t="str">
        <f>IF($B17="","","S"&amp;TEXT(COUNTIF($B$5:$B17,"&lt;&gt;"),"000")&amp;" — "&amp;TEXT(DAY($B17),"00")&amp;"/"&amp;TEXT(MONTH($B17),"00")&amp;"/"&amp;YEAR($B17)&amp;" ("&amp;$C17&amp;")")</f>
        <v>S013 — 05/12/2026 (samedi)</v>
      </c>
      <c r="B17" s="14">
        <v>46361</v>
      </c>
      <c r="C17" s="10" t="str">
        <f>IF($B17="","",IFERROR(INDEX(Listes!$A$2:$A$8,WEEKDAY($B17,2)),""))</f>
        <v>samedi</v>
      </c>
      <c r="D17" s="15" t="s">
        <v>510</v>
      </c>
      <c r="E17" s="10" t="str">
        <f t="shared" si="0"/>
        <v>CR-SAM</v>
      </c>
      <c r="F17" s="10" t="str">
        <f>IFERROR(IF($E17="","",INDEX(Referentiel!$E$54:$E$63,MATCH($E17,Referentiel!$A$54:$A$63,0))&amp;""),"")</f>
        <v>B50</v>
      </c>
      <c r="G17" s="10" t="str">
        <f>IFERROR(IF($E17="","",INDEX(Referentiel!$F$54:$F$63,MATCH($E17,Referentiel!$A$54:$A$63,0))&amp;""),"")</f>
        <v>LC</v>
      </c>
      <c r="H17" s="15"/>
      <c r="I17" s="15" t="s">
        <v>511</v>
      </c>
      <c r="J17" s="15"/>
      <c r="K17" s="10" t="str">
        <f>IF($J17="","",IFERROR(IF(ISNUMBER(FIND("[",$J17)),MID($J17,FIND("[",$J17)+1,FIND("]",$J17)-FIND("[",$J17)-1),IF(ISNUMBER($J17),INDEX(Personnes!$B$5:$B$154,MATCH($J17,Personnes!$A$5:$A$154,0)),IFERROR(INDEX(Personnes!$B$5:$B$154,MATCH($J17&amp;"*",Personnes!$C$5:$C$154,0)),INDEX(Personnes!$B$5:$B$154,MATCH($J17&amp;"*",Personnes!$D$5:$D$154,0))))),""))</f>
        <v/>
      </c>
      <c r="L17" s="10" t="str">
        <f>IFERROR(INDEX(Personnes!$C$5:$C$154,MATCH($K17,Personnes!$B$5:$B$154,0))&amp;"","")</f>
        <v/>
      </c>
      <c r="M17" s="10" t="str">
        <f>IFERROR(INDEX(Personnes!$D$5:$D$154,MATCH($K17,Personnes!$B$5:$B$154,0))&amp;"","")</f>
        <v/>
      </c>
      <c r="N17" s="15"/>
      <c r="O17" s="10" t="str">
        <f>IF($N17&lt;&gt;"",IF($N17="","",IFERROR(IF(ISNUMBER(FIND("[",$N17)),MID($N17,FIND("[",$N17)+1,FIND("]",$N17)-FIND("[",$N17)-1),IF(ISNUMBER($N17),INDEX(Personnes!$B$5:$B$154,MATCH($N17,Personnes!$A$5:$A$154,0)),IFERROR(INDEX(Personnes!$B$5:$B$154,MATCH($N17&amp;"*",Personnes!$C$5:$C$154,0)),INDEX(Personnes!$B$5:$B$154,MATCH($N17&amp;"*",Personnes!$D$5:$D$154,0))))),"")),IF($E17="","",IFERROR(INDEX(Referentiel!$H$54:$H$63,MATCH($E17,Referentiel!$A$54:$A$63,0)),"")))</f>
        <v>P045</v>
      </c>
      <c r="P17" s="10" t="str">
        <f>IFERROR(INDEX(Personnes!$C$5:$C$154,MATCH($O17,Personnes!$B$5:$B$154,0))&amp;"","")</f>
        <v>SEGUI</v>
      </c>
      <c r="Q17" s="10" t="str">
        <f>IFERROR(INDEX(Personnes!$D$5:$D$154,MATCH($O17,Personnes!$B$5:$B$154,0))&amp;"","")</f>
        <v>Danny</v>
      </c>
      <c r="R17" s="9"/>
      <c r="S17" s="9"/>
      <c r="T17" s="10">
        <f>IF($A17="","",COUNTIFS(Presences!$A$5:$A$504,$A17,Presences!$C$5:$C$504,"&lt;&gt;"))</f>
        <v>0</v>
      </c>
      <c r="U17" s="10" t="str">
        <f>IF($A17="","",IF(AND($J17&lt;&gt;"",$K17=""),"DP non reconnu",IF(AND($K17&lt;&gt;"",COUNTIF(Referentiel!$A$81:$A$110,$K17)=0),"DP sans qualification Sécurité valide",IF(AND($N17&lt;&gt;"",$O17=""),"responsable non reconnu",IF(AND($G17&lt;&gt;"",$G17&lt;&gt;"LC"),"créneau rattaché à un autre groupe",IF($I17&lt;&gt;"tenue","",IF(OR($K17="",$O17=""),"couverture incomplète","ok")))))))</f>
        <v/>
      </c>
    </row>
    <row r="18" spans="1:21" x14ac:dyDescent="0.2">
      <c r="A18" s="10" t="str">
        <f>IF($B18="","","S"&amp;TEXT(COUNTIF($B$5:$B18,"&lt;&gt;"),"000")&amp;" — "&amp;TEXT(DAY($B18),"00")&amp;"/"&amp;TEXT(MONTH($B18),"00")&amp;"/"&amp;YEAR($B18)&amp;" ("&amp;$C18&amp;")")</f>
        <v>S014 — 12/12/2026 (samedi)</v>
      </c>
      <c r="B18" s="14">
        <v>46368</v>
      </c>
      <c r="C18" s="10" t="str">
        <f>IF($B18="","",IFERROR(INDEX(Listes!$A$2:$A$8,WEEKDAY($B18,2)),""))</f>
        <v>samedi</v>
      </c>
      <c r="D18" s="15" t="s">
        <v>510</v>
      </c>
      <c r="E18" s="10" t="str">
        <f t="shared" si="0"/>
        <v>CR-SAM</v>
      </c>
      <c r="F18" s="10" t="str">
        <f>IFERROR(IF($E18="","",INDEX(Referentiel!$E$54:$E$63,MATCH($E18,Referentiel!$A$54:$A$63,0))&amp;""),"")</f>
        <v>B50</v>
      </c>
      <c r="G18" s="10" t="str">
        <f>IFERROR(IF($E18="","",INDEX(Referentiel!$F$54:$F$63,MATCH($E18,Referentiel!$A$54:$A$63,0))&amp;""),"")</f>
        <v>LC</v>
      </c>
      <c r="H18" s="15"/>
      <c r="I18" s="15" t="s">
        <v>511</v>
      </c>
      <c r="J18" s="15"/>
      <c r="K18" s="10" t="str">
        <f>IF($J18="","",IFERROR(IF(ISNUMBER(FIND("[",$J18)),MID($J18,FIND("[",$J18)+1,FIND("]",$J18)-FIND("[",$J18)-1),IF(ISNUMBER($J18),INDEX(Personnes!$B$5:$B$154,MATCH($J18,Personnes!$A$5:$A$154,0)),IFERROR(INDEX(Personnes!$B$5:$B$154,MATCH($J18&amp;"*",Personnes!$C$5:$C$154,0)),INDEX(Personnes!$B$5:$B$154,MATCH($J18&amp;"*",Personnes!$D$5:$D$154,0))))),""))</f>
        <v/>
      </c>
      <c r="L18" s="10" t="str">
        <f>IFERROR(INDEX(Personnes!$C$5:$C$154,MATCH($K18,Personnes!$B$5:$B$154,0))&amp;"","")</f>
        <v/>
      </c>
      <c r="M18" s="10" t="str">
        <f>IFERROR(INDEX(Personnes!$D$5:$D$154,MATCH($K18,Personnes!$B$5:$B$154,0))&amp;"","")</f>
        <v/>
      </c>
      <c r="N18" s="15"/>
      <c r="O18" s="10" t="str">
        <f>IF($N18&lt;&gt;"",IF($N18="","",IFERROR(IF(ISNUMBER(FIND("[",$N18)),MID($N18,FIND("[",$N18)+1,FIND("]",$N18)-FIND("[",$N18)-1),IF(ISNUMBER($N18),INDEX(Personnes!$B$5:$B$154,MATCH($N18,Personnes!$A$5:$A$154,0)),IFERROR(INDEX(Personnes!$B$5:$B$154,MATCH($N18&amp;"*",Personnes!$C$5:$C$154,0)),INDEX(Personnes!$B$5:$B$154,MATCH($N18&amp;"*",Personnes!$D$5:$D$154,0))))),"")),IF($E18="","",IFERROR(INDEX(Referentiel!$H$54:$H$63,MATCH($E18,Referentiel!$A$54:$A$63,0)),"")))</f>
        <v>P045</v>
      </c>
      <c r="P18" s="10" t="str">
        <f>IFERROR(INDEX(Personnes!$C$5:$C$154,MATCH($O18,Personnes!$B$5:$B$154,0))&amp;"","")</f>
        <v>SEGUI</v>
      </c>
      <c r="Q18" s="10" t="str">
        <f>IFERROR(INDEX(Personnes!$D$5:$D$154,MATCH($O18,Personnes!$B$5:$B$154,0))&amp;"","")</f>
        <v>Danny</v>
      </c>
      <c r="R18" s="9"/>
      <c r="S18" s="9"/>
      <c r="T18" s="10">
        <f>IF($A18="","",COUNTIFS(Presences!$A$5:$A$504,$A18,Presences!$C$5:$C$504,"&lt;&gt;"))</f>
        <v>0</v>
      </c>
      <c r="U18" s="10" t="str">
        <f>IF($A18="","",IF(AND($J18&lt;&gt;"",$K18=""),"DP non reconnu",IF(AND($K18&lt;&gt;"",COUNTIF(Referentiel!$A$81:$A$110,$K18)=0),"DP sans qualification Sécurité valide",IF(AND($N18&lt;&gt;"",$O18=""),"responsable non reconnu",IF(AND($G18&lt;&gt;"",$G18&lt;&gt;"LC"),"créneau rattaché à un autre groupe",IF($I18&lt;&gt;"tenue","",IF(OR($K18="",$O18=""),"couverture incomplète","ok")))))))</f>
        <v/>
      </c>
    </row>
    <row r="19" spans="1:21" x14ac:dyDescent="0.2">
      <c r="A19" s="10" t="str">
        <f>IF($B19="","","S"&amp;TEXT(COUNTIF($B$5:$B19,"&lt;&gt;"),"000")&amp;" — "&amp;TEXT(DAY($B19),"00")&amp;"/"&amp;TEXT(MONTH($B19),"00")&amp;"/"&amp;YEAR($B19)&amp;" ("&amp;$C19&amp;")")</f>
        <v>S015 — 19/12/2026 (samedi)</v>
      </c>
      <c r="B19" s="14">
        <v>46375</v>
      </c>
      <c r="C19" s="10" t="str">
        <f>IF($B19="","",IFERROR(INDEX(Listes!$A$2:$A$8,WEEKDAY($B19,2)),""))</f>
        <v>samedi</v>
      </c>
      <c r="D19" s="15" t="s">
        <v>510</v>
      </c>
      <c r="E19" s="10" t="str">
        <f t="shared" si="0"/>
        <v>CR-SAM</v>
      </c>
      <c r="F19" s="10" t="str">
        <f>IFERROR(IF($E19="","",INDEX(Referentiel!$E$54:$E$63,MATCH($E19,Referentiel!$A$54:$A$63,0))&amp;""),"")</f>
        <v>B50</v>
      </c>
      <c r="G19" s="10" t="str">
        <f>IFERROR(IF($E19="","",INDEX(Referentiel!$F$54:$F$63,MATCH($E19,Referentiel!$A$54:$A$63,0))&amp;""),"")</f>
        <v>LC</v>
      </c>
      <c r="H19" s="15"/>
      <c r="I19" s="15" t="s">
        <v>511</v>
      </c>
      <c r="J19" s="15"/>
      <c r="K19" s="10" t="str">
        <f>IF($J19="","",IFERROR(IF(ISNUMBER(FIND("[",$J19)),MID($J19,FIND("[",$J19)+1,FIND("]",$J19)-FIND("[",$J19)-1),IF(ISNUMBER($J19),INDEX(Personnes!$B$5:$B$154,MATCH($J19,Personnes!$A$5:$A$154,0)),IFERROR(INDEX(Personnes!$B$5:$B$154,MATCH($J19&amp;"*",Personnes!$C$5:$C$154,0)),INDEX(Personnes!$B$5:$B$154,MATCH($J19&amp;"*",Personnes!$D$5:$D$154,0))))),""))</f>
        <v/>
      </c>
      <c r="L19" s="10" t="str">
        <f>IFERROR(INDEX(Personnes!$C$5:$C$154,MATCH($K19,Personnes!$B$5:$B$154,0))&amp;"","")</f>
        <v/>
      </c>
      <c r="M19" s="10" t="str">
        <f>IFERROR(INDEX(Personnes!$D$5:$D$154,MATCH($K19,Personnes!$B$5:$B$154,0))&amp;"","")</f>
        <v/>
      </c>
      <c r="N19" s="15"/>
      <c r="O19" s="10" t="str">
        <f>IF($N19&lt;&gt;"",IF($N19="","",IFERROR(IF(ISNUMBER(FIND("[",$N19)),MID($N19,FIND("[",$N19)+1,FIND("]",$N19)-FIND("[",$N19)-1),IF(ISNUMBER($N19),INDEX(Personnes!$B$5:$B$154,MATCH($N19,Personnes!$A$5:$A$154,0)),IFERROR(INDEX(Personnes!$B$5:$B$154,MATCH($N19&amp;"*",Personnes!$C$5:$C$154,0)),INDEX(Personnes!$B$5:$B$154,MATCH($N19&amp;"*",Personnes!$D$5:$D$154,0))))),"")),IF($E19="","",IFERROR(INDEX(Referentiel!$H$54:$H$63,MATCH($E19,Referentiel!$A$54:$A$63,0)),"")))</f>
        <v>P045</v>
      </c>
      <c r="P19" s="10" t="str">
        <f>IFERROR(INDEX(Personnes!$C$5:$C$154,MATCH($O19,Personnes!$B$5:$B$154,0))&amp;"","")</f>
        <v>SEGUI</v>
      </c>
      <c r="Q19" s="10" t="str">
        <f>IFERROR(INDEX(Personnes!$D$5:$D$154,MATCH($O19,Personnes!$B$5:$B$154,0))&amp;"","")</f>
        <v>Danny</v>
      </c>
      <c r="R19" s="9"/>
      <c r="S19" s="9"/>
      <c r="T19" s="10">
        <f>IF($A19="","",COUNTIFS(Presences!$A$5:$A$504,$A19,Presences!$C$5:$C$504,"&lt;&gt;"))</f>
        <v>0</v>
      </c>
      <c r="U19" s="10" t="str">
        <f>IF($A19="","",IF(AND($J19&lt;&gt;"",$K19=""),"DP non reconnu",IF(AND($K19&lt;&gt;"",COUNTIF(Referentiel!$A$81:$A$110,$K19)=0),"DP sans qualification Sécurité valide",IF(AND($N19&lt;&gt;"",$O19=""),"responsable non reconnu",IF(AND($G19&lt;&gt;"",$G19&lt;&gt;"LC"),"créneau rattaché à un autre groupe",IF($I19&lt;&gt;"tenue","",IF(OR($K19="",$O19=""),"couverture incomplète","ok")))))))</f>
        <v/>
      </c>
    </row>
    <row r="20" spans="1:21" x14ac:dyDescent="0.2">
      <c r="A20" s="10" t="str">
        <f>IF($B20="","","S"&amp;TEXT(COUNTIF($B$5:$B20,"&lt;&gt;"),"000")&amp;" — "&amp;TEXT(DAY($B20),"00")&amp;"/"&amp;TEXT(MONTH($B20),"00")&amp;"/"&amp;YEAR($B20)&amp;" ("&amp;$C20&amp;")")</f>
        <v>S016 — 26/12/2026 (samedi)</v>
      </c>
      <c r="B20" s="14">
        <v>46382</v>
      </c>
      <c r="C20" s="10" t="str">
        <f>IF($B20="","",IFERROR(INDEX(Listes!$A$2:$A$8,WEEKDAY($B20,2)),""))</f>
        <v>samedi</v>
      </c>
      <c r="D20" s="15" t="s">
        <v>510</v>
      </c>
      <c r="E20" s="10" t="str">
        <f t="shared" si="0"/>
        <v>CR-SAM</v>
      </c>
      <c r="F20" s="10" t="str">
        <f>IFERROR(IF($E20="","",INDEX(Referentiel!$E$54:$E$63,MATCH($E20,Referentiel!$A$54:$A$63,0))&amp;""),"")</f>
        <v>B50</v>
      </c>
      <c r="G20" s="10" t="str">
        <f>IFERROR(IF($E20="","",INDEX(Referentiel!$F$54:$F$63,MATCH($E20,Referentiel!$A$54:$A$63,0))&amp;""),"")</f>
        <v>LC</v>
      </c>
      <c r="H20" s="15"/>
      <c r="I20" s="15" t="s">
        <v>511</v>
      </c>
      <c r="J20" s="15"/>
      <c r="K20" s="10" t="str">
        <f>IF($J20="","",IFERROR(IF(ISNUMBER(FIND("[",$J20)),MID($J20,FIND("[",$J20)+1,FIND("]",$J20)-FIND("[",$J20)-1),IF(ISNUMBER($J20),INDEX(Personnes!$B$5:$B$154,MATCH($J20,Personnes!$A$5:$A$154,0)),IFERROR(INDEX(Personnes!$B$5:$B$154,MATCH($J20&amp;"*",Personnes!$C$5:$C$154,0)),INDEX(Personnes!$B$5:$B$154,MATCH($J20&amp;"*",Personnes!$D$5:$D$154,0))))),""))</f>
        <v/>
      </c>
      <c r="L20" s="10" t="str">
        <f>IFERROR(INDEX(Personnes!$C$5:$C$154,MATCH($K20,Personnes!$B$5:$B$154,0))&amp;"","")</f>
        <v/>
      </c>
      <c r="M20" s="10" t="str">
        <f>IFERROR(INDEX(Personnes!$D$5:$D$154,MATCH($K20,Personnes!$B$5:$B$154,0))&amp;"","")</f>
        <v/>
      </c>
      <c r="N20" s="15"/>
      <c r="O20" s="10" t="str">
        <f>IF($N20&lt;&gt;"",IF($N20="","",IFERROR(IF(ISNUMBER(FIND("[",$N20)),MID($N20,FIND("[",$N20)+1,FIND("]",$N20)-FIND("[",$N20)-1),IF(ISNUMBER($N20),INDEX(Personnes!$B$5:$B$154,MATCH($N20,Personnes!$A$5:$A$154,0)),IFERROR(INDEX(Personnes!$B$5:$B$154,MATCH($N20&amp;"*",Personnes!$C$5:$C$154,0)),INDEX(Personnes!$B$5:$B$154,MATCH($N20&amp;"*",Personnes!$D$5:$D$154,0))))),"")),IF($E20="","",IFERROR(INDEX(Referentiel!$H$54:$H$63,MATCH($E20,Referentiel!$A$54:$A$63,0)),"")))</f>
        <v>P045</v>
      </c>
      <c r="P20" s="10" t="str">
        <f>IFERROR(INDEX(Personnes!$C$5:$C$154,MATCH($O20,Personnes!$B$5:$B$154,0))&amp;"","")</f>
        <v>SEGUI</v>
      </c>
      <c r="Q20" s="10" t="str">
        <f>IFERROR(INDEX(Personnes!$D$5:$D$154,MATCH($O20,Personnes!$B$5:$B$154,0))&amp;"","")</f>
        <v>Danny</v>
      </c>
      <c r="R20" s="9"/>
      <c r="S20" s="9"/>
      <c r="T20" s="10">
        <f>IF($A20="","",COUNTIFS(Presences!$A$5:$A$504,$A20,Presences!$C$5:$C$504,"&lt;&gt;"))</f>
        <v>0</v>
      </c>
      <c r="U20" s="10" t="str">
        <f>IF($A20="","",IF(AND($J20&lt;&gt;"",$K20=""),"DP non reconnu",IF(AND($K20&lt;&gt;"",COUNTIF(Referentiel!$A$81:$A$110,$K20)=0),"DP sans qualification Sécurité valide",IF(AND($N20&lt;&gt;"",$O20=""),"responsable non reconnu",IF(AND($G20&lt;&gt;"",$G20&lt;&gt;"LC"),"créneau rattaché à un autre groupe",IF($I20&lt;&gt;"tenue","",IF(OR($K20="",$O20=""),"couverture incomplète","ok")))))))</f>
        <v/>
      </c>
    </row>
    <row r="21" spans="1:21" x14ac:dyDescent="0.2">
      <c r="A21" s="10" t="str">
        <f>IF($B21="","","S"&amp;TEXT(COUNTIF($B$5:$B21,"&lt;&gt;"),"000")&amp;" — "&amp;TEXT(DAY($B21),"00")&amp;"/"&amp;TEXT(MONTH($B21),"00")&amp;"/"&amp;YEAR($B21)&amp;" ("&amp;$C21&amp;")")</f>
        <v>S017 — 02/01/2027 (samedi)</v>
      </c>
      <c r="B21" s="14">
        <v>46389</v>
      </c>
      <c r="C21" s="10" t="str">
        <f>IF($B21="","",IFERROR(INDEX(Listes!$A$2:$A$8,WEEKDAY($B21,2)),""))</f>
        <v>samedi</v>
      </c>
      <c r="D21" s="15" t="s">
        <v>510</v>
      </c>
      <c r="E21" s="10" t="str">
        <f t="shared" si="0"/>
        <v>CR-SAM</v>
      </c>
      <c r="F21" s="10" t="str">
        <f>IFERROR(IF($E21="","",INDEX(Referentiel!$E$54:$E$63,MATCH($E21,Referentiel!$A$54:$A$63,0))&amp;""),"")</f>
        <v>B50</v>
      </c>
      <c r="G21" s="10" t="str">
        <f>IFERROR(IF($E21="","",INDEX(Referentiel!$F$54:$F$63,MATCH($E21,Referentiel!$A$54:$A$63,0))&amp;""),"")</f>
        <v>LC</v>
      </c>
      <c r="H21" s="15"/>
      <c r="I21" s="15" t="s">
        <v>511</v>
      </c>
      <c r="J21" s="15"/>
      <c r="K21" s="10" t="str">
        <f>IF($J21="","",IFERROR(IF(ISNUMBER(FIND("[",$J21)),MID($J21,FIND("[",$J21)+1,FIND("]",$J21)-FIND("[",$J21)-1),IF(ISNUMBER($J21),INDEX(Personnes!$B$5:$B$154,MATCH($J21,Personnes!$A$5:$A$154,0)),IFERROR(INDEX(Personnes!$B$5:$B$154,MATCH($J21&amp;"*",Personnes!$C$5:$C$154,0)),INDEX(Personnes!$B$5:$B$154,MATCH($J21&amp;"*",Personnes!$D$5:$D$154,0))))),""))</f>
        <v/>
      </c>
      <c r="L21" s="10" t="str">
        <f>IFERROR(INDEX(Personnes!$C$5:$C$154,MATCH($K21,Personnes!$B$5:$B$154,0))&amp;"","")</f>
        <v/>
      </c>
      <c r="M21" s="10" t="str">
        <f>IFERROR(INDEX(Personnes!$D$5:$D$154,MATCH($K21,Personnes!$B$5:$B$154,0))&amp;"","")</f>
        <v/>
      </c>
      <c r="N21" s="15"/>
      <c r="O21" s="10" t="str">
        <f>IF($N21&lt;&gt;"",IF($N21="","",IFERROR(IF(ISNUMBER(FIND("[",$N21)),MID($N21,FIND("[",$N21)+1,FIND("]",$N21)-FIND("[",$N21)-1),IF(ISNUMBER($N21),INDEX(Personnes!$B$5:$B$154,MATCH($N21,Personnes!$A$5:$A$154,0)),IFERROR(INDEX(Personnes!$B$5:$B$154,MATCH($N21&amp;"*",Personnes!$C$5:$C$154,0)),INDEX(Personnes!$B$5:$B$154,MATCH($N21&amp;"*",Personnes!$D$5:$D$154,0))))),"")),IF($E21="","",IFERROR(INDEX(Referentiel!$H$54:$H$63,MATCH($E21,Referentiel!$A$54:$A$63,0)),"")))</f>
        <v>P045</v>
      </c>
      <c r="P21" s="10" t="str">
        <f>IFERROR(INDEX(Personnes!$C$5:$C$154,MATCH($O21,Personnes!$B$5:$B$154,0))&amp;"","")</f>
        <v>SEGUI</v>
      </c>
      <c r="Q21" s="10" t="str">
        <f>IFERROR(INDEX(Personnes!$D$5:$D$154,MATCH($O21,Personnes!$B$5:$B$154,0))&amp;"","")</f>
        <v>Danny</v>
      </c>
      <c r="R21" s="9"/>
      <c r="S21" s="9"/>
      <c r="T21" s="10">
        <f>IF($A21="","",COUNTIFS(Presences!$A$5:$A$504,$A21,Presences!$C$5:$C$504,"&lt;&gt;"))</f>
        <v>0</v>
      </c>
      <c r="U21" s="10" t="str">
        <f>IF($A21="","",IF(AND($J21&lt;&gt;"",$K21=""),"DP non reconnu",IF(AND($K21&lt;&gt;"",COUNTIF(Referentiel!$A$81:$A$110,$K21)=0),"DP sans qualification Sécurité valide",IF(AND($N21&lt;&gt;"",$O21=""),"responsable non reconnu",IF(AND($G21&lt;&gt;"",$G21&lt;&gt;"LC"),"créneau rattaché à un autre groupe",IF($I21&lt;&gt;"tenue","",IF(OR($K21="",$O21=""),"couverture incomplète","ok")))))))</f>
        <v/>
      </c>
    </row>
    <row r="22" spans="1:21" x14ac:dyDescent="0.2">
      <c r="A22" s="10" t="str">
        <f>IF($B22="","","S"&amp;TEXT(COUNTIF($B$5:$B22,"&lt;&gt;"),"000")&amp;" — "&amp;TEXT(DAY($B22),"00")&amp;"/"&amp;TEXT(MONTH($B22),"00")&amp;"/"&amp;YEAR($B22)&amp;" ("&amp;$C22&amp;")")</f>
        <v>S018 — 09/01/2027 (samedi)</v>
      </c>
      <c r="B22" s="14">
        <v>46396</v>
      </c>
      <c r="C22" s="10" t="str">
        <f>IF($B22="","",IFERROR(INDEX(Listes!$A$2:$A$8,WEEKDAY($B22,2)),""))</f>
        <v>samedi</v>
      </c>
      <c r="D22" s="15" t="s">
        <v>510</v>
      </c>
      <c r="E22" s="10" t="str">
        <f t="shared" si="0"/>
        <v>CR-SAM</v>
      </c>
      <c r="F22" s="10" t="str">
        <f>IFERROR(IF($E22="","",INDEX(Referentiel!$E$54:$E$63,MATCH($E22,Referentiel!$A$54:$A$63,0))&amp;""),"")</f>
        <v>B50</v>
      </c>
      <c r="G22" s="10" t="str">
        <f>IFERROR(IF($E22="","",INDEX(Referentiel!$F$54:$F$63,MATCH($E22,Referentiel!$A$54:$A$63,0))&amp;""),"")</f>
        <v>LC</v>
      </c>
      <c r="H22" s="15"/>
      <c r="I22" s="15" t="s">
        <v>511</v>
      </c>
      <c r="J22" s="15"/>
      <c r="K22" s="10" t="str">
        <f>IF($J22="","",IFERROR(IF(ISNUMBER(FIND("[",$J22)),MID($J22,FIND("[",$J22)+1,FIND("]",$J22)-FIND("[",$J22)-1),IF(ISNUMBER($J22),INDEX(Personnes!$B$5:$B$154,MATCH($J22,Personnes!$A$5:$A$154,0)),IFERROR(INDEX(Personnes!$B$5:$B$154,MATCH($J22&amp;"*",Personnes!$C$5:$C$154,0)),INDEX(Personnes!$B$5:$B$154,MATCH($J22&amp;"*",Personnes!$D$5:$D$154,0))))),""))</f>
        <v/>
      </c>
      <c r="L22" s="10" t="str">
        <f>IFERROR(INDEX(Personnes!$C$5:$C$154,MATCH($K22,Personnes!$B$5:$B$154,0))&amp;"","")</f>
        <v/>
      </c>
      <c r="M22" s="10" t="str">
        <f>IFERROR(INDEX(Personnes!$D$5:$D$154,MATCH($K22,Personnes!$B$5:$B$154,0))&amp;"","")</f>
        <v/>
      </c>
      <c r="N22" s="15"/>
      <c r="O22" s="10" t="str">
        <f>IF($N22&lt;&gt;"",IF($N22="","",IFERROR(IF(ISNUMBER(FIND("[",$N22)),MID($N22,FIND("[",$N22)+1,FIND("]",$N22)-FIND("[",$N22)-1),IF(ISNUMBER($N22),INDEX(Personnes!$B$5:$B$154,MATCH($N22,Personnes!$A$5:$A$154,0)),IFERROR(INDEX(Personnes!$B$5:$B$154,MATCH($N22&amp;"*",Personnes!$C$5:$C$154,0)),INDEX(Personnes!$B$5:$B$154,MATCH($N22&amp;"*",Personnes!$D$5:$D$154,0))))),"")),IF($E22="","",IFERROR(INDEX(Referentiel!$H$54:$H$63,MATCH($E22,Referentiel!$A$54:$A$63,0)),"")))</f>
        <v>P045</v>
      </c>
      <c r="P22" s="10" t="str">
        <f>IFERROR(INDEX(Personnes!$C$5:$C$154,MATCH($O22,Personnes!$B$5:$B$154,0))&amp;"","")</f>
        <v>SEGUI</v>
      </c>
      <c r="Q22" s="10" t="str">
        <f>IFERROR(INDEX(Personnes!$D$5:$D$154,MATCH($O22,Personnes!$B$5:$B$154,0))&amp;"","")</f>
        <v>Danny</v>
      </c>
      <c r="R22" s="9"/>
      <c r="S22" s="9"/>
      <c r="T22" s="10">
        <f>IF($A22="","",COUNTIFS(Presences!$A$5:$A$504,$A22,Presences!$C$5:$C$504,"&lt;&gt;"))</f>
        <v>0</v>
      </c>
      <c r="U22" s="10" t="str">
        <f>IF($A22="","",IF(AND($J22&lt;&gt;"",$K22=""),"DP non reconnu",IF(AND($K22&lt;&gt;"",COUNTIF(Referentiel!$A$81:$A$110,$K22)=0),"DP sans qualification Sécurité valide",IF(AND($N22&lt;&gt;"",$O22=""),"responsable non reconnu",IF(AND($G22&lt;&gt;"",$G22&lt;&gt;"LC"),"créneau rattaché à un autre groupe",IF($I22&lt;&gt;"tenue","",IF(OR($K22="",$O22=""),"couverture incomplète","ok")))))))</f>
        <v/>
      </c>
    </row>
    <row r="23" spans="1:21" x14ac:dyDescent="0.2">
      <c r="A23" s="10" t="str">
        <f>IF($B23="","","S"&amp;TEXT(COUNTIF($B$5:$B23,"&lt;&gt;"),"000")&amp;" — "&amp;TEXT(DAY($B23),"00")&amp;"/"&amp;TEXT(MONTH($B23),"00")&amp;"/"&amp;YEAR($B23)&amp;" ("&amp;$C23&amp;")")</f>
        <v>S019 — 16/01/2027 (samedi)</v>
      </c>
      <c r="B23" s="14">
        <v>46403</v>
      </c>
      <c r="C23" s="10" t="str">
        <f>IF($B23="","",IFERROR(INDEX(Listes!$A$2:$A$8,WEEKDAY($B23,2)),""))</f>
        <v>samedi</v>
      </c>
      <c r="D23" s="15" t="s">
        <v>510</v>
      </c>
      <c r="E23" s="10" t="str">
        <f t="shared" si="0"/>
        <v>CR-SAM</v>
      </c>
      <c r="F23" s="10" t="str">
        <f>IFERROR(IF($E23="","",INDEX(Referentiel!$E$54:$E$63,MATCH($E23,Referentiel!$A$54:$A$63,0))&amp;""),"")</f>
        <v>B50</v>
      </c>
      <c r="G23" s="10" t="str">
        <f>IFERROR(IF($E23="","",INDEX(Referentiel!$F$54:$F$63,MATCH($E23,Referentiel!$A$54:$A$63,0))&amp;""),"")</f>
        <v>LC</v>
      </c>
      <c r="H23" s="15"/>
      <c r="I23" s="15" t="s">
        <v>511</v>
      </c>
      <c r="J23" s="15"/>
      <c r="K23" s="10" t="str">
        <f>IF($J23="","",IFERROR(IF(ISNUMBER(FIND("[",$J23)),MID($J23,FIND("[",$J23)+1,FIND("]",$J23)-FIND("[",$J23)-1),IF(ISNUMBER($J23),INDEX(Personnes!$B$5:$B$154,MATCH($J23,Personnes!$A$5:$A$154,0)),IFERROR(INDEX(Personnes!$B$5:$B$154,MATCH($J23&amp;"*",Personnes!$C$5:$C$154,0)),INDEX(Personnes!$B$5:$B$154,MATCH($J23&amp;"*",Personnes!$D$5:$D$154,0))))),""))</f>
        <v/>
      </c>
      <c r="L23" s="10" t="str">
        <f>IFERROR(INDEX(Personnes!$C$5:$C$154,MATCH($K23,Personnes!$B$5:$B$154,0))&amp;"","")</f>
        <v/>
      </c>
      <c r="M23" s="10" t="str">
        <f>IFERROR(INDEX(Personnes!$D$5:$D$154,MATCH($K23,Personnes!$B$5:$B$154,0))&amp;"","")</f>
        <v/>
      </c>
      <c r="N23" s="15"/>
      <c r="O23" s="10" t="str">
        <f>IF($N23&lt;&gt;"",IF($N23="","",IFERROR(IF(ISNUMBER(FIND("[",$N23)),MID($N23,FIND("[",$N23)+1,FIND("]",$N23)-FIND("[",$N23)-1),IF(ISNUMBER($N23),INDEX(Personnes!$B$5:$B$154,MATCH($N23,Personnes!$A$5:$A$154,0)),IFERROR(INDEX(Personnes!$B$5:$B$154,MATCH($N23&amp;"*",Personnes!$C$5:$C$154,0)),INDEX(Personnes!$B$5:$B$154,MATCH($N23&amp;"*",Personnes!$D$5:$D$154,0))))),"")),IF($E23="","",IFERROR(INDEX(Referentiel!$H$54:$H$63,MATCH($E23,Referentiel!$A$54:$A$63,0)),"")))</f>
        <v>P045</v>
      </c>
      <c r="P23" s="10" t="str">
        <f>IFERROR(INDEX(Personnes!$C$5:$C$154,MATCH($O23,Personnes!$B$5:$B$154,0))&amp;"","")</f>
        <v>SEGUI</v>
      </c>
      <c r="Q23" s="10" t="str">
        <f>IFERROR(INDEX(Personnes!$D$5:$D$154,MATCH($O23,Personnes!$B$5:$B$154,0))&amp;"","")</f>
        <v>Danny</v>
      </c>
      <c r="R23" s="9"/>
      <c r="S23" s="9"/>
      <c r="T23" s="10">
        <f>IF($A23="","",COUNTIFS(Presences!$A$5:$A$504,$A23,Presences!$C$5:$C$504,"&lt;&gt;"))</f>
        <v>0</v>
      </c>
      <c r="U23" s="10" t="str">
        <f>IF($A23="","",IF(AND($J23&lt;&gt;"",$K23=""),"DP non reconnu",IF(AND($K23&lt;&gt;"",COUNTIF(Referentiel!$A$81:$A$110,$K23)=0),"DP sans qualification Sécurité valide",IF(AND($N23&lt;&gt;"",$O23=""),"responsable non reconnu",IF(AND($G23&lt;&gt;"",$G23&lt;&gt;"LC"),"créneau rattaché à un autre groupe",IF($I23&lt;&gt;"tenue","",IF(OR($K23="",$O23=""),"couverture incomplète","ok")))))))</f>
        <v/>
      </c>
    </row>
    <row r="24" spans="1:21" x14ac:dyDescent="0.2">
      <c r="A24" s="10" t="str">
        <f>IF($B24="","","S"&amp;TEXT(COUNTIF($B$5:$B24,"&lt;&gt;"),"000")&amp;" — "&amp;TEXT(DAY($B24),"00")&amp;"/"&amp;TEXT(MONTH($B24),"00")&amp;"/"&amp;YEAR($B24)&amp;" ("&amp;$C24&amp;")")</f>
        <v>S020 — 23/01/2027 (samedi)</v>
      </c>
      <c r="B24" s="14">
        <v>46410</v>
      </c>
      <c r="C24" s="10" t="str">
        <f>IF($B24="","",IFERROR(INDEX(Listes!$A$2:$A$8,WEEKDAY($B24,2)),""))</f>
        <v>samedi</v>
      </c>
      <c r="D24" s="15" t="s">
        <v>510</v>
      </c>
      <c r="E24" s="10" t="str">
        <f t="shared" si="0"/>
        <v>CR-SAM</v>
      </c>
      <c r="F24" s="10" t="str">
        <f>IFERROR(IF($E24="","",INDEX(Referentiel!$E$54:$E$63,MATCH($E24,Referentiel!$A$54:$A$63,0))&amp;""),"")</f>
        <v>B50</v>
      </c>
      <c r="G24" s="10" t="str">
        <f>IFERROR(IF($E24="","",INDEX(Referentiel!$F$54:$F$63,MATCH($E24,Referentiel!$A$54:$A$63,0))&amp;""),"")</f>
        <v>LC</v>
      </c>
      <c r="H24" s="15"/>
      <c r="I24" s="15" t="s">
        <v>511</v>
      </c>
      <c r="J24" s="15"/>
      <c r="K24" s="10" t="str">
        <f>IF($J24="","",IFERROR(IF(ISNUMBER(FIND("[",$J24)),MID($J24,FIND("[",$J24)+1,FIND("]",$J24)-FIND("[",$J24)-1),IF(ISNUMBER($J24),INDEX(Personnes!$B$5:$B$154,MATCH($J24,Personnes!$A$5:$A$154,0)),IFERROR(INDEX(Personnes!$B$5:$B$154,MATCH($J24&amp;"*",Personnes!$C$5:$C$154,0)),INDEX(Personnes!$B$5:$B$154,MATCH($J24&amp;"*",Personnes!$D$5:$D$154,0))))),""))</f>
        <v/>
      </c>
      <c r="L24" s="10" t="str">
        <f>IFERROR(INDEX(Personnes!$C$5:$C$154,MATCH($K24,Personnes!$B$5:$B$154,0))&amp;"","")</f>
        <v/>
      </c>
      <c r="M24" s="10" t="str">
        <f>IFERROR(INDEX(Personnes!$D$5:$D$154,MATCH($K24,Personnes!$B$5:$B$154,0))&amp;"","")</f>
        <v/>
      </c>
      <c r="N24" s="15"/>
      <c r="O24" s="10" t="str">
        <f>IF($N24&lt;&gt;"",IF($N24="","",IFERROR(IF(ISNUMBER(FIND("[",$N24)),MID($N24,FIND("[",$N24)+1,FIND("]",$N24)-FIND("[",$N24)-1),IF(ISNUMBER($N24),INDEX(Personnes!$B$5:$B$154,MATCH($N24,Personnes!$A$5:$A$154,0)),IFERROR(INDEX(Personnes!$B$5:$B$154,MATCH($N24&amp;"*",Personnes!$C$5:$C$154,0)),INDEX(Personnes!$B$5:$B$154,MATCH($N24&amp;"*",Personnes!$D$5:$D$154,0))))),"")),IF($E24="","",IFERROR(INDEX(Referentiel!$H$54:$H$63,MATCH($E24,Referentiel!$A$54:$A$63,0)),"")))</f>
        <v>P045</v>
      </c>
      <c r="P24" s="10" t="str">
        <f>IFERROR(INDEX(Personnes!$C$5:$C$154,MATCH($O24,Personnes!$B$5:$B$154,0))&amp;"","")</f>
        <v>SEGUI</v>
      </c>
      <c r="Q24" s="10" t="str">
        <f>IFERROR(INDEX(Personnes!$D$5:$D$154,MATCH($O24,Personnes!$B$5:$B$154,0))&amp;"","")</f>
        <v>Danny</v>
      </c>
      <c r="R24" s="9"/>
      <c r="S24" s="9"/>
      <c r="T24" s="10">
        <f>IF($A24="","",COUNTIFS(Presences!$A$5:$A$504,$A24,Presences!$C$5:$C$504,"&lt;&gt;"))</f>
        <v>0</v>
      </c>
      <c r="U24" s="10" t="str">
        <f>IF($A24="","",IF(AND($J24&lt;&gt;"",$K24=""),"DP non reconnu",IF(AND($K24&lt;&gt;"",COUNTIF(Referentiel!$A$81:$A$110,$K24)=0),"DP sans qualification Sécurité valide",IF(AND($N24&lt;&gt;"",$O24=""),"responsable non reconnu",IF(AND($G24&lt;&gt;"",$G24&lt;&gt;"LC"),"créneau rattaché à un autre groupe",IF($I24&lt;&gt;"tenue","",IF(OR($K24="",$O24=""),"couverture incomplète","ok")))))))</f>
        <v/>
      </c>
    </row>
    <row r="25" spans="1:21" x14ac:dyDescent="0.2">
      <c r="A25" s="10" t="str">
        <f>IF($B25="","","S"&amp;TEXT(COUNTIF($B$5:$B25,"&lt;&gt;"),"000")&amp;" — "&amp;TEXT(DAY($B25),"00")&amp;"/"&amp;TEXT(MONTH($B25),"00")&amp;"/"&amp;YEAR($B25)&amp;" ("&amp;$C25&amp;")")</f>
        <v>S021 — 30/01/2027 (samedi)</v>
      </c>
      <c r="B25" s="14">
        <v>46417</v>
      </c>
      <c r="C25" s="10" t="str">
        <f>IF($B25="","",IFERROR(INDEX(Listes!$A$2:$A$8,WEEKDAY($B25,2)),""))</f>
        <v>samedi</v>
      </c>
      <c r="D25" s="15" t="s">
        <v>510</v>
      </c>
      <c r="E25" s="10" t="str">
        <f t="shared" si="0"/>
        <v>CR-SAM</v>
      </c>
      <c r="F25" s="10" t="str">
        <f>IFERROR(IF($E25="","",INDEX(Referentiel!$E$54:$E$63,MATCH($E25,Referentiel!$A$54:$A$63,0))&amp;""),"")</f>
        <v>B50</v>
      </c>
      <c r="G25" s="10" t="str">
        <f>IFERROR(IF($E25="","",INDEX(Referentiel!$F$54:$F$63,MATCH($E25,Referentiel!$A$54:$A$63,0))&amp;""),"")</f>
        <v>LC</v>
      </c>
      <c r="H25" s="15"/>
      <c r="I25" s="15" t="s">
        <v>511</v>
      </c>
      <c r="J25" s="15"/>
      <c r="K25" s="10" t="str">
        <f>IF($J25="","",IFERROR(IF(ISNUMBER(FIND("[",$J25)),MID($J25,FIND("[",$J25)+1,FIND("]",$J25)-FIND("[",$J25)-1),IF(ISNUMBER($J25),INDEX(Personnes!$B$5:$B$154,MATCH($J25,Personnes!$A$5:$A$154,0)),IFERROR(INDEX(Personnes!$B$5:$B$154,MATCH($J25&amp;"*",Personnes!$C$5:$C$154,0)),INDEX(Personnes!$B$5:$B$154,MATCH($J25&amp;"*",Personnes!$D$5:$D$154,0))))),""))</f>
        <v/>
      </c>
      <c r="L25" s="10" t="str">
        <f>IFERROR(INDEX(Personnes!$C$5:$C$154,MATCH($K25,Personnes!$B$5:$B$154,0))&amp;"","")</f>
        <v/>
      </c>
      <c r="M25" s="10" t="str">
        <f>IFERROR(INDEX(Personnes!$D$5:$D$154,MATCH($K25,Personnes!$B$5:$B$154,0))&amp;"","")</f>
        <v/>
      </c>
      <c r="N25" s="15"/>
      <c r="O25" s="10" t="str">
        <f>IF($N25&lt;&gt;"",IF($N25="","",IFERROR(IF(ISNUMBER(FIND("[",$N25)),MID($N25,FIND("[",$N25)+1,FIND("]",$N25)-FIND("[",$N25)-1),IF(ISNUMBER($N25),INDEX(Personnes!$B$5:$B$154,MATCH($N25,Personnes!$A$5:$A$154,0)),IFERROR(INDEX(Personnes!$B$5:$B$154,MATCH($N25&amp;"*",Personnes!$C$5:$C$154,0)),INDEX(Personnes!$B$5:$B$154,MATCH($N25&amp;"*",Personnes!$D$5:$D$154,0))))),"")),IF($E25="","",IFERROR(INDEX(Referentiel!$H$54:$H$63,MATCH($E25,Referentiel!$A$54:$A$63,0)),"")))</f>
        <v>P045</v>
      </c>
      <c r="P25" s="10" t="str">
        <f>IFERROR(INDEX(Personnes!$C$5:$C$154,MATCH($O25,Personnes!$B$5:$B$154,0))&amp;"","")</f>
        <v>SEGUI</v>
      </c>
      <c r="Q25" s="10" t="str">
        <f>IFERROR(INDEX(Personnes!$D$5:$D$154,MATCH($O25,Personnes!$B$5:$B$154,0))&amp;"","")</f>
        <v>Danny</v>
      </c>
      <c r="R25" s="9"/>
      <c r="S25" s="9"/>
      <c r="T25" s="10">
        <f>IF($A25="","",COUNTIFS(Presences!$A$5:$A$504,$A25,Presences!$C$5:$C$504,"&lt;&gt;"))</f>
        <v>0</v>
      </c>
      <c r="U25" s="10" t="str">
        <f>IF($A25="","",IF(AND($J25&lt;&gt;"",$K25=""),"DP non reconnu",IF(AND($K25&lt;&gt;"",COUNTIF(Referentiel!$A$81:$A$110,$K25)=0),"DP sans qualification Sécurité valide",IF(AND($N25&lt;&gt;"",$O25=""),"responsable non reconnu",IF(AND($G25&lt;&gt;"",$G25&lt;&gt;"LC"),"créneau rattaché à un autre groupe",IF($I25&lt;&gt;"tenue","",IF(OR($K25="",$O25=""),"couverture incomplète","ok")))))))</f>
        <v/>
      </c>
    </row>
    <row r="26" spans="1:21" x14ac:dyDescent="0.2">
      <c r="A26" s="10" t="str">
        <f>IF($B26="","","S"&amp;TEXT(COUNTIF($B$5:$B26,"&lt;&gt;"),"000")&amp;" — "&amp;TEXT(DAY($B26),"00")&amp;"/"&amp;TEXT(MONTH($B26),"00")&amp;"/"&amp;YEAR($B26)&amp;" ("&amp;$C26&amp;")")</f>
        <v>S022 — 06/02/2027 (samedi)</v>
      </c>
      <c r="B26" s="14">
        <v>46424</v>
      </c>
      <c r="C26" s="10" t="str">
        <f>IF($B26="","",IFERROR(INDEX(Listes!$A$2:$A$8,WEEKDAY($B26,2)),""))</f>
        <v>samedi</v>
      </c>
      <c r="D26" s="15" t="s">
        <v>510</v>
      </c>
      <c r="E26" s="10" t="str">
        <f t="shared" si="0"/>
        <v>CR-SAM</v>
      </c>
      <c r="F26" s="10" t="str">
        <f>IFERROR(IF($E26="","",INDEX(Referentiel!$E$54:$E$63,MATCH($E26,Referentiel!$A$54:$A$63,0))&amp;""),"")</f>
        <v>B50</v>
      </c>
      <c r="G26" s="10" t="str">
        <f>IFERROR(IF($E26="","",INDEX(Referentiel!$F$54:$F$63,MATCH($E26,Referentiel!$A$54:$A$63,0))&amp;""),"")</f>
        <v>LC</v>
      </c>
      <c r="H26" s="15"/>
      <c r="I26" s="15" t="s">
        <v>511</v>
      </c>
      <c r="J26" s="15"/>
      <c r="K26" s="10" t="str">
        <f>IF($J26="","",IFERROR(IF(ISNUMBER(FIND("[",$J26)),MID($J26,FIND("[",$J26)+1,FIND("]",$J26)-FIND("[",$J26)-1),IF(ISNUMBER($J26),INDEX(Personnes!$B$5:$B$154,MATCH($J26,Personnes!$A$5:$A$154,0)),IFERROR(INDEX(Personnes!$B$5:$B$154,MATCH($J26&amp;"*",Personnes!$C$5:$C$154,0)),INDEX(Personnes!$B$5:$B$154,MATCH($J26&amp;"*",Personnes!$D$5:$D$154,0))))),""))</f>
        <v/>
      </c>
      <c r="L26" s="10" t="str">
        <f>IFERROR(INDEX(Personnes!$C$5:$C$154,MATCH($K26,Personnes!$B$5:$B$154,0))&amp;"","")</f>
        <v/>
      </c>
      <c r="M26" s="10" t="str">
        <f>IFERROR(INDEX(Personnes!$D$5:$D$154,MATCH($K26,Personnes!$B$5:$B$154,0))&amp;"","")</f>
        <v/>
      </c>
      <c r="N26" s="15"/>
      <c r="O26" s="10" t="str">
        <f>IF($N26&lt;&gt;"",IF($N26="","",IFERROR(IF(ISNUMBER(FIND("[",$N26)),MID($N26,FIND("[",$N26)+1,FIND("]",$N26)-FIND("[",$N26)-1),IF(ISNUMBER($N26),INDEX(Personnes!$B$5:$B$154,MATCH($N26,Personnes!$A$5:$A$154,0)),IFERROR(INDEX(Personnes!$B$5:$B$154,MATCH($N26&amp;"*",Personnes!$C$5:$C$154,0)),INDEX(Personnes!$B$5:$B$154,MATCH($N26&amp;"*",Personnes!$D$5:$D$154,0))))),"")),IF($E26="","",IFERROR(INDEX(Referentiel!$H$54:$H$63,MATCH($E26,Referentiel!$A$54:$A$63,0)),"")))</f>
        <v>P045</v>
      </c>
      <c r="P26" s="10" t="str">
        <f>IFERROR(INDEX(Personnes!$C$5:$C$154,MATCH($O26,Personnes!$B$5:$B$154,0))&amp;"","")</f>
        <v>SEGUI</v>
      </c>
      <c r="Q26" s="10" t="str">
        <f>IFERROR(INDEX(Personnes!$D$5:$D$154,MATCH($O26,Personnes!$B$5:$B$154,0))&amp;"","")</f>
        <v>Danny</v>
      </c>
      <c r="R26" s="9"/>
      <c r="S26" s="9"/>
      <c r="T26" s="10">
        <f>IF($A26="","",COUNTIFS(Presences!$A$5:$A$504,$A26,Presences!$C$5:$C$504,"&lt;&gt;"))</f>
        <v>0</v>
      </c>
      <c r="U26" s="10" t="str">
        <f>IF($A26="","",IF(AND($J26&lt;&gt;"",$K26=""),"DP non reconnu",IF(AND($K26&lt;&gt;"",COUNTIF(Referentiel!$A$81:$A$110,$K26)=0),"DP sans qualification Sécurité valide",IF(AND($N26&lt;&gt;"",$O26=""),"responsable non reconnu",IF(AND($G26&lt;&gt;"",$G26&lt;&gt;"LC"),"créneau rattaché à un autre groupe",IF($I26&lt;&gt;"tenue","",IF(OR($K26="",$O26=""),"couverture incomplète","ok")))))))</f>
        <v/>
      </c>
    </row>
    <row r="27" spans="1:21" x14ac:dyDescent="0.2">
      <c r="A27" s="10" t="str">
        <f>IF($B27="","","S"&amp;TEXT(COUNTIF($B$5:$B27,"&lt;&gt;"),"000")&amp;" — "&amp;TEXT(DAY($B27),"00")&amp;"/"&amp;TEXT(MONTH($B27),"00")&amp;"/"&amp;YEAR($B27)&amp;" ("&amp;$C27&amp;")")</f>
        <v>S023 — 13/02/2027 (samedi)</v>
      </c>
      <c r="B27" s="14">
        <v>46431</v>
      </c>
      <c r="C27" s="10" t="str">
        <f>IF($B27="","",IFERROR(INDEX(Listes!$A$2:$A$8,WEEKDAY($B27,2)),""))</f>
        <v>samedi</v>
      </c>
      <c r="D27" s="15" t="s">
        <v>510</v>
      </c>
      <c r="E27" s="10" t="str">
        <f t="shared" si="0"/>
        <v>CR-SAM</v>
      </c>
      <c r="F27" s="10" t="str">
        <f>IFERROR(IF($E27="","",INDEX(Referentiel!$E$54:$E$63,MATCH($E27,Referentiel!$A$54:$A$63,0))&amp;""),"")</f>
        <v>B50</v>
      </c>
      <c r="G27" s="10" t="str">
        <f>IFERROR(IF($E27="","",INDEX(Referentiel!$F$54:$F$63,MATCH($E27,Referentiel!$A$54:$A$63,0))&amp;""),"")</f>
        <v>LC</v>
      </c>
      <c r="H27" s="15"/>
      <c r="I27" s="15" t="s">
        <v>511</v>
      </c>
      <c r="J27" s="15"/>
      <c r="K27" s="10" t="str">
        <f>IF($J27="","",IFERROR(IF(ISNUMBER(FIND("[",$J27)),MID($J27,FIND("[",$J27)+1,FIND("]",$J27)-FIND("[",$J27)-1),IF(ISNUMBER($J27),INDEX(Personnes!$B$5:$B$154,MATCH($J27,Personnes!$A$5:$A$154,0)),IFERROR(INDEX(Personnes!$B$5:$B$154,MATCH($J27&amp;"*",Personnes!$C$5:$C$154,0)),INDEX(Personnes!$B$5:$B$154,MATCH($J27&amp;"*",Personnes!$D$5:$D$154,0))))),""))</f>
        <v/>
      </c>
      <c r="L27" s="10" t="str">
        <f>IFERROR(INDEX(Personnes!$C$5:$C$154,MATCH($K27,Personnes!$B$5:$B$154,0))&amp;"","")</f>
        <v/>
      </c>
      <c r="M27" s="10" t="str">
        <f>IFERROR(INDEX(Personnes!$D$5:$D$154,MATCH($K27,Personnes!$B$5:$B$154,0))&amp;"","")</f>
        <v/>
      </c>
      <c r="N27" s="15"/>
      <c r="O27" s="10" t="str">
        <f>IF($N27&lt;&gt;"",IF($N27="","",IFERROR(IF(ISNUMBER(FIND("[",$N27)),MID($N27,FIND("[",$N27)+1,FIND("]",$N27)-FIND("[",$N27)-1),IF(ISNUMBER($N27),INDEX(Personnes!$B$5:$B$154,MATCH($N27,Personnes!$A$5:$A$154,0)),IFERROR(INDEX(Personnes!$B$5:$B$154,MATCH($N27&amp;"*",Personnes!$C$5:$C$154,0)),INDEX(Personnes!$B$5:$B$154,MATCH($N27&amp;"*",Personnes!$D$5:$D$154,0))))),"")),IF($E27="","",IFERROR(INDEX(Referentiel!$H$54:$H$63,MATCH($E27,Referentiel!$A$54:$A$63,0)),"")))</f>
        <v>P045</v>
      </c>
      <c r="P27" s="10" t="str">
        <f>IFERROR(INDEX(Personnes!$C$5:$C$154,MATCH($O27,Personnes!$B$5:$B$154,0))&amp;"","")</f>
        <v>SEGUI</v>
      </c>
      <c r="Q27" s="10" t="str">
        <f>IFERROR(INDEX(Personnes!$D$5:$D$154,MATCH($O27,Personnes!$B$5:$B$154,0))&amp;"","")</f>
        <v>Danny</v>
      </c>
      <c r="R27" s="9"/>
      <c r="S27" s="9"/>
      <c r="T27" s="10">
        <f>IF($A27="","",COUNTIFS(Presences!$A$5:$A$504,$A27,Presences!$C$5:$C$504,"&lt;&gt;"))</f>
        <v>0</v>
      </c>
      <c r="U27" s="10" t="str">
        <f>IF($A27="","",IF(AND($J27&lt;&gt;"",$K27=""),"DP non reconnu",IF(AND($K27&lt;&gt;"",COUNTIF(Referentiel!$A$81:$A$110,$K27)=0),"DP sans qualification Sécurité valide",IF(AND($N27&lt;&gt;"",$O27=""),"responsable non reconnu",IF(AND($G27&lt;&gt;"",$G27&lt;&gt;"LC"),"créneau rattaché à un autre groupe",IF($I27&lt;&gt;"tenue","",IF(OR($K27="",$O27=""),"couverture incomplète","ok")))))))</f>
        <v/>
      </c>
    </row>
    <row r="28" spans="1:21" x14ac:dyDescent="0.2">
      <c r="A28" s="10" t="str">
        <f>IF($B28="","","S"&amp;TEXT(COUNTIF($B$5:$B28,"&lt;&gt;"),"000")&amp;" — "&amp;TEXT(DAY($B28),"00")&amp;"/"&amp;TEXT(MONTH($B28),"00")&amp;"/"&amp;YEAR($B28)&amp;" ("&amp;$C28&amp;")")</f>
        <v>S024 — 20/02/2027 (samedi)</v>
      </c>
      <c r="B28" s="14">
        <v>46438</v>
      </c>
      <c r="C28" s="10" t="str">
        <f>IF($B28="","",IFERROR(INDEX(Listes!$A$2:$A$8,WEEKDAY($B28,2)),""))</f>
        <v>samedi</v>
      </c>
      <c r="D28" s="15" t="s">
        <v>510</v>
      </c>
      <c r="E28" s="10" t="str">
        <f t="shared" si="0"/>
        <v>CR-SAM</v>
      </c>
      <c r="F28" s="10" t="str">
        <f>IFERROR(IF($E28="","",INDEX(Referentiel!$E$54:$E$63,MATCH($E28,Referentiel!$A$54:$A$63,0))&amp;""),"")</f>
        <v>B50</v>
      </c>
      <c r="G28" s="10" t="str">
        <f>IFERROR(IF($E28="","",INDEX(Referentiel!$F$54:$F$63,MATCH($E28,Referentiel!$A$54:$A$63,0))&amp;""),"")</f>
        <v>LC</v>
      </c>
      <c r="H28" s="15"/>
      <c r="I28" s="15" t="s">
        <v>511</v>
      </c>
      <c r="J28" s="15"/>
      <c r="K28" s="10" t="str">
        <f>IF($J28="","",IFERROR(IF(ISNUMBER(FIND("[",$J28)),MID($J28,FIND("[",$J28)+1,FIND("]",$J28)-FIND("[",$J28)-1),IF(ISNUMBER($J28),INDEX(Personnes!$B$5:$B$154,MATCH($J28,Personnes!$A$5:$A$154,0)),IFERROR(INDEX(Personnes!$B$5:$B$154,MATCH($J28&amp;"*",Personnes!$C$5:$C$154,0)),INDEX(Personnes!$B$5:$B$154,MATCH($J28&amp;"*",Personnes!$D$5:$D$154,0))))),""))</f>
        <v/>
      </c>
      <c r="L28" s="10" t="str">
        <f>IFERROR(INDEX(Personnes!$C$5:$C$154,MATCH($K28,Personnes!$B$5:$B$154,0))&amp;"","")</f>
        <v/>
      </c>
      <c r="M28" s="10" t="str">
        <f>IFERROR(INDEX(Personnes!$D$5:$D$154,MATCH($K28,Personnes!$B$5:$B$154,0))&amp;"","")</f>
        <v/>
      </c>
      <c r="N28" s="15"/>
      <c r="O28" s="10" t="str">
        <f>IF($N28&lt;&gt;"",IF($N28="","",IFERROR(IF(ISNUMBER(FIND("[",$N28)),MID($N28,FIND("[",$N28)+1,FIND("]",$N28)-FIND("[",$N28)-1),IF(ISNUMBER($N28),INDEX(Personnes!$B$5:$B$154,MATCH($N28,Personnes!$A$5:$A$154,0)),IFERROR(INDEX(Personnes!$B$5:$B$154,MATCH($N28&amp;"*",Personnes!$C$5:$C$154,0)),INDEX(Personnes!$B$5:$B$154,MATCH($N28&amp;"*",Personnes!$D$5:$D$154,0))))),"")),IF($E28="","",IFERROR(INDEX(Referentiel!$H$54:$H$63,MATCH($E28,Referentiel!$A$54:$A$63,0)),"")))</f>
        <v>P045</v>
      </c>
      <c r="P28" s="10" t="str">
        <f>IFERROR(INDEX(Personnes!$C$5:$C$154,MATCH($O28,Personnes!$B$5:$B$154,0))&amp;"","")</f>
        <v>SEGUI</v>
      </c>
      <c r="Q28" s="10" t="str">
        <f>IFERROR(INDEX(Personnes!$D$5:$D$154,MATCH($O28,Personnes!$B$5:$B$154,0))&amp;"","")</f>
        <v>Danny</v>
      </c>
      <c r="R28" s="9"/>
      <c r="S28" s="9"/>
      <c r="T28" s="10">
        <f>IF($A28="","",COUNTIFS(Presences!$A$5:$A$504,$A28,Presences!$C$5:$C$504,"&lt;&gt;"))</f>
        <v>0</v>
      </c>
      <c r="U28" s="10" t="str">
        <f>IF($A28="","",IF(AND($J28&lt;&gt;"",$K28=""),"DP non reconnu",IF(AND($K28&lt;&gt;"",COUNTIF(Referentiel!$A$81:$A$110,$K28)=0),"DP sans qualification Sécurité valide",IF(AND($N28&lt;&gt;"",$O28=""),"responsable non reconnu",IF(AND($G28&lt;&gt;"",$G28&lt;&gt;"LC"),"créneau rattaché à un autre groupe",IF($I28&lt;&gt;"tenue","",IF(OR($K28="",$O28=""),"couverture incomplète","ok")))))))</f>
        <v/>
      </c>
    </row>
    <row r="29" spans="1:21" x14ac:dyDescent="0.2">
      <c r="A29" s="10" t="str">
        <f>IF($B29="","","S"&amp;TEXT(COUNTIF($B$5:$B29,"&lt;&gt;"),"000")&amp;" — "&amp;TEXT(DAY($B29),"00")&amp;"/"&amp;TEXT(MONTH($B29),"00")&amp;"/"&amp;YEAR($B29)&amp;" ("&amp;$C29&amp;")")</f>
        <v>S025 — 27/02/2027 (samedi)</v>
      </c>
      <c r="B29" s="14">
        <v>46445</v>
      </c>
      <c r="C29" s="10" t="str">
        <f>IF($B29="","",IFERROR(INDEX(Listes!$A$2:$A$8,WEEKDAY($B29,2)),""))</f>
        <v>samedi</v>
      </c>
      <c r="D29" s="15" t="s">
        <v>510</v>
      </c>
      <c r="E29" s="10" t="str">
        <f t="shared" si="0"/>
        <v>CR-SAM</v>
      </c>
      <c r="F29" s="10" t="str">
        <f>IFERROR(IF($E29="","",INDEX(Referentiel!$E$54:$E$63,MATCH($E29,Referentiel!$A$54:$A$63,0))&amp;""),"")</f>
        <v>B50</v>
      </c>
      <c r="G29" s="10" t="str">
        <f>IFERROR(IF($E29="","",INDEX(Referentiel!$F$54:$F$63,MATCH($E29,Referentiel!$A$54:$A$63,0))&amp;""),"")</f>
        <v>LC</v>
      </c>
      <c r="H29" s="15"/>
      <c r="I29" s="15" t="s">
        <v>511</v>
      </c>
      <c r="J29" s="15"/>
      <c r="K29" s="10" t="str">
        <f>IF($J29="","",IFERROR(IF(ISNUMBER(FIND("[",$J29)),MID($J29,FIND("[",$J29)+1,FIND("]",$J29)-FIND("[",$J29)-1),IF(ISNUMBER($J29),INDEX(Personnes!$B$5:$B$154,MATCH($J29,Personnes!$A$5:$A$154,0)),IFERROR(INDEX(Personnes!$B$5:$B$154,MATCH($J29&amp;"*",Personnes!$C$5:$C$154,0)),INDEX(Personnes!$B$5:$B$154,MATCH($J29&amp;"*",Personnes!$D$5:$D$154,0))))),""))</f>
        <v/>
      </c>
      <c r="L29" s="10" t="str">
        <f>IFERROR(INDEX(Personnes!$C$5:$C$154,MATCH($K29,Personnes!$B$5:$B$154,0))&amp;"","")</f>
        <v/>
      </c>
      <c r="M29" s="10" t="str">
        <f>IFERROR(INDEX(Personnes!$D$5:$D$154,MATCH($K29,Personnes!$B$5:$B$154,0))&amp;"","")</f>
        <v/>
      </c>
      <c r="N29" s="15"/>
      <c r="O29" s="10" t="str">
        <f>IF($N29&lt;&gt;"",IF($N29="","",IFERROR(IF(ISNUMBER(FIND("[",$N29)),MID($N29,FIND("[",$N29)+1,FIND("]",$N29)-FIND("[",$N29)-1),IF(ISNUMBER($N29),INDEX(Personnes!$B$5:$B$154,MATCH($N29,Personnes!$A$5:$A$154,0)),IFERROR(INDEX(Personnes!$B$5:$B$154,MATCH($N29&amp;"*",Personnes!$C$5:$C$154,0)),INDEX(Personnes!$B$5:$B$154,MATCH($N29&amp;"*",Personnes!$D$5:$D$154,0))))),"")),IF($E29="","",IFERROR(INDEX(Referentiel!$H$54:$H$63,MATCH($E29,Referentiel!$A$54:$A$63,0)),"")))</f>
        <v>P045</v>
      </c>
      <c r="P29" s="10" t="str">
        <f>IFERROR(INDEX(Personnes!$C$5:$C$154,MATCH($O29,Personnes!$B$5:$B$154,0))&amp;"","")</f>
        <v>SEGUI</v>
      </c>
      <c r="Q29" s="10" t="str">
        <f>IFERROR(INDEX(Personnes!$D$5:$D$154,MATCH($O29,Personnes!$B$5:$B$154,0))&amp;"","")</f>
        <v>Danny</v>
      </c>
      <c r="R29" s="9"/>
      <c r="S29" s="9"/>
      <c r="T29" s="10">
        <f>IF($A29="","",COUNTIFS(Presences!$A$5:$A$504,$A29,Presences!$C$5:$C$504,"&lt;&gt;"))</f>
        <v>0</v>
      </c>
      <c r="U29" s="10" t="str">
        <f>IF($A29="","",IF(AND($J29&lt;&gt;"",$K29=""),"DP non reconnu",IF(AND($K29&lt;&gt;"",COUNTIF(Referentiel!$A$81:$A$110,$K29)=0),"DP sans qualification Sécurité valide",IF(AND($N29&lt;&gt;"",$O29=""),"responsable non reconnu",IF(AND($G29&lt;&gt;"",$G29&lt;&gt;"LC"),"créneau rattaché à un autre groupe",IF($I29&lt;&gt;"tenue","",IF(OR($K29="",$O29=""),"couverture incomplète","ok")))))))</f>
        <v/>
      </c>
    </row>
    <row r="30" spans="1:21" x14ac:dyDescent="0.2">
      <c r="A30" s="10" t="str">
        <f>IF($B30="","","S"&amp;TEXT(COUNTIF($B$5:$B30,"&lt;&gt;"),"000")&amp;" — "&amp;TEXT(DAY($B30),"00")&amp;"/"&amp;TEXT(MONTH($B30),"00")&amp;"/"&amp;YEAR($B30)&amp;" ("&amp;$C30&amp;")")</f>
        <v>S026 — 06/03/2027 (samedi)</v>
      </c>
      <c r="B30" s="14">
        <v>46452</v>
      </c>
      <c r="C30" s="10" t="str">
        <f>IF($B30="","",IFERROR(INDEX(Listes!$A$2:$A$8,WEEKDAY($B30,2)),""))</f>
        <v>samedi</v>
      </c>
      <c r="D30" s="15" t="s">
        <v>510</v>
      </c>
      <c r="E30" s="10" t="str">
        <f t="shared" si="0"/>
        <v>CR-SAM</v>
      </c>
      <c r="F30" s="10" t="str">
        <f>IFERROR(IF($E30="","",INDEX(Referentiel!$E$54:$E$63,MATCH($E30,Referentiel!$A$54:$A$63,0))&amp;""),"")</f>
        <v>B50</v>
      </c>
      <c r="G30" s="10" t="str">
        <f>IFERROR(IF($E30="","",INDEX(Referentiel!$F$54:$F$63,MATCH($E30,Referentiel!$A$54:$A$63,0))&amp;""),"")</f>
        <v>LC</v>
      </c>
      <c r="H30" s="15"/>
      <c r="I30" s="15" t="s">
        <v>511</v>
      </c>
      <c r="J30" s="15"/>
      <c r="K30" s="10" t="str">
        <f>IF($J30="","",IFERROR(IF(ISNUMBER(FIND("[",$J30)),MID($J30,FIND("[",$J30)+1,FIND("]",$J30)-FIND("[",$J30)-1),IF(ISNUMBER($J30),INDEX(Personnes!$B$5:$B$154,MATCH($J30,Personnes!$A$5:$A$154,0)),IFERROR(INDEX(Personnes!$B$5:$B$154,MATCH($J30&amp;"*",Personnes!$C$5:$C$154,0)),INDEX(Personnes!$B$5:$B$154,MATCH($J30&amp;"*",Personnes!$D$5:$D$154,0))))),""))</f>
        <v/>
      </c>
      <c r="L30" s="10" t="str">
        <f>IFERROR(INDEX(Personnes!$C$5:$C$154,MATCH($K30,Personnes!$B$5:$B$154,0))&amp;"","")</f>
        <v/>
      </c>
      <c r="M30" s="10" t="str">
        <f>IFERROR(INDEX(Personnes!$D$5:$D$154,MATCH($K30,Personnes!$B$5:$B$154,0))&amp;"","")</f>
        <v/>
      </c>
      <c r="N30" s="15"/>
      <c r="O30" s="10" t="str">
        <f>IF($N30&lt;&gt;"",IF($N30="","",IFERROR(IF(ISNUMBER(FIND("[",$N30)),MID($N30,FIND("[",$N30)+1,FIND("]",$N30)-FIND("[",$N30)-1),IF(ISNUMBER($N30),INDEX(Personnes!$B$5:$B$154,MATCH($N30,Personnes!$A$5:$A$154,0)),IFERROR(INDEX(Personnes!$B$5:$B$154,MATCH($N30&amp;"*",Personnes!$C$5:$C$154,0)),INDEX(Personnes!$B$5:$B$154,MATCH($N30&amp;"*",Personnes!$D$5:$D$154,0))))),"")),IF($E30="","",IFERROR(INDEX(Referentiel!$H$54:$H$63,MATCH($E30,Referentiel!$A$54:$A$63,0)),"")))</f>
        <v>P045</v>
      </c>
      <c r="P30" s="10" t="str">
        <f>IFERROR(INDEX(Personnes!$C$5:$C$154,MATCH($O30,Personnes!$B$5:$B$154,0))&amp;"","")</f>
        <v>SEGUI</v>
      </c>
      <c r="Q30" s="10" t="str">
        <f>IFERROR(INDEX(Personnes!$D$5:$D$154,MATCH($O30,Personnes!$B$5:$B$154,0))&amp;"","")</f>
        <v>Danny</v>
      </c>
      <c r="R30" s="9"/>
      <c r="S30" s="9"/>
      <c r="T30" s="10">
        <f>IF($A30="","",COUNTIFS(Presences!$A$5:$A$504,$A30,Presences!$C$5:$C$504,"&lt;&gt;"))</f>
        <v>0</v>
      </c>
      <c r="U30" s="10" t="str">
        <f>IF($A30="","",IF(AND($J30&lt;&gt;"",$K30=""),"DP non reconnu",IF(AND($K30&lt;&gt;"",COUNTIF(Referentiel!$A$81:$A$110,$K30)=0),"DP sans qualification Sécurité valide",IF(AND($N30&lt;&gt;"",$O30=""),"responsable non reconnu",IF(AND($G30&lt;&gt;"",$G30&lt;&gt;"LC"),"créneau rattaché à un autre groupe",IF($I30&lt;&gt;"tenue","",IF(OR($K30="",$O30=""),"couverture incomplète","ok")))))))</f>
        <v/>
      </c>
    </row>
    <row r="31" spans="1:21" x14ac:dyDescent="0.2">
      <c r="A31" s="10" t="str">
        <f>IF($B31="","","S"&amp;TEXT(COUNTIF($B$5:$B31,"&lt;&gt;"),"000")&amp;" — "&amp;TEXT(DAY($B31),"00")&amp;"/"&amp;TEXT(MONTH($B31),"00")&amp;"/"&amp;YEAR($B31)&amp;" ("&amp;$C31&amp;")")</f>
        <v>S027 — 13/03/2027 (samedi)</v>
      </c>
      <c r="B31" s="14">
        <v>46459</v>
      </c>
      <c r="C31" s="10" t="str">
        <f>IF($B31="","",IFERROR(INDEX(Listes!$A$2:$A$8,WEEKDAY($B31,2)),""))</f>
        <v>samedi</v>
      </c>
      <c r="D31" s="15" t="s">
        <v>510</v>
      </c>
      <c r="E31" s="10" t="str">
        <f t="shared" si="0"/>
        <v>CR-SAM</v>
      </c>
      <c r="F31" s="10" t="str">
        <f>IFERROR(IF($E31="","",INDEX(Referentiel!$E$54:$E$63,MATCH($E31,Referentiel!$A$54:$A$63,0))&amp;""),"")</f>
        <v>B50</v>
      </c>
      <c r="G31" s="10" t="str">
        <f>IFERROR(IF($E31="","",INDEX(Referentiel!$F$54:$F$63,MATCH($E31,Referentiel!$A$54:$A$63,0))&amp;""),"")</f>
        <v>LC</v>
      </c>
      <c r="H31" s="15"/>
      <c r="I31" s="15" t="s">
        <v>511</v>
      </c>
      <c r="J31" s="15"/>
      <c r="K31" s="10" t="str">
        <f>IF($J31="","",IFERROR(IF(ISNUMBER(FIND("[",$J31)),MID($J31,FIND("[",$J31)+1,FIND("]",$J31)-FIND("[",$J31)-1),IF(ISNUMBER($J31),INDEX(Personnes!$B$5:$B$154,MATCH($J31,Personnes!$A$5:$A$154,0)),IFERROR(INDEX(Personnes!$B$5:$B$154,MATCH($J31&amp;"*",Personnes!$C$5:$C$154,0)),INDEX(Personnes!$B$5:$B$154,MATCH($J31&amp;"*",Personnes!$D$5:$D$154,0))))),""))</f>
        <v/>
      </c>
      <c r="L31" s="10" t="str">
        <f>IFERROR(INDEX(Personnes!$C$5:$C$154,MATCH($K31,Personnes!$B$5:$B$154,0))&amp;"","")</f>
        <v/>
      </c>
      <c r="M31" s="10" t="str">
        <f>IFERROR(INDEX(Personnes!$D$5:$D$154,MATCH($K31,Personnes!$B$5:$B$154,0))&amp;"","")</f>
        <v/>
      </c>
      <c r="N31" s="15"/>
      <c r="O31" s="10" t="str">
        <f>IF($N31&lt;&gt;"",IF($N31="","",IFERROR(IF(ISNUMBER(FIND("[",$N31)),MID($N31,FIND("[",$N31)+1,FIND("]",$N31)-FIND("[",$N31)-1),IF(ISNUMBER($N31),INDEX(Personnes!$B$5:$B$154,MATCH($N31,Personnes!$A$5:$A$154,0)),IFERROR(INDEX(Personnes!$B$5:$B$154,MATCH($N31&amp;"*",Personnes!$C$5:$C$154,0)),INDEX(Personnes!$B$5:$B$154,MATCH($N31&amp;"*",Personnes!$D$5:$D$154,0))))),"")),IF($E31="","",IFERROR(INDEX(Referentiel!$H$54:$H$63,MATCH($E31,Referentiel!$A$54:$A$63,0)),"")))</f>
        <v>P045</v>
      </c>
      <c r="P31" s="10" t="str">
        <f>IFERROR(INDEX(Personnes!$C$5:$C$154,MATCH($O31,Personnes!$B$5:$B$154,0))&amp;"","")</f>
        <v>SEGUI</v>
      </c>
      <c r="Q31" s="10" t="str">
        <f>IFERROR(INDEX(Personnes!$D$5:$D$154,MATCH($O31,Personnes!$B$5:$B$154,0))&amp;"","")</f>
        <v>Danny</v>
      </c>
      <c r="R31" s="9"/>
      <c r="S31" s="9"/>
      <c r="T31" s="10">
        <f>IF($A31="","",COUNTIFS(Presences!$A$5:$A$504,$A31,Presences!$C$5:$C$504,"&lt;&gt;"))</f>
        <v>0</v>
      </c>
      <c r="U31" s="10" t="str">
        <f>IF($A31="","",IF(AND($J31&lt;&gt;"",$K31=""),"DP non reconnu",IF(AND($K31&lt;&gt;"",COUNTIF(Referentiel!$A$81:$A$110,$K31)=0),"DP sans qualification Sécurité valide",IF(AND($N31&lt;&gt;"",$O31=""),"responsable non reconnu",IF(AND($G31&lt;&gt;"",$G31&lt;&gt;"LC"),"créneau rattaché à un autre groupe",IF($I31&lt;&gt;"tenue","",IF(OR($K31="",$O31=""),"couverture incomplète","ok")))))))</f>
        <v/>
      </c>
    </row>
    <row r="32" spans="1:21" x14ac:dyDescent="0.2">
      <c r="A32" s="10" t="str">
        <f>IF($B32="","","S"&amp;TEXT(COUNTIF($B$5:$B32,"&lt;&gt;"),"000")&amp;" — "&amp;TEXT(DAY($B32),"00")&amp;"/"&amp;TEXT(MONTH($B32),"00")&amp;"/"&amp;YEAR($B32)&amp;" ("&amp;$C32&amp;")")</f>
        <v>S028 — 20/03/2027 (samedi)</v>
      </c>
      <c r="B32" s="14">
        <v>46466</v>
      </c>
      <c r="C32" s="10" t="str">
        <f>IF($B32="","",IFERROR(INDEX(Listes!$A$2:$A$8,WEEKDAY($B32,2)),""))</f>
        <v>samedi</v>
      </c>
      <c r="D32" s="15" t="s">
        <v>510</v>
      </c>
      <c r="E32" s="10" t="str">
        <f t="shared" si="0"/>
        <v>CR-SAM</v>
      </c>
      <c r="F32" s="10" t="str">
        <f>IFERROR(IF($E32="","",INDEX(Referentiel!$E$54:$E$63,MATCH($E32,Referentiel!$A$54:$A$63,0))&amp;""),"")</f>
        <v>B50</v>
      </c>
      <c r="G32" s="10" t="str">
        <f>IFERROR(IF($E32="","",INDEX(Referentiel!$F$54:$F$63,MATCH($E32,Referentiel!$A$54:$A$63,0))&amp;""),"")</f>
        <v>LC</v>
      </c>
      <c r="H32" s="15"/>
      <c r="I32" s="15" t="s">
        <v>511</v>
      </c>
      <c r="J32" s="15"/>
      <c r="K32" s="10" t="str">
        <f>IF($J32="","",IFERROR(IF(ISNUMBER(FIND("[",$J32)),MID($J32,FIND("[",$J32)+1,FIND("]",$J32)-FIND("[",$J32)-1),IF(ISNUMBER($J32),INDEX(Personnes!$B$5:$B$154,MATCH($J32,Personnes!$A$5:$A$154,0)),IFERROR(INDEX(Personnes!$B$5:$B$154,MATCH($J32&amp;"*",Personnes!$C$5:$C$154,0)),INDEX(Personnes!$B$5:$B$154,MATCH($J32&amp;"*",Personnes!$D$5:$D$154,0))))),""))</f>
        <v/>
      </c>
      <c r="L32" s="10" t="str">
        <f>IFERROR(INDEX(Personnes!$C$5:$C$154,MATCH($K32,Personnes!$B$5:$B$154,0))&amp;"","")</f>
        <v/>
      </c>
      <c r="M32" s="10" t="str">
        <f>IFERROR(INDEX(Personnes!$D$5:$D$154,MATCH($K32,Personnes!$B$5:$B$154,0))&amp;"","")</f>
        <v/>
      </c>
      <c r="N32" s="15"/>
      <c r="O32" s="10" t="str">
        <f>IF($N32&lt;&gt;"",IF($N32="","",IFERROR(IF(ISNUMBER(FIND("[",$N32)),MID($N32,FIND("[",$N32)+1,FIND("]",$N32)-FIND("[",$N32)-1),IF(ISNUMBER($N32),INDEX(Personnes!$B$5:$B$154,MATCH($N32,Personnes!$A$5:$A$154,0)),IFERROR(INDEX(Personnes!$B$5:$B$154,MATCH($N32&amp;"*",Personnes!$C$5:$C$154,0)),INDEX(Personnes!$B$5:$B$154,MATCH($N32&amp;"*",Personnes!$D$5:$D$154,0))))),"")),IF($E32="","",IFERROR(INDEX(Referentiel!$H$54:$H$63,MATCH($E32,Referentiel!$A$54:$A$63,0)),"")))</f>
        <v>P045</v>
      </c>
      <c r="P32" s="10" t="str">
        <f>IFERROR(INDEX(Personnes!$C$5:$C$154,MATCH($O32,Personnes!$B$5:$B$154,0))&amp;"","")</f>
        <v>SEGUI</v>
      </c>
      <c r="Q32" s="10" t="str">
        <f>IFERROR(INDEX(Personnes!$D$5:$D$154,MATCH($O32,Personnes!$B$5:$B$154,0))&amp;"","")</f>
        <v>Danny</v>
      </c>
      <c r="R32" s="9"/>
      <c r="S32" s="9"/>
      <c r="T32" s="10">
        <f>IF($A32="","",COUNTIFS(Presences!$A$5:$A$504,$A32,Presences!$C$5:$C$504,"&lt;&gt;"))</f>
        <v>0</v>
      </c>
      <c r="U32" s="10" t="str">
        <f>IF($A32="","",IF(AND($J32&lt;&gt;"",$K32=""),"DP non reconnu",IF(AND($K32&lt;&gt;"",COUNTIF(Referentiel!$A$81:$A$110,$K32)=0),"DP sans qualification Sécurité valide",IF(AND($N32&lt;&gt;"",$O32=""),"responsable non reconnu",IF(AND($G32&lt;&gt;"",$G32&lt;&gt;"LC"),"créneau rattaché à un autre groupe",IF($I32&lt;&gt;"tenue","",IF(OR($K32="",$O32=""),"couverture incomplète","ok")))))))</f>
        <v/>
      </c>
    </row>
    <row r="33" spans="1:21" x14ac:dyDescent="0.2">
      <c r="A33" s="10" t="str">
        <f>IF($B33="","","S"&amp;TEXT(COUNTIF($B$5:$B33,"&lt;&gt;"),"000")&amp;" — "&amp;TEXT(DAY($B33),"00")&amp;"/"&amp;TEXT(MONTH($B33),"00")&amp;"/"&amp;YEAR($B33)&amp;" ("&amp;$C33&amp;")")</f>
        <v>S029 — 27/03/2027 (samedi)</v>
      </c>
      <c r="B33" s="14">
        <v>46473</v>
      </c>
      <c r="C33" s="10" t="str">
        <f>IF($B33="","",IFERROR(INDEX(Listes!$A$2:$A$8,WEEKDAY($B33,2)),""))</f>
        <v>samedi</v>
      </c>
      <c r="D33" s="15" t="s">
        <v>510</v>
      </c>
      <c r="E33" s="10" t="str">
        <f t="shared" si="0"/>
        <v>CR-SAM</v>
      </c>
      <c r="F33" s="10" t="str">
        <f>IFERROR(IF($E33="","",INDEX(Referentiel!$E$54:$E$63,MATCH($E33,Referentiel!$A$54:$A$63,0))&amp;""),"")</f>
        <v>B50</v>
      </c>
      <c r="G33" s="10" t="str">
        <f>IFERROR(IF($E33="","",INDEX(Referentiel!$F$54:$F$63,MATCH($E33,Referentiel!$A$54:$A$63,0))&amp;""),"")</f>
        <v>LC</v>
      </c>
      <c r="H33" s="15"/>
      <c r="I33" s="15" t="s">
        <v>511</v>
      </c>
      <c r="J33" s="15"/>
      <c r="K33" s="10" t="str">
        <f>IF($J33="","",IFERROR(IF(ISNUMBER(FIND("[",$J33)),MID($J33,FIND("[",$J33)+1,FIND("]",$J33)-FIND("[",$J33)-1),IF(ISNUMBER($J33),INDEX(Personnes!$B$5:$B$154,MATCH($J33,Personnes!$A$5:$A$154,0)),IFERROR(INDEX(Personnes!$B$5:$B$154,MATCH($J33&amp;"*",Personnes!$C$5:$C$154,0)),INDEX(Personnes!$B$5:$B$154,MATCH($J33&amp;"*",Personnes!$D$5:$D$154,0))))),""))</f>
        <v/>
      </c>
      <c r="L33" s="10" t="str">
        <f>IFERROR(INDEX(Personnes!$C$5:$C$154,MATCH($K33,Personnes!$B$5:$B$154,0))&amp;"","")</f>
        <v/>
      </c>
      <c r="M33" s="10" t="str">
        <f>IFERROR(INDEX(Personnes!$D$5:$D$154,MATCH($K33,Personnes!$B$5:$B$154,0))&amp;"","")</f>
        <v/>
      </c>
      <c r="N33" s="15"/>
      <c r="O33" s="10" t="str">
        <f>IF($N33&lt;&gt;"",IF($N33="","",IFERROR(IF(ISNUMBER(FIND("[",$N33)),MID($N33,FIND("[",$N33)+1,FIND("]",$N33)-FIND("[",$N33)-1),IF(ISNUMBER($N33),INDEX(Personnes!$B$5:$B$154,MATCH($N33,Personnes!$A$5:$A$154,0)),IFERROR(INDEX(Personnes!$B$5:$B$154,MATCH($N33&amp;"*",Personnes!$C$5:$C$154,0)),INDEX(Personnes!$B$5:$B$154,MATCH($N33&amp;"*",Personnes!$D$5:$D$154,0))))),"")),IF($E33="","",IFERROR(INDEX(Referentiel!$H$54:$H$63,MATCH($E33,Referentiel!$A$54:$A$63,0)),"")))</f>
        <v>P045</v>
      </c>
      <c r="P33" s="10" t="str">
        <f>IFERROR(INDEX(Personnes!$C$5:$C$154,MATCH($O33,Personnes!$B$5:$B$154,0))&amp;"","")</f>
        <v>SEGUI</v>
      </c>
      <c r="Q33" s="10" t="str">
        <f>IFERROR(INDEX(Personnes!$D$5:$D$154,MATCH($O33,Personnes!$B$5:$B$154,0))&amp;"","")</f>
        <v>Danny</v>
      </c>
      <c r="R33" s="9"/>
      <c r="S33" s="9"/>
      <c r="T33" s="10">
        <f>IF($A33="","",COUNTIFS(Presences!$A$5:$A$504,$A33,Presences!$C$5:$C$504,"&lt;&gt;"))</f>
        <v>0</v>
      </c>
      <c r="U33" s="10" t="str">
        <f>IF($A33="","",IF(AND($J33&lt;&gt;"",$K33=""),"DP non reconnu",IF(AND($K33&lt;&gt;"",COUNTIF(Referentiel!$A$81:$A$110,$K33)=0),"DP sans qualification Sécurité valide",IF(AND($N33&lt;&gt;"",$O33=""),"responsable non reconnu",IF(AND($G33&lt;&gt;"",$G33&lt;&gt;"LC"),"créneau rattaché à un autre groupe",IF($I33&lt;&gt;"tenue","",IF(OR($K33="",$O33=""),"couverture incomplète","ok")))))))</f>
        <v/>
      </c>
    </row>
    <row r="34" spans="1:21" x14ac:dyDescent="0.2">
      <c r="A34" s="10" t="str">
        <f>IF($B34="","","S"&amp;TEXT(COUNTIF($B$5:$B34,"&lt;&gt;"),"000")&amp;" — "&amp;TEXT(DAY($B34),"00")&amp;"/"&amp;TEXT(MONTH($B34),"00")&amp;"/"&amp;YEAR($B34)&amp;" ("&amp;$C34&amp;")")</f>
        <v>S030 — 03/04/2027 (samedi)</v>
      </c>
      <c r="B34" s="14">
        <v>46480</v>
      </c>
      <c r="C34" s="10" t="str">
        <f>IF($B34="","",IFERROR(INDEX(Listes!$A$2:$A$8,WEEKDAY($B34,2)),""))</f>
        <v>samedi</v>
      </c>
      <c r="D34" s="15" t="s">
        <v>510</v>
      </c>
      <c r="E34" s="10" t="str">
        <f t="shared" si="0"/>
        <v>CR-SAM</v>
      </c>
      <c r="F34" s="10" t="str">
        <f>IFERROR(IF($E34="","",INDEX(Referentiel!$E$54:$E$63,MATCH($E34,Referentiel!$A$54:$A$63,0))&amp;""),"")</f>
        <v>B50</v>
      </c>
      <c r="G34" s="10" t="str">
        <f>IFERROR(IF($E34="","",INDEX(Referentiel!$F$54:$F$63,MATCH($E34,Referentiel!$A$54:$A$63,0))&amp;""),"")</f>
        <v>LC</v>
      </c>
      <c r="H34" s="15"/>
      <c r="I34" s="15" t="s">
        <v>511</v>
      </c>
      <c r="J34" s="15"/>
      <c r="K34" s="10" t="str">
        <f>IF($J34="","",IFERROR(IF(ISNUMBER(FIND("[",$J34)),MID($J34,FIND("[",$J34)+1,FIND("]",$J34)-FIND("[",$J34)-1),IF(ISNUMBER($J34),INDEX(Personnes!$B$5:$B$154,MATCH($J34,Personnes!$A$5:$A$154,0)),IFERROR(INDEX(Personnes!$B$5:$B$154,MATCH($J34&amp;"*",Personnes!$C$5:$C$154,0)),INDEX(Personnes!$B$5:$B$154,MATCH($J34&amp;"*",Personnes!$D$5:$D$154,0))))),""))</f>
        <v/>
      </c>
      <c r="L34" s="10" t="str">
        <f>IFERROR(INDEX(Personnes!$C$5:$C$154,MATCH($K34,Personnes!$B$5:$B$154,0))&amp;"","")</f>
        <v/>
      </c>
      <c r="M34" s="10" t="str">
        <f>IFERROR(INDEX(Personnes!$D$5:$D$154,MATCH($K34,Personnes!$B$5:$B$154,0))&amp;"","")</f>
        <v/>
      </c>
      <c r="N34" s="15"/>
      <c r="O34" s="10" t="str">
        <f>IF($N34&lt;&gt;"",IF($N34="","",IFERROR(IF(ISNUMBER(FIND("[",$N34)),MID($N34,FIND("[",$N34)+1,FIND("]",$N34)-FIND("[",$N34)-1),IF(ISNUMBER($N34),INDEX(Personnes!$B$5:$B$154,MATCH($N34,Personnes!$A$5:$A$154,0)),IFERROR(INDEX(Personnes!$B$5:$B$154,MATCH($N34&amp;"*",Personnes!$C$5:$C$154,0)),INDEX(Personnes!$B$5:$B$154,MATCH($N34&amp;"*",Personnes!$D$5:$D$154,0))))),"")),IF($E34="","",IFERROR(INDEX(Referentiel!$H$54:$H$63,MATCH($E34,Referentiel!$A$54:$A$63,0)),"")))</f>
        <v>P045</v>
      </c>
      <c r="P34" s="10" t="str">
        <f>IFERROR(INDEX(Personnes!$C$5:$C$154,MATCH($O34,Personnes!$B$5:$B$154,0))&amp;"","")</f>
        <v>SEGUI</v>
      </c>
      <c r="Q34" s="10" t="str">
        <f>IFERROR(INDEX(Personnes!$D$5:$D$154,MATCH($O34,Personnes!$B$5:$B$154,0))&amp;"","")</f>
        <v>Danny</v>
      </c>
      <c r="R34" s="9"/>
      <c r="S34" s="9"/>
      <c r="T34" s="10">
        <f>IF($A34="","",COUNTIFS(Presences!$A$5:$A$504,$A34,Presences!$C$5:$C$504,"&lt;&gt;"))</f>
        <v>0</v>
      </c>
      <c r="U34" s="10" t="str">
        <f>IF($A34="","",IF(AND($J34&lt;&gt;"",$K34=""),"DP non reconnu",IF(AND($K34&lt;&gt;"",COUNTIF(Referentiel!$A$81:$A$110,$K34)=0),"DP sans qualification Sécurité valide",IF(AND($N34&lt;&gt;"",$O34=""),"responsable non reconnu",IF(AND($G34&lt;&gt;"",$G34&lt;&gt;"LC"),"créneau rattaché à un autre groupe",IF($I34&lt;&gt;"tenue","",IF(OR($K34="",$O34=""),"couverture incomplète","ok")))))))</f>
        <v/>
      </c>
    </row>
    <row r="35" spans="1:21" x14ac:dyDescent="0.2">
      <c r="A35" s="10" t="str">
        <f>IF($B35="","","S"&amp;TEXT(COUNTIF($B$5:$B35,"&lt;&gt;"),"000")&amp;" — "&amp;TEXT(DAY($B35),"00")&amp;"/"&amp;TEXT(MONTH($B35),"00")&amp;"/"&amp;YEAR($B35)&amp;" ("&amp;$C35&amp;")")</f>
        <v>S031 — 10/04/2027 (samedi)</v>
      </c>
      <c r="B35" s="14">
        <v>46487</v>
      </c>
      <c r="C35" s="10" t="str">
        <f>IF($B35="","",IFERROR(INDEX(Listes!$A$2:$A$8,WEEKDAY($B35,2)),""))</f>
        <v>samedi</v>
      </c>
      <c r="D35" s="15" t="s">
        <v>510</v>
      </c>
      <c r="E35" s="10" t="str">
        <f t="shared" si="0"/>
        <v>CR-SAM</v>
      </c>
      <c r="F35" s="10" t="str">
        <f>IFERROR(IF($E35="","",INDEX(Referentiel!$E$54:$E$63,MATCH($E35,Referentiel!$A$54:$A$63,0))&amp;""),"")</f>
        <v>B50</v>
      </c>
      <c r="G35" s="10" t="str">
        <f>IFERROR(IF($E35="","",INDEX(Referentiel!$F$54:$F$63,MATCH($E35,Referentiel!$A$54:$A$63,0))&amp;""),"")</f>
        <v>LC</v>
      </c>
      <c r="H35" s="15"/>
      <c r="I35" s="15" t="s">
        <v>511</v>
      </c>
      <c r="J35" s="15"/>
      <c r="K35" s="10" t="str">
        <f>IF($J35="","",IFERROR(IF(ISNUMBER(FIND("[",$J35)),MID($J35,FIND("[",$J35)+1,FIND("]",$J35)-FIND("[",$J35)-1),IF(ISNUMBER($J35),INDEX(Personnes!$B$5:$B$154,MATCH($J35,Personnes!$A$5:$A$154,0)),IFERROR(INDEX(Personnes!$B$5:$B$154,MATCH($J35&amp;"*",Personnes!$C$5:$C$154,0)),INDEX(Personnes!$B$5:$B$154,MATCH($J35&amp;"*",Personnes!$D$5:$D$154,0))))),""))</f>
        <v/>
      </c>
      <c r="L35" s="10" t="str">
        <f>IFERROR(INDEX(Personnes!$C$5:$C$154,MATCH($K35,Personnes!$B$5:$B$154,0))&amp;"","")</f>
        <v/>
      </c>
      <c r="M35" s="10" t="str">
        <f>IFERROR(INDEX(Personnes!$D$5:$D$154,MATCH($K35,Personnes!$B$5:$B$154,0))&amp;"","")</f>
        <v/>
      </c>
      <c r="N35" s="15"/>
      <c r="O35" s="10" t="str">
        <f>IF($N35&lt;&gt;"",IF($N35="","",IFERROR(IF(ISNUMBER(FIND("[",$N35)),MID($N35,FIND("[",$N35)+1,FIND("]",$N35)-FIND("[",$N35)-1),IF(ISNUMBER($N35),INDEX(Personnes!$B$5:$B$154,MATCH($N35,Personnes!$A$5:$A$154,0)),IFERROR(INDEX(Personnes!$B$5:$B$154,MATCH($N35&amp;"*",Personnes!$C$5:$C$154,0)),INDEX(Personnes!$B$5:$B$154,MATCH($N35&amp;"*",Personnes!$D$5:$D$154,0))))),"")),IF($E35="","",IFERROR(INDEX(Referentiel!$H$54:$H$63,MATCH($E35,Referentiel!$A$54:$A$63,0)),"")))</f>
        <v>P045</v>
      </c>
      <c r="P35" s="10" t="str">
        <f>IFERROR(INDEX(Personnes!$C$5:$C$154,MATCH($O35,Personnes!$B$5:$B$154,0))&amp;"","")</f>
        <v>SEGUI</v>
      </c>
      <c r="Q35" s="10" t="str">
        <f>IFERROR(INDEX(Personnes!$D$5:$D$154,MATCH($O35,Personnes!$B$5:$B$154,0))&amp;"","")</f>
        <v>Danny</v>
      </c>
      <c r="R35" s="9"/>
      <c r="S35" s="9"/>
      <c r="T35" s="10">
        <f>IF($A35="","",COUNTIFS(Presences!$A$5:$A$504,$A35,Presences!$C$5:$C$504,"&lt;&gt;"))</f>
        <v>0</v>
      </c>
      <c r="U35" s="10" t="str">
        <f>IF($A35="","",IF(AND($J35&lt;&gt;"",$K35=""),"DP non reconnu",IF(AND($K35&lt;&gt;"",COUNTIF(Referentiel!$A$81:$A$110,$K35)=0),"DP sans qualification Sécurité valide",IF(AND($N35&lt;&gt;"",$O35=""),"responsable non reconnu",IF(AND($G35&lt;&gt;"",$G35&lt;&gt;"LC"),"créneau rattaché à un autre groupe",IF($I35&lt;&gt;"tenue","",IF(OR($K35="",$O35=""),"couverture incomplète","ok")))))))</f>
        <v/>
      </c>
    </row>
    <row r="36" spans="1:21" x14ac:dyDescent="0.2">
      <c r="A36" s="10" t="str">
        <f>IF($B36="","","S"&amp;TEXT(COUNTIF($B$5:$B36,"&lt;&gt;"),"000")&amp;" — "&amp;TEXT(DAY($B36),"00")&amp;"/"&amp;TEXT(MONTH($B36),"00")&amp;"/"&amp;YEAR($B36)&amp;" ("&amp;$C36&amp;")")</f>
        <v>S032 — 17/04/2027 (samedi)</v>
      </c>
      <c r="B36" s="14">
        <v>46494</v>
      </c>
      <c r="C36" s="10" t="str">
        <f>IF($B36="","",IFERROR(INDEX(Listes!$A$2:$A$8,WEEKDAY($B36,2)),""))</f>
        <v>samedi</v>
      </c>
      <c r="D36" s="15" t="s">
        <v>510</v>
      </c>
      <c r="E36" s="10" t="str">
        <f t="shared" si="0"/>
        <v>CR-SAM</v>
      </c>
      <c r="F36" s="10" t="str">
        <f>IFERROR(IF($E36="","",INDEX(Referentiel!$E$54:$E$63,MATCH($E36,Referentiel!$A$54:$A$63,0))&amp;""),"")</f>
        <v>B50</v>
      </c>
      <c r="G36" s="10" t="str">
        <f>IFERROR(IF($E36="","",INDEX(Referentiel!$F$54:$F$63,MATCH($E36,Referentiel!$A$54:$A$63,0))&amp;""),"")</f>
        <v>LC</v>
      </c>
      <c r="H36" s="15"/>
      <c r="I36" s="15" t="s">
        <v>511</v>
      </c>
      <c r="J36" s="15"/>
      <c r="K36" s="10" t="str">
        <f>IF($J36="","",IFERROR(IF(ISNUMBER(FIND("[",$J36)),MID($J36,FIND("[",$J36)+1,FIND("]",$J36)-FIND("[",$J36)-1),IF(ISNUMBER($J36),INDEX(Personnes!$B$5:$B$154,MATCH($J36,Personnes!$A$5:$A$154,0)),IFERROR(INDEX(Personnes!$B$5:$B$154,MATCH($J36&amp;"*",Personnes!$C$5:$C$154,0)),INDEX(Personnes!$B$5:$B$154,MATCH($J36&amp;"*",Personnes!$D$5:$D$154,0))))),""))</f>
        <v/>
      </c>
      <c r="L36" s="10" t="str">
        <f>IFERROR(INDEX(Personnes!$C$5:$C$154,MATCH($K36,Personnes!$B$5:$B$154,0))&amp;"","")</f>
        <v/>
      </c>
      <c r="M36" s="10" t="str">
        <f>IFERROR(INDEX(Personnes!$D$5:$D$154,MATCH($K36,Personnes!$B$5:$B$154,0))&amp;"","")</f>
        <v/>
      </c>
      <c r="N36" s="15"/>
      <c r="O36" s="10" t="str">
        <f>IF($N36&lt;&gt;"",IF($N36="","",IFERROR(IF(ISNUMBER(FIND("[",$N36)),MID($N36,FIND("[",$N36)+1,FIND("]",$N36)-FIND("[",$N36)-1),IF(ISNUMBER($N36),INDEX(Personnes!$B$5:$B$154,MATCH($N36,Personnes!$A$5:$A$154,0)),IFERROR(INDEX(Personnes!$B$5:$B$154,MATCH($N36&amp;"*",Personnes!$C$5:$C$154,0)),INDEX(Personnes!$B$5:$B$154,MATCH($N36&amp;"*",Personnes!$D$5:$D$154,0))))),"")),IF($E36="","",IFERROR(INDEX(Referentiel!$H$54:$H$63,MATCH($E36,Referentiel!$A$54:$A$63,0)),"")))</f>
        <v>P045</v>
      </c>
      <c r="P36" s="10" t="str">
        <f>IFERROR(INDEX(Personnes!$C$5:$C$154,MATCH($O36,Personnes!$B$5:$B$154,0))&amp;"","")</f>
        <v>SEGUI</v>
      </c>
      <c r="Q36" s="10" t="str">
        <f>IFERROR(INDEX(Personnes!$D$5:$D$154,MATCH($O36,Personnes!$B$5:$B$154,0))&amp;"","")</f>
        <v>Danny</v>
      </c>
      <c r="R36" s="9"/>
      <c r="S36" s="9"/>
      <c r="T36" s="10">
        <f>IF($A36="","",COUNTIFS(Presences!$A$5:$A$504,$A36,Presences!$C$5:$C$504,"&lt;&gt;"))</f>
        <v>0</v>
      </c>
      <c r="U36" s="10" t="str">
        <f>IF($A36="","",IF(AND($J36&lt;&gt;"",$K36=""),"DP non reconnu",IF(AND($K36&lt;&gt;"",COUNTIF(Referentiel!$A$81:$A$110,$K36)=0),"DP sans qualification Sécurité valide",IF(AND($N36&lt;&gt;"",$O36=""),"responsable non reconnu",IF(AND($G36&lt;&gt;"",$G36&lt;&gt;"LC"),"créneau rattaché à un autre groupe",IF($I36&lt;&gt;"tenue","",IF(OR($K36="",$O36=""),"couverture incomplète","ok")))))))</f>
        <v/>
      </c>
    </row>
    <row r="37" spans="1:21" x14ac:dyDescent="0.2">
      <c r="A37" s="10" t="str">
        <f>IF($B37="","","S"&amp;TEXT(COUNTIF($B$5:$B37,"&lt;&gt;"),"000")&amp;" — "&amp;TEXT(DAY($B37),"00")&amp;"/"&amp;TEXT(MONTH($B37),"00")&amp;"/"&amp;YEAR($B37)&amp;" ("&amp;$C37&amp;")")</f>
        <v>S033 — 24/04/2027 (samedi)</v>
      </c>
      <c r="B37" s="14">
        <v>46501</v>
      </c>
      <c r="C37" s="10" t="str">
        <f>IF($B37="","",IFERROR(INDEX(Listes!$A$2:$A$8,WEEKDAY($B37,2)),""))</f>
        <v>samedi</v>
      </c>
      <c r="D37" s="15" t="s">
        <v>510</v>
      </c>
      <c r="E37" s="10" t="str">
        <f t="shared" si="0"/>
        <v>CR-SAM</v>
      </c>
      <c r="F37" s="10" t="str">
        <f>IFERROR(IF($E37="","",INDEX(Referentiel!$E$54:$E$63,MATCH($E37,Referentiel!$A$54:$A$63,0))&amp;""),"")</f>
        <v>B50</v>
      </c>
      <c r="G37" s="10" t="str">
        <f>IFERROR(IF($E37="","",INDEX(Referentiel!$F$54:$F$63,MATCH($E37,Referentiel!$A$54:$A$63,0))&amp;""),"")</f>
        <v>LC</v>
      </c>
      <c r="H37" s="15"/>
      <c r="I37" s="15" t="s">
        <v>511</v>
      </c>
      <c r="J37" s="15"/>
      <c r="K37" s="10" t="str">
        <f>IF($J37="","",IFERROR(IF(ISNUMBER(FIND("[",$J37)),MID($J37,FIND("[",$J37)+1,FIND("]",$J37)-FIND("[",$J37)-1),IF(ISNUMBER($J37),INDEX(Personnes!$B$5:$B$154,MATCH($J37,Personnes!$A$5:$A$154,0)),IFERROR(INDEX(Personnes!$B$5:$B$154,MATCH($J37&amp;"*",Personnes!$C$5:$C$154,0)),INDEX(Personnes!$B$5:$B$154,MATCH($J37&amp;"*",Personnes!$D$5:$D$154,0))))),""))</f>
        <v/>
      </c>
      <c r="L37" s="10" t="str">
        <f>IFERROR(INDEX(Personnes!$C$5:$C$154,MATCH($K37,Personnes!$B$5:$B$154,0))&amp;"","")</f>
        <v/>
      </c>
      <c r="M37" s="10" t="str">
        <f>IFERROR(INDEX(Personnes!$D$5:$D$154,MATCH($K37,Personnes!$B$5:$B$154,0))&amp;"","")</f>
        <v/>
      </c>
      <c r="N37" s="15"/>
      <c r="O37" s="10" t="str">
        <f>IF($N37&lt;&gt;"",IF($N37="","",IFERROR(IF(ISNUMBER(FIND("[",$N37)),MID($N37,FIND("[",$N37)+1,FIND("]",$N37)-FIND("[",$N37)-1),IF(ISNUMBER($N37),INDEX(Personnes!$B$5:$B$154,MATCH($N37,Personnes!$A$5:$A$154,0)),IFERROR(INDEX(Personnes!$B$5:$B$154,MATCH($N37&amp;"*",Personnes!$C$5:$C$154,0)),INDEX(Personnes!$B$5:$B$154,MATCH($N37&amp;"*",Personnes!$D$5:$D$154,0))))),"")),IF($E37="","",IFERROR(INDEX(Referentiel!$H$54:$H$63,MATCH($E37,Referentiel!$A$54:$A$63,0)),"")))</f>
        <v>P045</v>
      </c>
      <c r="P37" s="10" t="str">
        <f>IFERROR(INDEX(Personnes!$C$5:$C$154,MATCH($O37,Personnes!$B$5:$B$154,0))&amp;"","")</f>
        <v>SEGUI</v>
      </c>
      <c r="Q37" s="10" t="str">
        <f>IFERROR(INDEX(Personnes!$D$5:$D$154,MATCH($O37,Personnes!$B$5:$B$154,0))&amp;"","")</f>
        <v>Danny</v>
      </c>
      <c r="R37" s="9"/>
      <c r="S37" s="9"/>
      <c r="T37" s="10">
        <f>IF($A37="","",COUNTIFS(Presences!$A$5:$A$504,$A37,Presences!$C$5:$C$504,"&lt;&gt;"))</f>
        <v>0</v>
      </c>
      <c r="U37" s="10" t="str">
        <f>IF($A37="","",IF(AND($J37&lt;&gt;"",$K37=""),"DP non reconnu",IF(AND($K37&lt;&gt;"",COUNTIF(Referentiel!$A$81:$A$110,$K37)=0),"DP sans qualification Sécurité valide",IF(AND($N37&lt;&gt;"",$O37=""),"responsable non reconnu",IF(AND($G37&lt;&gt;"",$G37&lt;&gt;"LC"),"créneau rattaché à un autre groupe",IF($I37&lt;&gt;"tenue","",IF(OR($K37="",$O37=""),"couverture incomplète","ok")))))))</f>
        <v/>
      </c>
    </row>
    <row r="38" spans="1:21" x14ac:dyDescent="0.2">
      <c r="A38" s="10" t="str">
        <f>IF($B38="","","S"&amp;TEXT(COUNTIF($B$5:$B38,"&lt;&gt;"),"000")&amp;" — "&amp;TEXT(DAY($B38),"00")&amp;"/"&amp;TEXT(MONTH($B38),"00")&amp;"/"&amp;YEAR($B38)&amp;" ("&amp;$C38&amp;")")</f>
        <v>S034 — 01/05/2027 (samedi)</v>
      </c>
      <c r="B38" s="14">
        <v>46508</v>
      </c>
      <c r="C38" s="10" t="str">
        <f>IF($B38="","",IFERROR(INDEX(Listes!$A$2:$A$8,WEEKDAY($B38,2)),""))</f>
        <v>samedi</v>
      </c>
      <c r="D38" s="15" t="s">
        <v>510</v>
      </c>
      <c r="E38" s="10" t="str">
        <f t="shared" si="0"/>
        <v>CR-SAM</v>
      </c>
      <c r="F38" s="10" t="str">
        <f>IFERROR(IF($E38="","",INDEX(Referentiel!$E$54:$E$63,MATCH($E38,Referentiel!$A$54:$A$63,0))&amp;""),"")</f>
        <v>B50</v>
      </c>
      <c r="G38" s="10" t="str">
        <f>IFERROR(IF($E38="","",INDEX(Referentiel!$F$54:$F$63,MATCH($E38,Referentiel!$A$54:$A$63,0))&amp;""),"")</f>
        <v>LC</v>
      </c>
      <c r="H38" s="15"/>
      <c r="I38" s="15" t="s">
        <v>511</v>
      </c>
      <c r="J38" s="15"/>
      <c r="K38" s="10" t="str">
        <f>IF($J38="","",IFERROR(IF(ISNUMBER(FIND("[",$J38)),MID($J38,FIND("[",$J38)+1,FIND("]",$J38)-FIND("[",$J38)-1),IF(ISNUMBER($J38),INDEX(Personnes!$B$5:$B$154,MATCH($J38,Personnes!$A$5:$A$154,0)),IFERROR(INDEX(Personnes!$B$5:$B$154,MATCH($J38&amp;"*",Personnes!$C$5:$C$154,0)),INDEX(Personnes!$B$5:$B$154,MATCH($J38&amp;"*",Personnes!$D$5:$D$154,0))))),""))</f>
        <v/>
      </c>
      <c r="L38" s="10" t="str">
        <f>IFERROR(INDEX(Personnes!$C$5:$C$154,MATCH($K38,Personnes!$B$5:$B$154,0))&amp;"","")</f>
        <v/>
      </c>
      <c r="M38" s="10" t="str">
        <f>IFERROR(INDEX(Personnes!$D$5:$D$154,MATCH($K38,Personnes!$B$5:$B$154,0))&amp;"","")</f>
        <v/>
      </c>
      <c r="N38" s="15"/>
      <c r="O38" s="10" t="str">
        <f>IF($N38&lt;&gt;"",IF($N38="","",IFERROR(IF(ISNUMBER(FIND("[",$N38)),MID($N38,FIND("[",$N38)+1,FIND("]",$N38)-FIND("[",$N38)-1),IF(ISNUMBER($N38),INDEX(Personnes!$B$5:$B$154,MATCH($N38,Personnes!$A$5:$A$154,0)),IFERROR(INDEX(Personnes!$B$5:$B$154,MATCH($N38&amp;"*",Personnes!$C$5:$C$154,0)),INDEX(Personnes!$B$5:$B$154,MATCH($N38&amp;"*",Personnes!$D$5:$D$154,0))))),"")),IF($E38="","",IFERROR(INDEX(Referentiel!$H$54:$H$63,MATCH($E38,Referentiel!$A$54:$A$63,0)),"")))</f>
        <v>P045</v>
      </c>
      <c r="P38" s="10" t="str">
        <f>IFERROR(INDEX(Personnes!$C$5:$C$154,MATCH($O38,Personnes!$B$5:$B$154,0))&amp;"","")</f>
        <v>SEGUI</v>
      </c>
      <c r="Q38" s="10" t="str">
        <f>IFERROR(INDEX(Personnes!$D$5:$D$154,MATCH($O38,Personnes!$B$5:$B$154,0))&amp;"","")</f>
        <v>Danny</v>
      </c>
      <c r="R38" s="9"/>
      <c r="S38" s="9"/>
      <c r="T38" s="10">
        <f>IF($A38="","",COUNTIFS(Presences!$A$5:$A$504,$A38,Presences!$C$5:$C$504,"&lt;&gt;"))</f>
        <v>0</v>
      </c>
      <c r="U38" s="10" t="str">
        <f>IF($A38="","",IF(AND($J38&lt;&gt;"",$K38=""),"DP non reconnu",IF(AND($K38&lt;&gt;"",COUNTIF(Referentiel!$A$81:$A$110,$K38)=0),"DP sans qualification Sécurité valide",IF(AND($N38&lt;&gt;"",$O38=""),"responsable non reconnu",IF(AND($G38&lt;&gt;"",$G38&lt;&gt;"LC"),"créneau rattaché à un autre groupe",IF($I38&lt;&gt;"tenue","",IF(OR($K38="",$O38=""),"couverture incomplète","ok")))))))</f>
        <v/>
      </c>
    </row>
    <row r="39" spans="1:21" x14ac:dyDescent="0.2">
      <c r="A39" s="10" t="str">
        <f>IF($B39="","","S"&amp;TEXT(COUNTIF($B$5:$B39,"&lt;&gt;"),"000")&amp;" — "&amp;TEXT(DAY($B39),"00")&amp;"/"&amp;TEXT(MONTH($B39),"00")&amp;"/"&amp;YEAR($B39)&amp;" ("&amp;$C39&amp;")")</f>
        <v>S035 — 08/05/2027 (samedi)</v>
      </c>
      <c r="B39" s="14">
        <v>46515</v>
      </c>
      <c r="C39" s="10" t="str">
        <f>IF($B39="","",IFERROR(INDEX(Listes!$A$2:$A$8,WEEKDAY($B39,2)),""))</f>
        <v>samedi</v>
      </c>
      <c r="D39" s="15" t="s">
        <v>510</v>
      </c>
      <c r="E39" s="10" t="str">
        <f t="shared" si="0"/>
        <v>CR-SAM</v>
      </c>
      <c r="F39" s="10" t="str">
        <f>IFERROR(IF($E39="","",INDEX(Referentiel!$E$54:$E$63,MATCH($E39,Referentiel!$A$54:$A$63,0))&amp;""),"")</f>
        <v>B50</v>
      </c>
      <c r="G39" s="10" t="str">
        <f>IFERROR(IF($E39="","",INDEX(Referentiel!$F$54:$F$63,MATCH($E39,Referentiel!$A$54:$A$63,0))&amp;""),"")</f>
        <v>LC</v>
      </c>
      <c r="H39" s="15"/>
      <c r="I39" s="15" t="s">
        <v>511</v>
      </c>
      <c r="J39" s="15"/>
      <c r="K39" s="10" t="str">
        <f>IF($J39="","",IFERROR(IF(ISNUMBER(FIND("[",$J39)),MID($J39,FIND("[",$J39)+1,FIND("]",$J39)-FIND("[",$J39)-1),IF(ISNUMBER($J39),INDEX(Personnes!$B$5:$B$154,MATCH($J39,Personnes!$A$5:$A$154,0)),IFERROR(INDEX(Personnes!$B$5:$B$154,MATCH($J39&amp;"*",Personnes!$C$5:$C$154,0)),INDEX(Personnes!$B$5:$B$154,MATCH($J39&amp;"*",Personnes!$D$5:$D$154,0))))),""))</f>
        <v/>
      </c>
      <c r="L39" s="10" t="str">
        <f>IFERROR(INDEX(Personnes!$C$5:$C$154,MATCH($K39,Personnes!$B$5:$B$154,0))&amp;"","")</f>
        <v/>
      </c>
      <c r="M39" s="10" t="str">
        <f>IFERROR(INDEX(Personnes!$D$5:$D$154,MATCH($K39,Personnes!$B$5:$B$154,0))&amp;"","")</f>
        <v/>
      </c>
      <c r="N39" s="15"/>
      <c r="O39" s="10" t="str">
        <f>IF($N39&lt;&gt;"",IF($N39="","",IFERROR(IF(ISNUMBER(FIND("[",$N39)),MID($N39,FIND("[",$N39)+1,FIND("]",$N39)-FIND("[",$N39)-1),IF(ISNUMBER($N39),INDEX(Personnes!$B$5:$B$154,MATCH($N39,Personnes!$A$5:$A$154,0)),IFERROR(INDEX(Personnes!$B$5:$B$154,MATCH($N39&amp;"*",Personnes!$C$5:$C$154,0)),INDEX(Personnes!$B$5:$B$154,MATCH($N39&amp;"*",Personnes!$D$5:$D$154,0))))),"")),IF($E39="","",IFERROR(INDEX(Referentiel!$H$54:$H$63,MATCH($E39,Referentiel!$A$54:$A$63,0)),"")))</f>
        <v>P045</v>
      </c>
      <c r="P39" s="10" t="str">
        <f>IFERROR(INDEX(Personnes!$C$5:$C$154,MATCH($O39,Personnes!$B$5:$B$154,0))&amp;"","")</f>
        <v>SEGUI</v>
      </c>
      <c r="Q39" s="10" t="str">
        <f>IFERROR(INDEX(Personnes!$D$5:$D$154,MATCH($O39,Personnes!$B$5:$B$154,0))&amp;"","")</f>
        <v>Danny</v>
      </c>
      <c r="R39" s="9"/>
      <c r="S39" s="9"/>
      <c r="T39" s="10">
        <f>IF($A39="","",COUNTIFS(Presences!$A$5:$A$504,$A39,Presences!$C$5:$C$504,"&lt;&gt;"))</f>
        <v>0</v>
      </c>
      <c r="U39" s="10" t="str">
        <f>IF($A39="","",IF(AND($J39&lt;&gt;"",$K39=""),"DP non reconnu",IF(AND($K39&lt;&gt;"",COUNTIF(Referentiel!$A$81:$A$110,$K39)=0),"DP sans qualification Sécurité valide",IF(AND($N39&lt;&gt;"",$O39=""),"responsable non reconnu",IF(AND($G39&lt;&gt;"",$G39&lt;&gt;"LC"),"créneau rattaché à un autre groupe",IF($I39&lt;&gt;"tenue","",IF(OR($K39="",$O39=""),"couverture incomplète","ok")))))))</f>
        <v/>
      </c>
    </row>
    <row r="40" spans="1:21" x14ac:dyDescent="0.2">
      <c r="A40" s="10" t="str">
        <f>IF($B40="","","S"&amp;TEXT(COUNTIF($B$5:$B40,"&lt;&gt;"),"000")&amp;" — "&amp;TEXT(DAY($B40),"00")&amp;"/"&amp;TEXT(MONTH($B40),"00")&amp;"/"&amp;YEAR($B40)&amp;" ("&amp;$C40&amp;")")</f>
        <v>S036 — 15/05/2027 (samedi)</v>
      </c>
      <c r="B40" s="14">
        <v>46522</v>
      </c>
      <c r="C40" s="10" t="str">
        <f>IF($B40="","",IFERROR(INDEX(Listes!$A$2:$A$8,WEEKDAY($B40,2)),""))</f>
        <v>samedi</v>
      </c>
      <c r="D40" s="15" t="s">
        <v>510</v>
      </c>
      <c r="E40" s="10" t="str">
        <f t="shared" si="0"/>
        <v>CR-SAM</v>
      </c>
      <c r="F40" s="10" t="str">
        <f>IFERROR(IF($E40="","",INDEX(Referentiel!$E$54:$E$63,MATCH($E40,Referentiel!$A$54:$A$63,0))&amp;""),"")</f>
        <v>B50</v>
      </c>
      <c r="G40" s="10" t="str">
        <f>IFERROR(IF($E40="","",INDEX(Referentiel!$F$54:$F$63,MATCH($E40,Referentiel!$A$54:$A$63,0))&amp;""),"")</f>
        <v>LC</v>
      </c>
      <c r="H40" s="15"/>
      <c r="I40" s="15" t="s">
        <v>511</v>
      </c>
      <c r="J40" s="15"/>
      <c r="K40" s="10" t="str">
        <f>IF($J40="","",IFERROR(IF(ISNUMBER(FIND("[",$J40)),MID($J40,FIND("[",$J40)+1,FIND("]",$J40)-FIND("[",$J40)-1),IF(ISNUMBER($J40),INDEX(Personnes!$B$5:$B$154,MATCH($J40,Personnes!$A$5:$A$154,0)),IFERROR(INDEX(Personnes!$B$5:$B$154,MATCH($J40&amp;"*",Personnes!$C$5:$C$154,0)),INDEX(Personnes!$B$5:$B$154,MATCH($J40&amp;"*",Personnes!$D$5:$D$154,0))))),""))</f>
        <v/>
      </c>
      <c r="L40" s="10" t="str">
        <f>IFERROR(INDEX(Personnes!$C$5:$C$154,MATCH($K40,Personnes!$B$5:$B$154,0))&amp;"","")</f>
        <v/>
      </c>
      <c r="M40" s="10" t="str">
        <f>IFERROR(INDEX(Personnes!$D$5:$D$154,MATCH($K40,Personnes!$B$5:$B$154,0))&amp;"","")</f>
        <v/>
      </c>
      <c r="N40" s="15"/>
      <c r="O40" s="10" t="str">
        <f>IF($N40&lt;&gt;"",IF($N40="","",IFERROR(IF(ISNUMBER(FIND("[",$N40)),MID($N40,FIND("[",$N40)+1,FIND("]",$N40)-FIND("[",$N40)-1),IF(ISNUMBER($N40),INDEX(Personnes!$B$5:$B$154,MATCH($N40,Personnes!$A$5:$A$154,0)),IFERROR(INDEX(Personnes!$B$5:$B$154,MATCH($N40&amp;"*",Personnes!$C$5:$C$154,0)),INDEX(Personnes!$B$5:$B$154,MATCH($N40&amp;"*",Personnes!$D$5:$D$154,0))))),"")),IF($E40="","",IFERROR(INDEX(Referentiel!$H$54:$H$63,MATCH($E40,Referentiel!$A$54:$A$63,0)),"")))</f>
        <v>P045</v>
      </c>
      <c r="P40" s="10" t="str">
        <f>IFERROR(INDEX(Personnes!$C$5:$C$154,MATCH($O40,Personnes!$B$5:$B$154,0))&amp;"","")</f>
        <v>SEGUI</v>
      </c>
      <c r="Q40" s="10" t="str">
        <f>IFERROR(INDEX(Personnes!$D$5:$D$154,MATCH($O40,Personnes!$B$5:$B$154,0))&amp;"","")</f>
        <v>Danny</v>
      </c>
      <c r="R40" s="9"/>
      <c r="S40" s="9"/>
      <c r="T40" s="10">
        <f>IF($A40="","",COUNTIFS(Presences!$A$5:$A$504,$A40,Presences!$C$5:$C$504,"&lt;&gt;"))</f>
        <v>0</v>
      </c>
      <c r="U40" s="10" t="str">
        <f>IF($A40="","",IF(AND($J40&lt;&gt;"",$K40=""),"DP non reconnu",IF(AND($K40&lt;&gt;"",COUNTIF(Referentiel!$A$81:$A$110,$K40)=0),"DP sans qualification Sécurité valide",IF(AND($N40&lt;&gt;"",$O40=""),"responsable non reconnu",IF(AND($G40&lt;&gt;"",$G40&lt;&gt;"LC"),"créneau rattaché à un autre groupe",IF($I40&lt;&gt;"tenue","",IF(OR($K40="",$O40=""),"couverture incomplète","ok")))))))</f>
        <v/>
      </c>
    </row>
    <row r="41" spans="1:21" x14ac:dyDescent="0.2">
      <c r="A41" s="10" t="str">
        <f>IF($B41="","","S"&amp;TEXT(COUNTIF($B$5:$B41,"&lt;&gt;"),"000")&amp;" — "&amp;TEXT(DAY($B41),"00")&amp;"/"&amp;TEXT(MONTH($B41),"00")&amp;"/"&amp;YEAR($B41)&amp;" ("&amp;$C41&amp;")")</f>
        <v>S037 — 22/05/2027 (samedi)</v>
      </c>
      <c r="B41" s="14">
        <v>46529</v>
      </c>
      <c r="C41" s="10" t="str">
        <f>IF($B41="","",IFERROR(INDEX(Listes!$A$2:$A$8,WEEKDAY($B41,2)),""))</f>
        <v>samedi</v>
      </c>
      <c r="D41" s="15" t="s">
        <v>510</v>
      </c>
      <c r="E41" s="10" t="str">
        <f t="shared" si="0"/>
        <v>CR-SAM</v>
      </c>
      <c r="F41" s="10" t="str">
        <f>IFERROR(IF($E41="","",INDEX(Referentiel!$E$54:$E$63,MATCH($E41,Referentiel!$A$54:$A$63,0))&amp;""),"")</f>
        <v>B50</v>
      </c>
      <c r="G41" s="10" t="str">
        <f>IFERROR(IF($E41="","",INDEX(Referentiel!$F$54:$F$63,MATCH($E41,Referentiel!$A$54:$A$63,0))&amp;""),"")</f>
        <v>LC</v>
      </c>
      <c r="H41" s="15"/>
      <c r="I41" s="15" t="s">
        <v>511</v>
      </c>
      <c r="J41" s="15"/>
      <c r="K41" s="10" t="str">
        <f>IF($J41="","",IFERROR(IF(ISNUMBER(FIND("[",$J41)),MID($J41,FIND("[",$J41)+1,FIND("]",$J41)-FIND("[",$J41)-1),IF(ISNUMBER($J41),INDEX(Personnes!$B$5:$B$154,MATCH($J41,Personnes!$A$5:$A$154,0)),IFERROR(INDEX(Personnes!$B$5:$B$154,MATCH($J41&amp;"*",Personnes!$C$5:$C$154,0)),INDEX(Personnes!$B$5:$B$154,MATCH($J41&amp;"*",Personnes!$D$5:$D$154,0))))),""))</f>
        <v/>
      </c>
      <c r="L41" s="10" t="str">
        <f>IFERROR(INDEX(Personnes!$C$5:$C$154,MATCH($K41,Personnes!$B$5:$B$154,0))&amp;"","")</f>
        <v/>
      </c>
      <c r="M41" s="10" t="str">
        <f>IFERROR(INDEX(Personnes!$D$5:$D$154,MATCH($K41,Personnes!$B$5:$B$154,0))&amp;"","")</f>
        <v/>
      </c>
      <c r="N41" s="15"/>
      <c r="O41" s="10" t="str">
        <f>IF($N41&lt;&gt;"",IF($N41="","",IFERROR(IF(ISNUMBER(FIND("[",$N41)),MID($N41,FIND("[",$N41)+1,FIND("]",$N41)-FIND("[",$N41)-1),IF(ISNUMBER($N41),INDEX(Personnes!$B$5:$B$154,MATCH($N41,Personnes!$A$5:$A$154,0)),IFERROR(INDEX(Personnes!$B$5:$B$154,MATCH($N41&amp;"*",Personnes!$C$5:$C$154,0)),INDEX(Personnes!$B$5:$B$154,MATCH($N41&amp;"*",Personnes!$D$5:$D$154,0))))),"")),IF($E41="","",IFERROR(INDEX(Referentiel!$H$54:$H$63,MATCH($E41,Referentiel!$A$54:$A$63,0)),"")))</f>
        <v>P045</v>
      </c>
      <c r="P41" s="10" t="str">
        <f>IFERROR(INDEX(Personnes!$C$5:$C$154,MATCH($O41,Personnes!$B$5:$B$154,0))&amp;"","")</f>
        <v>SEGUI</v>
      </c>
      <c r="Q41" s="10" t="str">
        <f>IFERROR(INDEX(Personnes!$D$5:$D$154,MATCH($O41,Personnes!$B$5:$B$154,0))&amp;"","")</f>
        <v>Danny</v>
      </c>
      <c r="R41" s="9"/>
      <c r="S41" s="9"/>
      <c r="T41" s="10">
        <f>IF($A41="","",COUNTIFS(Presences!$A$5:$A$504,$A41,Presences!$C$5:$C$504,"&lt;&gt;"))</f>
        <v>0</v>
      </c>
      <c r="U41" s="10" t="str">
        <f>IF($A41="","",IF(AND($J41&lt;&gt;"",$K41=""),"DP non reconnu",IF(AND($K41&lt;&gt;"",COUNTIF(Referentiel!$A$81:$A$110,$K41)=0),"DP sans qualification Sécurité valide",IF(AND($N41&lt;&gt;"",$O41=""),"responsable non reconnu",IF(AND($G41&lt;&gt;"",$G41&lt;&gt;"LC"),"créneau rattaché à un autre groupe",IF($I41&lt;&gt;"tenue","",IF(OR($K41="",$O41=""),"couverture incomplète","ok")))))))</f>
        <v/>
      </c>
    </row>
    <row r="42" spans="1:21" x14ac:dyDescent="0.2">
      <c r="A42" s="10" t="str">
        <f>IF($B42="","","S"&amp;TEXT(COUNTIF($B$5:$B42,"&lt;&gt;"),"000")&amp;" — "&amp;TEXT(DAY($B42),"00")&amp;"/"&amp;TEXT(MONTH($B42),"00")&amp;"/"&amp;YEAR($B42)&amp;" ("&amp;$C42&amp;")")</f>
        <v>S038 — 29/05/2027 (samedi)</v>
      </c>
      <c r="B42" s="14">
        <v>46536</v>
      </c>
      <c r="C42" s="10" t="str">
        <f>IF($B42="","",IFERROR(INDEX(Listes!$A$2:$A$8,WEEKDAY($B42,2)),""))</f>
        <v>samedi</v>
      </c>
      <c r="D42" s="15" t="s">
        <v>510</v>
      </c>
      <c r="E42" s="10" t="str">
        <f t="shared" si="0"/>
        <v>CR-SAM</v>
      </c>
      <c r="F42" s="10" t="str">
        <f>IFERROR(IF($E42="","",INDEX(Referentiel!$E$54:$E$63,MATCH($E42,Referentiel!$A$54:$A$63,0))&amp;""),"")</f>
        <v>B50</v>
      </c>
      <c r="G42" s="10" t="str">
        <f>IFERROR(IF($E42="","",INDEX(Referentiel!$F$54:$F$63,MATCH($E42,Referentiel!$A$54:$A$63,0))&amp;""),"")</f>
        <v>LC</v>
      </c>
      <c r="H42" s="15"/>
      <c r="I42" s="15" t="s">
        <v>511</v>
      </c>
      <c r="J42" s="15"/>
      <c r="K42" s="10" t="str">
        <f>IF($J42="","",IFERROR(IF(ISNUMBER(FIND("[",$J42)),MID($J42,FIND("[",$J42)+1,FIND("]",$J42)-FIND("[",$J42)-1),IF(ISNUMBER($J42),INDEX(Personnes!$B$5:$B$154,MATCH($J42,Personnes!$A$5:$A$154,0)),IFERROR(INDEX(Personnes!$B$5:$B$154,MATCH($J42&amp;"*",Personnes!$C$5:$C$154,0)),INDEX(Personnes!$B$5:$B$154,MATCH($J42&amp;"*",Personnes!$D$5:$D$154,0))))),""))</f>
        <v/>
      </c>
      <c r="L42" s="10" t="str">
        <f>IFERROR(INDEX(Personnes!$C$5:$C$154,MATCH($K42,Personnes!$B$5:$B$154,0))&amp;"","")</f>
        <v/>
      </c>
      <c r="M42" s="10" t="str">
        <f>IFERROR(INDEX(Personnes!$D$5:$D$154,MATCH($K42,Personnes!$B$5:$B$154,0))&amp;"","")</f>
        <v/>
      </c>
      <c r="N42" s="15"/>
      <c r="O42" s="10" t="str">
        <f>IF($N42&lt;&gt;"",IF($N42="","",IFERROR(IF(ISNUMBER(FIND("[",$N42)),MID($N42,FIND("[",$N42)+1,FIND("]",$N42)-FIND("[",$N42)-1),IF(ISNUMBER($N42),INDEX(Personnes!$B$5:$B$154,MATCH($N42,Personnes!$A$5:$A$154,0)),IFERROR(INDEX(Personnes!$B$5:$B$154,MATCH($N42&amp;"*",Personnes!$C$5:$C$154,0)),INDEX(Personnes!$B$5:$B$154,MATCH($N42&amp;"*",Personnes!$D$5:$D$154,0))))),"")),IF($E42="","",IFERROR(INDEX(Referentiel!$H$54:$H$63,MATCH($E42,Referentiel!$A$54:$A$63,0)),"")))</f>
        <v>P045</v>
      </c>
      <c r="P42" s="10" t="str">
        <f>IFERROR(INDEX(Personnes!$C$5:$C$154,MATCH($O42,Personnes!$B$5:$B$154,0))&amp;"","")</f>
        <v>SEGUI</v>
      </c>
      <c r="Q42" s="10" t="str">
        <f>IFERROR(INDEX(Personnes!$D$5:$D$154,MATCH($O42,Personnes!$B$5:$B$154,0))&amp;"","")</f>
        <v>Danny</v>
      </c>
      <c r="R42" s="9"/>
      <c r="S42" s="9"/>
      <c r="T42" s="10">
        <f>IF($A42="","",COUNTIFS(Presences!$A$5:$A$504,$A42,Presences!$C$5:$C$504,"&lt;&gt;"))</f>
        <v>0</v>
      </c>
      <c r="U42" s="10" t="str">
        <f>IF($A42="","",IF(AND($J42&lt;&gt;"",$K42=""),"DP non reconnu",IF(AND($K42&lt;&gt;"",COUNTIF(Referentiel!$A$81:$A$110,$K42)=0),"DP sans qualification Sécurité valide",IF(AND($N42&lt;&gt;"",$O42=""),"responsable non reconnu",IF(AND($G42&lt;&gt;"",$G42&lt;&gt;"LC"),"créneau rattaché à un autre groupe",IF($I42&lt;&gt;"tenue","",IF(OR($K42="",$O42=""),"couverture incomplète","ok")))))))</f>
        <v/>
      </c>
    </row>
    <row r="43" spans="1:21" x14ac:dyDescent="0.2">
      <c r="A43" s="10" t="str">
        <f>IF($B43="","","S"&amp;TEXT(COUNTIF($B$5:$B43,"&lt;&gt;"),"000")&amp;" — "&amp;TEXT(DAY($B43),"00")&amp;"/"&amp;TEXT(MONTH($B43),"00")&amp;"/"&amp;YEAR($B43)&amp;" ("&amp;$C43&amp;")")</f>
        <v>S039 — 05/06/2027 (samedi)</v>
      </c>
      <c r="B43" s="14">
        <v>46543</v>
      </c>
      <c r="C43" s="10" t="str">
        <f>IF($B43="","",IFERROR(INDEX(Listes!$A$2:$A$8,WEEKDAY($B43,2)),""))</f>
        <v>samedi</v>
      </c>
      <c r="D43" s="15" t="s">
        <v>510</v>
      </c>
      <c r="E43" s="10" t="str">
        <f t="shared" si="0"/>
        <v>CR-SAM</v>
      </c>
      <c r="F43" s="10" t="str">
        <f>IFERROR(IF($E43="","",INDEX(Referentiel!$E$54:$E$63,MATCH($E43,Referentiel!$A$54:$A$63,0))&amp;""),"")</f>
        <v>B50</v>
      </c>
      <c r="G43" s="10" t="str">
        <f>IFERROR(IF($E43="","",INDEX(Referentiel!$F$54:$F$63,MATCH($E43,Referentiel!$A$54:$A$63,0))&amp;""),"")</f>
        <v>LC</v>
      </c>
      <c r="H43" s="15"/>
      <c r="I43" s="15" t="s">
        <v>511</v>
      </c>
      <c r="J43" s="15"/>
      <c r="K43" s="10" t="str">
        <f>IF($J43="","",IFERROR(IF(ISNUMBER(FIND("[",$J43)),MID($J43,FIND("[",$J43)+1,FIND("]",$J43)-FIND("[",$J43)-1),IF(ISNUMBER($J43),INDEX(Personnes!$B$5:$B$154,MATCH($J43,Personnes!$A$5:$A$154,0)),IFERROR(INDEX(Personnes!$B$5:$B$154,MATCH($J43&amp;"*",Personnes!$C$5:$C$154,0)),INDEX(Personnes!$B$5:$B$154,MATCH($J43&amp;"*",Personnes!$D$5:$D$154,0))))),""))</f>
        <v/>
      </c>
      <c r="L43" s="10" t="str">
        <f>IFERROR(INDEX(Personnes!$C$5:$C$154,MATCH($K43,Personnes!$B$5:$B$154,0))&amp;"","")</f>
        <v/>
      </c>
      <c r="M43" s="10" t="str">
        <f>IFERROR(INDEX(Personnes!$D$5:$D$154,MATCH($K43,Personnes!$B$5:$B$154,0))&amp;"","")</f>
        <v/>
      </c>
      <c r="N43" s="15"/>
      <c r="O43" s="10" t="str">
        <f>IF($N43&lt;&gt;"",IF($N43="","",IFERROR(IF(ISNUMBER(FIND("[",$N43)),MID($N43,FIND("[",$N43)+1,FIND("]",$N43)-FIND("[",$N43)-1),IF(ISNUMBER($N43),INDEX(Personnes!$B$5:$B$154,MATCH($N43,Personnes!$A$5:$A$154,0)),IFERROR(INDEX(Personnes!$B$5:$B$154,MATCH($N43&amp;"*",Personnes!$C$5:$C$154,0)),INDEX(Personnes!$B$5:$B$154,MATCH($N43&amp;"*",Personnes!$D$5:$D$154,0))))),"")),IF($E43="","",IFERROR(INDEX(Referentiel!$H$54:$H$63,MATCH($E43,Referentiel!$A$54:$A$63,0)),"")))</f>
        <v>P045</v>
      </c>
      <c r="P43" s="10" t="str">
        <f>IFERROR(INDEX(Personnes!$C$5:$C$154,MATCH($O43,Personnes!$B$5:$B$154,0))&amp;"","")</f>
        <v>SEGUI</v>
      </c>
      <c r="Q43" s="10" t="str">
        <f>IFERROR(INDEX(Personnes!$D$5:$D$154,MATCH($O43,Personnes!$B$5:$B$154,0))&amp;"","")</f>
        <v>Danny</v>
      </c>
      <c r="R43" s="9"/>
      <c r="S43" s="9"/>
      <c r="T43" s="10">
        <f>IF($A43="","",COUNTIFS(Presences!$A$5:$A$504,$A43,Presences!$C$5:$C$504,"&lt;&gt;"))</f>
        <v>0</v>
      </c>
      <c r="U43" s="10" t="str">
        <f>IF($A43="","",IF(AND($J43&lt;&gt;"",$K43=""),"DP non reconnu",IF(AND($K43&lt;&gt;"",COUNTIF(Referentiel!$A$81:$A$110,$K43)=0),"DP sans qualification Sécurité valide",IF(AND($N43&lt;&gt;"",$O43=""),"responsable non reconnu",IF(AND($G43&lt;&gt;"",$G43&lt;&gt;"LC"),"créneau rattaché à un autre groupe",IF($I43&lt;&gt;"tenue","",IF(OR($K43="",$O43=""),"couverture incomplète","ok")))))))</f>
        <v/>
      </c>
    </row>
    <row r="44" spans="1:21" x14ac:dyDescent="0.2">
      <c r="A44" s="10" t="str">
        <f>IF($B44="","","S"&amp;TEXT(COUNTIF($B$5:$B44,"&lt;&gt;"),"000")&amp;" — "&amp;TEXT(DAY($B44),"00")&amp;"/"&amp;TEXT(MONTH($B44),"00")&amp;"/"&amp;YEAR($B44)&amp;" ("&amp;$C44&amp;")")</f>
        <v>S040 — 12/06/2027 (samedi)</v>
      </c>
      <c r="B44" s="14">
        <v>46550</v>
      </c>
      <c r="C44" s="10" t="str">
        <f>IF($B44="","",IFERROR(INDEX(Listes!$A$2:$A$8,WEEKDAY($B44,2)),""))</f>
        <v>samedi</v>
      </c>
      <c r="D44" s="15" t="s">
        <v>510</v>
      </c>
      <c r="E44" s="10" t="str">
        <f t="shared" si="0"/>
        <v>CR-SAM</v>
      </c>
      <c r="F44" s="10" t="str">
        <f>IFERROR(IF($E44="","",INDEX(Referentiel!$E$54:$E$63,MATCH($E44,Referentiel!$A$54:$A$63,0))&amp;""),"")</f>
        <v>B50</v>
      </c>
      <c r="G44" s="10" t="str">
        <f>IFERROR(IF($E44="","",INDEX(Referentiel!$F$54:$F$63,MATCH($E44,Referentiel!$A$54:$A$63,0))&amp;""),"")</f>
        <v>LC</v>
      </c>
      <c r="H44" s="15"/>
      <c r="I44" s="15" t="s">
        <v>511</v>
      </c>
      <c r="J44" s="15"/>
      <c r="K44" s="10" t="str">
        <f>IF($J44="","",IFERROR(IF(ISNUMBER(FIND("[",$J44)),MID($J44,FIND("[",$J44)+1,FIND("]",$J44)-FIND("[",$J44)-1),IF(ISNUMBER($J44),INDEX(Personnes!$B$5:$B$154,MATCH($J44,Personnes!$A$5:$A$154,0)),IFERROR(INDEX(Personnes!$B$5:$B$154,MATCH($J44&amp;"*",Personnes!$C$5:$C$154,0)),INDEX(Personnes!$B$5:$B$154,MATCH($J44&amp;"*",Personnes!$D$5:$D$154,0))))),""))</f>
        <v/>
      </c>
      <c r="L44" s="10" t="str">
        <f>IFERROR(INDEX(Personnes!$C$5:$C$154,MATCH($K44,Personnes!$B$5:$B$154,0))&amp;"","")</f>
        <v/>
      </c>
      <c r="M44" s="10" t="str">
        <f>IFERROR(INDEX(Personnes!$D$5:$D$154,MATCH($K44,Personnes!$B$5:$B$154,0))&amp;"","")</f>
        <v/>
      </c>
      <c r="N44" s="15"/>
      <c r="O44" s="10" t="str">
        <f>IF($N44&lt;&gt;"",IF($N44="","",IFERROR(IF(ISNUMBER(FIND("[",$N44)),MID($N44,FIND("[",$N44)+1,FIND("]",$N44)-FIND("[",$N44)-1),IF(ISNUMBER($N44),INDEX(Personnes!$B$5:$B$154,MATCH($N44,Personnes!$A$5:$A$154,0)),IFERROR(INDEX(Personnes!$B$5:$B$154,MATCH($N44&amp;"*",Personnes!$C$5:$C$154,0)),INDEX(Personnes!$B$5:$B$154,MATCH($N44&amp;"*",Personnes!$D$5:$D$154,0))))),"")),IF($E44="","",IFERROR(INDEX(Referentiel!$H$54:$H$63,MATCH($E44,Referentiel!$A$54:$A$63,0)),"")))</f>
        <v>P045</v>
      </c>
      <c r="P44" s="10" t="str">
        <f>IFERROR(INDEX(Personnes!$C$5:$C$154,MATCH($O44,Personnes!$B$5:$B$154,0))&amp;"","")</f>
        <v>SEGUI</v>
      </c>
      <c r="Q44" s="10" t="str">
        <f>IFERROR(INDEX(Personnes!$D$5:$D$154,MATCH($O44,Personnes!$B$5:$B$154,0))&amp;"","")</f>
        <v>Danny</v>
      </c>
      <c r="R44" s="9"/>
      <c r="S44" s="9"/>
      <c r="T44" s="10">
        <f>IF($A44="","",COUNTIFS(Presences!$A$5:$A$504,$A44,Presences!$C$5:$C$504,"&lt;&gt;"))</f>
        <v>0</v>
      </c>
      <c r="U44" s="10" t="str">
        <f>IF($A44="","",IF(AND($J44&lt;&gt;"",$K44=""),"DP non reconnu",IF(AND($K44&lt;&gt;"",COUNTIF(Referentiel!$A$81:$A$110,$K44)=0),"DP sans qualification Sécurité valide",IF(AND($N44&lt;&gt;"",$O44=""),"responsable non reconnu",IF(AND($G44&lt;&gt;"",$G44&lt;&gt;"LC"),"créneau rattaché à un autre groupe",IF($I44&lt;&gt;"tenue","",IF(OR($K44="",$O44=""),"couverture incomplète","ok")))))))</f>
        <v/>
      </c>
    </row>
    <row r="45" spans="1:21" x14ac:dyDescent="0.2">
      <c r="A45" s="10" t="str">
        <f>IF($B45="","","S"&amp;TEXT(COUNTIF($B$5:$B45,"&lt;&gt;"),"000")&amp;" — "&amp;TEXT(DAY($B45),"00")&amp;"/"&amp;TEXT(MONTH($B45),"00")&amp;"/"&amp;YEAR($B45)&amp;" ("&amp;$C45&amp;")")</f>
        <v>S041 — 19/06/2027 (samedi)</v>
      </c>
      <c r="B45" s="14">
        <v>46557</v>
      </c>
      <c r="C45" s="10" t="str">
        <f>IF($B45="","",IFERROR(INDEX(Listes!$A$2:$A$8,WEEKDAY($B45,2)),""))</f>
        <v>samedi</v>
      </c>
      <c r="D45" s="15" t="s">
        <v>510</v>
      </c>
      <c r="E45" s="10" t="str">
        <f t="shared" si="0"/>
        <v>CR-SAM</v>
      </c>
      <c r="F45" s="10" t="str">
        <f>IFERROR(IF($E45="","",INDEX(Referentiel!$E$54:$E$63,MATCH($E45,Referentiel!$A$54:$A$63,0))&amp;""),"")</f>
        <v>B50</v>
      </c>
      <c r="G45" s="10" t="str">
        <f>IFERROR(IF($E45="","",INDEX(Referentiel!$F$54:$F$63,MATCH($E45,Referentiel!$A$54:$A$63,0))&amp;""),"")</f>
        <v>LC</v>
      </c>
      <c r="H45" s="15"/>
      <c r="I45" s="15" t="s">
        <v>511</v>
      </c>
      <c r="J45" s="15"/>
      <c r="K45" s="10" t="str">
        <f>IF($J45="","",IFERROR(IF(ISNUMBER(FIND("[",$J45)),MID($J45,FIND("[",$J45)+1,FIND("]",$J45)-FIND("[",$J45)-1),IF(ISNUMBER($J45),INDEX(Personnes!$B$5:$B$154,MATCH($J45,Personnes!$A$5:$A$154,0)),IFERROR(INDEX(Personnes!$B$5:$B$154,MATCH($J45&amp;"*",Personnes!$C$5:$C$154,0)),INDEX(Personnes!$B$5:$B$154,MATCH($J45&amp;"*",Personnes!$D$5:$D$154,0))))),""))</f>
        <v/>
      </c>
      <c r="L45" s="10" t="str">
        <f>IFERROR(INDEX(Personnes!$C$5:$C$154,MATCH($K45,Personnes!$B$5:$B$154,0))&amp;"","")</f>
        <v/>
      </c>
      <c r="M45" s="10" t="str">
        <f>IFERROR(INDEX(Personnes!$D$5:$D$154,MATCH($K45,Personnes!$B$5:$B$154,0))&amp;"","")</f>
        <v/>
      </c>
      <c r="N45" s="15"/>
      <c r="O45" s="10" t="str">
        <f>IF($N45&lt;&gt;"",IF($N45="","",IFERROR(IF(ISNUMBER(FIND("[",$N45)),MID($N45,FIND("[",$N45)+1,FIND("]",$N45)-FIND("[",$N45)-1),IF(ISNUMBER($N45),INDEX(Personnes!$B$5:$B$154,MATCH($N45,Personnes!$A$5:$A$154,0)),IFERROR(INDEX(Personnes!$B$5:$B$154,MATCH($N45&amp;"*",Personnes!$C$5:$C$154,0)),INDEX(Personnes!$B$5:$B$154,MATCH($N45&amp;"*",Personnes!$D$5:$D$154,0))))),"")),IF($E45="","",IFERROR(INDEX(Referentiel!$H$54:$H$63,MATCH($E45,Referentiel!$A$54:$A$63,0)),"")))</f>
        <v>P045</v>
      </c>
      <c r="P45" s="10" t="str">
        <f>IFERROR(INDEX(Personnes!$C$5:$C$154,MATCH($O45,Personnes!$B$5:$B$154,0))&amp;"","")</f>
        <v>SEGUI</v>
      </c>
      <c r="Q45" s="10" t="str">
        <f>IFERROR(INDEX(Personnes!$D$5:$D$154,MATCH($O45,Personnes!$B$5:$B$154,0))&amp;"","")</f>
        <v>Danny</v>
      </c>
      <c r="R45" s="9"/>
      <c r="S45" s="9"/>
      <c r="T45" s="10">
        <f>IF($A45="","",COUNTIFS(Presences!$A$5:$A$504,$A45,Presences!$C$5:$C$504,"&lt;&gt;"))</f>
        <v>0</v>
      </c>
      <c r="U45" s="10" t="str">
        <f>IF($A45="","",IF(AND($J45&lt;&gt;"",$K45=""),"DP non reconnu",IF(AND($K45&lt;&gt;"",COUNTIF(Referentiel!$A$81:$A$110,$K45)=0),"DP sans qualification Sécurité valide",IF(AND($N45&lt;&gt;"",$O45=""),"responsable non reconnu",IF(AND($G45&lt;&gt;"",$G45&lt;&gt;"LC"),"créneau rattaché à un autre groupe",IF($I45&lt;&gt;"tenue","",IF(OR($K45="",$O45=""),"couverture incomplète","ok")))))))</f>
        <v/>
      </c>
    </row>
    <row r="46" spans="1:21" x14ac:dyDescent="0.2">
      <c r="A46" s="10" t="str">
        <f>IF($B46="","","S"&amp;TEXT(COUNTIF($B$5:$B46,"&lt;&gt;"),"000")&amp;" — "&amp;TEXT(DAY($B46),"00")&amp;"/"&amp;TEXT(MONTH($B46),"00")&amp;"/"&amp;YEAR($B46)&amp;" ("&amp;$C46&amp;")")</f>
        <v>S042 — 26/06/2027 (samedi)</v>
      </c>
      <c r="B46" s="14">
        <v>46564</v>
      </c>
      <c r="C46" s="10" t="str">
        <f>IF($B46="","",IFERROR(INDEX(Listes!$A$2:$A$8,WEEKDAY($B46,2)),""))</f>
        <v>samedi</v>
      </c>
      <c r="D46" s="15" t="s">
        <v>510</v>
      </c>
      <c r="E46" s="10" t="str">
        <f t="shared" si="0"/>
        <v>CR-SAM</v>
      </c>
      <c r="F46" s="10" t="str">
        <f>IFERROR(IF($E46="","",INDEX(Referentiel!$E$54:$E$63,MATCH($E46,Referentiel!$A$54:$A$63,0))&amp;""),"")</f>
        <v>B50</v>
      </c>
      <c r="G46" s="10" t="str">
        <f>IFERROR(IF($E46="","",INDEX(Referentiel!$F$54:$F$63,MATCH($E46,Referentiel!$A$54:$A$63,0))&amp;""),"")</f>
        <v>LC</v>
      </c>
      <c r="H46" s="15"/>
      <c r="I46" s="15" t="s">
        <v>511</v>
      </c>
      <c r="J46" s="15"/>
      <c r="K46" s="10" t="str">
        <f>IF($J46="","",IFERROR(IF(ISNUMBER(FIND("[",$J46)),MID($J46,FIND("[",$J46)+1,FIND("]",$J46)-FIND("[",$J46)-1),IF(ISNUMBER($J46),INDEX(Personnes!$B$5:$B$154,MATCH($J46,Personnes!$A$5:$A$154,0)),IFERROR(INDEX(Personnes!$B$5:$B$154,MATCH($J46&amp;"*",Personnes!$C$5:$C$154,0)),INDEX(Personnes!$B$5:$B$154,MATCH($J46&amp;"*",Personnes!$D$5:$D$154,0))))),""))</f>
        <v/>
      </c>
      <c r="L46" s="10" t="str">
        <f>IFERROR(INDEX(Personnes!$C$5:$C$154,MATCH($K46,Personnes!$B$5:$B$154,0))&amp;"","")</f>
        <v/>
      </c>
      <c r="M46" s="10" t="str">
        <f>IFERROR(INDEX(Personnes!$D$5:$D$154,MATCH($K46,Personnes!$B$5:$B$154,0))&amp;"","")</f>
        <v/>
      </c>
      <c r="N46" s="15"/>
      <c r="O46" s="10" t="str">
        <f>IF($N46&lt;&gt;"",IF($N46="","",IFERROR(IF(ISNUMBER(FIND("[",$N46)),MID($N46,FIND("[",$N46)+1,FIND("]",$N46)-FIND("[",$N46)-1),IF(ISNUMBER($N46),INDEX(Personnes!$B$5:$B$154,MATCH($N46,Personnes!$A$5:$A$154,0)),IFERROR(INDEX(Personnes!$B$5:$B$154,MATCH($N46&amp;"*",Personnes!$C$5:$C$154,0)),INDEX(Personnes!$B$5:$B$154,MATCH($N46&amp;"*",Personnes!$D$5:$D$154,0))))),"")),IF($E46="","",IFERROR(INDEX(Referentiel!$H$54:$H$63,MATCH($E46,Referentiel!$A$54:$A$63,0)),"")))</f>
        <v>P045</v>
      </c>
      <c r="P46" s="10" t="str">
        <f>IFERROR(INDEX(Personnes!$C$5:$C$154,MATCH($O46,Personnes!$B$5:$B$154,0))&amp;"","")</f>
        <v>SEGUI</v>
      </c>
      <c r="Q46" s="10" t="str">
        <f>IFERROR(INDEX(Personnes!$D$5:$D$154,MATCH($O46,Personnes!$B$5:$B$154,0))&amp;"","")</f>
        <v>Danny</v>
      </c>
      <c r="R46" s="9"/>
      <c r="S46" s="9"/>
      <c r="T46" s="10">
        <f>IF($A46="","",COUNTIFS(Presences!$A$5:$A$504,$A46,Presences!$C$5:$C$504,"&lt;&gt;"))</f>
        <v>0</v>
      </c>
      <c r="U46" s="10" t="str">
        <f>IF($A46="","",IF(AND($J46&lt;&gt;"",$K46=""),"DP non reconnu",IF(AND($K46&lt;&gt;"",COUNTIF(Referentiel!$A$81:$A$110,$K46)=0),"DP sans qualification Sécurité valide",IF(AND($N46&lt;&gt;"",$O46=""),"responsable non reconnu",IF(AND($G46&lt;&gt;"",$G46&lt;&gt;"LC"),"créneau rattaché à un autre groupe",IF($I46&lt;&gt;"tenue","",IF(OR($K46="",$O46=""),"couverture incomplète","ok")))))))</f>
        <v/>
      </c>
    </row>
    <row r="47" spans="1:21" x14ac:dyDescent="0.2">
      <c r="A47" s="10" t="str">
        <f>IF($B47="","","S"&amp;TEXT(COUNTIF($B$5:$B47,"&lt;&gt;"),"000")&amp;" — "&amp;TEXT(DAY($B47),"00")&amp;"/"&amp;TEXT(MONTH($B47),"00")&amp;"/"&amp;YEAR($B47)&amp;" ("&amp;$C47&amp;")")</f>
        <v>S043 — 03/07/2027 (samedi)</v>
      </c>
      <c r="B47" s="14">
        <v>46571</v>
      </c>
      <c r="C47" s="10" t="str">
        <f>IF($B47="","",IFERROR(INDEX(Listes!$A$2:$A$8,WEEKDAY($B47,2)),""))</f>
        <v>samedi</v>
      </c>
      <c r="D47" s="15" t="s">
        <v>510</v>
      </c>
      <c r="E47" s="10" t="str">
        <f t="shared" si="0"/>
        <v>CR-SAM</v>
      </c>
      <c r="F47" s="10" t="str">
        <f>IFERROR(IF($E47="","",INDEX(Referentiel!$E$54:$E$63,MATCH($E47,Referentiel!$A$54:$A$63,0))&amp;""),"")</f>
        <v>B50</v>
      </c>
      <c r="G47" s="10" t="str">
        <f>IFERROR(IF($E47="","",INDEX(Referentiel!$F$54:$F$63,MATCH($E47,Referentiel!$A$54:$A$63,0))&amp;""),"")</f>
        <v>LC</v>
      </c>
      <c r="H47" s="15"/>
      <c r="I47" s="15" t="s">
        <v>511</v>
      </c>
      <c r="J47" s="15"/>
      <c r="K47" s="10" t="str">
        <f>IF($J47="","",IFERROR(IF(ISNUMBER(FIND("[",$J47)),MID($J47,FIND("[",$J47)+1,FIND("]",$J47)-FIND("[",$J47)-1),IF(ISNUMBER($J47),INDEX(Personnes!$B$5:$B$154,MATCH($J47,Personnes!$A$5:$A$154,0)),IFERROR(INDEX(Personnes!$B$5:$B$154,MATCH($J47&amp;"*",Personnes!$C$5:$C$154,0)),INDEX(Personnes!$B$5:$B$154,MATCH($J47&amp;"*",Personnes!$D$5:$D$154,0))))),""))</f>
        <v/>
      </c>
      <c r="L47" s="10" t="str">
        <f>IFERROR(INDEX(Personnes!$C$5:$C$154,MATCH($K47,Personnes!$B$5:$B$154,0))&amp;"","")</f>
        <v/>
      </c>
      <c r="M47" s="10" t="str">
        <f>IFERROR(INDEX(Personnes!$D$5:$D$154,MATCH($K47,Personnes!$B$5:$B$154,0))&amp;"","")</f>
        <v/>
      </c>
      <c r="N47" s="15"/>
      <c r="O47" s="10" t="str">
        <f>IF($N47&lt;&gt;"",IF($N47="","",IFERROR(IF(ISNUMBER(FIND("[",$N47)),MID($N47,FIND("[",$N47)+1,FIND("]",$N47)-FIND("[",$N47)-1),IF(ISNUMBER($N47),INDEX(Personnes!$B$5:$B$154,MATCH($N47,Personnes!$A$5:$A$154,0)),IFERROR(INDEX(Personnes!$B$5:$B$154,MATCH($N47&amp;"*",Personnes!$C$5:$C$154,0)),INDEX(Personnes!$B$5:$B$154,MATCH($N47&amp;"*",Personnes!$D$5:$D$154,0))))),"")),IF($E47="","",IFERROR(INDEX(Referentiel!$H$54:$H$63,MATCH($E47,Referentiel!$A$54:$A$63,0)),"")))</f>
        <v>P045</v>
      </c>
      <c r="P47" s="10" t="str">
        <f>IFERROR(INDEX(Personnes!$C$5:$C$154,MATCH($O47,Personnes!$B$5:$B$154,0))&amp;"","")</f>
        <v>SEGUI</v>
      </c>
      <c r="Q47" s="10" t="str">
        <f>IFERROR(INDEX(Personnes!$D$5:$D$154,MATCH($O47,Personnes!$B$5:$B$154,0))&amp;"","")</f>
        <v>Danny</v>
      </c>
      <c r="R47" s="9"/>
      <c r="S47" s="9"/>
      <c r="T47" s="10">
        <f>IF($A47="","",COUNTIFS(Presences!$A$5:$A$504,$A47,Presences!$C$5:$C$504,"&lt;&gt;"))</f>
        <v>0</v>
      </c>
      <c r="U47" s="10" t="str">
        <f>IF($A47="","",IF(AND($J47&lt;&gt;"",$K47=""),"DP non reconnu",IF(AND($K47&lt;&gt;"",COUNTIF(Referentiel!$A$81:$A$110,$K47)=0),"DP sans qualification Sécurité valide",IF(AND($N47&lt;&gt;"",$O47=""),"responsable non reconnu",IF(AND($G47&lt;&gt;"",$G47&lt;&gt;"LC"),"créneau rattaché à un autre groupe",IF($I47&lt;&gt;"tenue","",IF(OR($K47="",$O47=""),"couverture incomplète","ok")))))))</f>
        <v/>
      </c>
    </row>
    <row r="48" spans="1:21" x14ac:dyDescent="0.2">
      <c r="A48" s="10" t="str">
        <f>IF($B48="","","S"&amp;TEXT(COUNTIF($B$5:$B48,"&lt;&gt;"),"000")&amp;" — "&amp;TEXT(DAY($B48),"00")&amp;"/"&amp;TEXT(MONTH($B48),"00")&amp;"/"&amp;YEAR($B48)&amp;" ("&amp;$C48&amp;")")</f>
        <v/>
      </c>
      <c r="B48" s="14"/>
      <c r="C48" s="10" t="str">
        <f>IF($B48="","",IFERROR(INDEX(Listes!$A$2:$A$8,WEEKDAY($B48,2)),""))</f>
        <v/>
      </c>
      <c r="D48" s="15"/>
      <c r="E48" s="10" t="str">
        <f t="shared" si="0"/>
        <v/>
      </c>
      <c r="F48" s="10" t="str">
        <f>IFERROR(IF($E48="","",INDEX(Referentiel!$E$54:$E$63,MATCH($E48,Referentiel!$A$54:$A$63,0))&amp;""),"")</f>
        <v/>
      </c>
      <c r="G48" s="10" t="str">
        <f>IFERROR(IF($E48="","",INDEX(Referentiel!$F$54:$F$63,MATCH($E48,Referentiel!$A$54:$A$63,0))&amp;""),"")</f>
        <v/>
      </c>
      <c r="H48" s="15"/>
      <c r="I48" s="15"/>
      <c r="J48" s="15"/>
      <c r="K48" s="10" t="str">
        <f>IF($J48="","",IFERROR(IF(ISNUMBER(FIND("[",$J48)),MID($J48,FIND("[",$J48)+1,FIND("]",$J48)-FIND("[",$J48)-1),IF(ISNUMBER($J48),INDEX(Personnes!$B$5:$B$154,MATCH($J48,Personnes!$A$5:$A$154,0)),IFERROR(INDEX(Personnes!$B$5:$B$154,MATCH($J48&amp;"*",Personnes!$C$5:$C$154,0)),INDEX(Personnes!$B$5:$B$154,MATCH($J48&amp;"*",Personnes!$D$5:$D$154,0))))),""))</f>
        <v/>
      </c>
      <c r="L48" s="10" t="str">
        <f>IFERROR(INDEX(Personnes!$C$5:$C$154,MATCH($K48,Personnes!$B$5:$B$154,0))&amp;"","")</f>
        <v/>
      </c>
      <c r="M48" s="10" t="str">
        <f>IFERROR(INDEX(Personnes!$D$5:$D$154,MATCH($K48,Personnes!$B$5:$B$154,0))&amp;"","")</f>
        <v/>
      </c>
      <c r="N48" s="15"/>
      <c r="O48" s="10" t="str">
        <f>IF($N48&lt;&gt;"",IF($N48="","",IFERROR(IF(ISNUMBER(FIND("[",$N48)),MID($N48,FIND("[",$N48)+1,FIND("]",$N48)-FIND("[",$N48)-1),IF(ISNUMBER($N48),INDEX(Personnes!$B$5:$B$154,MATCH($N48,Personnes!$A$5:$A$154,0)),IFERROR(INDEX(Personnes!$B$5:$B$154,MATCH($N48&amp;"*",Personnes!$C$5:$C$154,0)),INDEX(Personnes!$B$5:$B$154,MATCH($N48&amp;"*",Personnes!$D$5:$D$154,0))))),"")),IF($E48="","",IFERROR(INDEX(Referentiel!$H$54:$H$63,MATCH($E48,Referentiel!$A$54:$A$63,0)),"")))</f>
        <v/>
      </c>
      <c r="P48" s="10" t="str">
        <f>IFERROR(INDEX(Personnes!$C$5:$C$154,MATCH($O48,Personnes!$B$5:$B$154,0))&amp;"","")</f>
        <v/>
      </c>
      <c r="Q48" s="10" t="str">
        <f>IFERROR(INDEX(Personnes!$D$5:$D$154,MATCH($O48,Personnes!$B$5:$B$154,0))&amp;"","")</f>
        <v/>
      </c>
      <c r="R48" s="9"/>
      <c r="S48" s="9"/>
      <c r="T48" s="10" t="str">
        <f>IF($A48="","",COUNTIFS(Presences!$A$5:$A$504,$A48,Presences!$C$5:$C$504,"&lt;&gt;"))</f>
        <v/>
      </c>
      <c r="U48" s="10" t="str">
        <f>IF($A48="","",IF(AND($J48&lt;&gt;"",$K48=""),"DP non reconnu",IF(AND($K48&lt;&gt;"",COUNTIF(Referentiel!$A$81:$A$110,$K48)=0),"DP sans qualification Sécurité valide",IF(AND($N48&lt;&gt;"",$O48=""),"responsable non reconnu",IF(AND($G48&lt;&gt;"",$G48&lt;&gt;"LC"),"créneau rattaché à un autre groupe",IF($I48&lt;&gt;"tenue","",IF(OR($K48="",$O48=""),"couverture incomplète","ok")))))))</f>
        <v/>
      </c>
    </row>
  </sheetData>
  <dataValidations count="2">
    <dataValidation type="list" allowBlank="1" sqref="H5:H48" xr:uid="{00000000-0002-0000-0400-000001000000}">
      <formula1>"ordinaire,technique,hypercapnique,mixte,hypoxique,test maximal,RIFAA,PSM,examen,formation,tutorat,multi-lignes"</formula1>
    </dataValidation>
    <dataValidation type="list" allowBlank="1" sqref="I5:I48" xr:uid="{00000000-0002-0000-0400-000002000000}">
      <formula1>"planifiée,tenue,annulée,fermée"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promptTitle="Sélection" prompt="Choisissez le créneau. La liste vient du paramétrage du club." xr:uid="{00000000-0002-0000-0400-000000000000}">
          <x14:formula1>
            <xm:f>Referentiel!$G$54:$G$63</xm:f>
          </x14:formula1>
          <xm:sqref>D5:D48</xm:sqref>
        </x14:dataValidation>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400-000003000000}">
          <x14:formula1>
            <xm:f>Selection!$A$2:$A$151</xm:f>
          </x14:formula1>
          <xm:sqref>J5:J48</xm:sqref>
        </x14:dataValidation>
        <x14:dataValidation type="list" allowBlank="1" showInputMessage="1" promptTitle="Sélection" prompt="À remplir seulement si le responsable de cette séance n'est pas l'encadrant habituel du créneau. Laissez vide sinon." xr:uid="{00000000-0002-0000-0400-000004000000}">
          <x14:formula1>
            <xm:f>Selection!$A$2:$A$151</xm:f>
          </x14:formula1>
          <xm:sqref>N5:N48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5F"/>
  </sheetPr>
  <dimension ref="A1:H504"/>
  <sheetViews>
    <sheetView workbookViewId="0">
      <pane xSplit="3" ySplit="4" topLeftCell="D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26" customWidth="1"/>
    <col min="3" max="3" width="12" customWidth="1"/>
    <col min="4" max="4" width="20" customWidth="1"/>
    <col min="5" max="5" width="14" customWidth="1"/>
    <col min="6" max="6" width="15" customWidth="1"/>
    <col min="7" max="7" width="62" customWidth="1"/>
    <col min="8" max="8" width="30" customWidth="1"/>
  </cols>
  <sheetData>
    <row r="1" spans="1:8" ht="18" x14ac:dyDescent="0.2">
      <c r="A1" s="4" t="s">
        <v>512</v>
      </c>
    </row>
    <row r="2" spans="1:8" x14ac:dyDescent="0.2">
      <c r="A2" s="5" t="s">
        <v>513</v>
      </c>
    </row>
    <row r="4" spans="1:8" ht="32" customHeight="1" x14ac:dyDescent="0.2">
      <c r="A4" s="6" t="s">
        <v>492</v>
      </c>
      <c r="B4" s="6" t="s">
        <v>514</v>
      </c>
      <c r="C4" s="6" t="s">
        <v>515</v>
      </c>
      <c r="D4" s="6" t="s">
        <v>150</v>
      </c>
      <c r="E4" s="6" t="s">
        <v>151</v>
      </c>
      <c r="F4" s="6" t="s">
        <v>516</v>
      </c>
      <c r="G4" s="6" t="s">
        <v>517</v>
      </c>
      <c r="H4" s="6" t="s">
        <v>509</v>
      </c>
    </row>
    <row r="5" spans="1:8" x14ac:dyDescent="0.2">
      <c r="A5" s="15"/>
      <c r="B5" s="15"/>
      <c r="C5" s="10" t="str">
        <f>IF($B5="","",IFERROR(IF(ISNUMBER(FIND("[",$B5)),MID($B5,FIND("[",$B5)+1,FIND("]",$B5)-FIND("[",$B5)-1),IF(ISNUMBER($B5),INDEX(Personnes!$B$5:$B$154,MATCH($B5,Personnes!$A$5:$A$154,0)),IFERROR(INDEX(Personnes!$B$5:$B$154,MATCH($B5&amp;"*",Personnes!$C$5:$C$154,0)),INDEX(Personnes!$B$5:$B$154,MATCH($B5&amp;"*",Personnes!$D$5:$D$154,0))))),""))</f>
        <v/>
      </c>
      <c r="D5" s="10" t="str">
        <f>IFERROR(INDEX(Personnes!$C$5:$C$154,MATCH($C5,Personnes!$B$5:$B$154,0))&amp;"","")</f>
        <v/>
      </c>
      <c r="E5" s="10" t="str">
        <f>IFERROR(INDEX(Personnes!$D$5:$D$154,MATCH($C5,Personnes!$B$5:$B$154,0))&amp;"","")</f>
        <v/>
      </c>
      <c r="F5" s="15"/>
      <c r="G5" s="9"/>
      <c r="H5" s="10" t="str">
        <f>IF($B5="","",IF($C5="","apnéiste non reconnu",IF($A5="","séance non renseignée",IF(COUNTIFS($A$5:$A$504,$A5,$C$5:$C$504,$C5)&gt;1,"doublon séance / apnéiste",IF(OR($C5=IFERROR(INDEX('Calendrier'!$K$5:$K$5,MATCH($A5,'Calendrier'!$A$5:$A$5,0)),""),$C5=IFERROR(INDEX('Calendrier'!$O$5:$O$5,MATCH($A5,'Calendrier'!$A$5:$A$5,0)),"")),"encadrant et élève sur la même séance",IF(IFERROR(INDEX(Personnes!$H$5:$H$154,MATCH($C5,Personnes!$B$5:$B$154,0)),"")&lt;&gt;"oui","invité (hors ligne)","ok"))))))</f>
        <v/>
      </c>
    </row>
    <row r="6" spans="1:8" x14ac:dyDescent="0.2">
      <c r="A6" s="15"/>
      <c r="B6" s="15"/>
      <c r="C6" s="10" t="str">
        <f>IF($B6="","",IFERROR(IF(ISNUMBER(FIND("[",$B6)),MID($B6,FIND("[",$B6)+1,FIND("]",$B6)-FIND("[",$B6)-1),IF(ISNUMBER($B6),INDEX(Personnes!$B$5:$B$154,MATCH($B6,Personnes!$A$5:$A$154,0)),IFERROR(INDEX(Personnes!$B$5:$B$154,MATCH($B6&amp;"*",Personnes!$C$5:$C$154,0)),INDEX(Personnes!$B$5:$B$154,MATCH($B6&amp;"*",Personnes!$D$5:$D$154,0))))),""))</f>
        <v/>
      </c>
      <c r="D6" s="10" t="str">
        <f>IFERROR(INDEX(Personnes!$C$5:$C$154,MATCH($C6,Personnes!$B$5:$B$154,0))&amp;"","")</f>
        <v/>
      </c>
      <c r="E6" s="10" t="str">
        <f>IFERROR(INDEX(Personnes!$D$5:$D$154,MATCH($C6,Personnes!$B$5:$B$154,0))&amp;"","")</f>
        <v/>
      </c>
      <c r="F6" s="15"/>
      <c r="G6" s="9"/>
      <c r="H6" s="10" t="str">
        <f>IF($B6="","",IF($C6="","apnéiste non reconnu",IF($A6="","séance non renseignée",IF(COUNTIFS($A$5:$A$504,$A6,$C$5:$C$504,$C6)&gt;1,"doublon séance / apnéiste",IF(OR($C6=IFERROR(INDEX('Calendrier'!$K$5:$K$5,MATCH($A6,'Calendrier'!$A$5:$A$5,0)),""),$C6=IFERROR(INDEX('Calendrier'!$O$5:$O$5,MATCH($A6,'Calendrier'!$A$5:$A$5,0)),"")),"encadrant et élève sur la même séance",IF(IFERROR(INDEX(Personnes!$H$5:$H$154,MATCH($C6,Personnes!$B$5:$B$154,0)),"")&lt;&gt;"oui","invité (hors ligne)","ok"))))))</f>
        <v/>
      </c>
    </row>
    <row r="7" spans="1:8" x14ac:dyDescent="0.2">
      <c r="A7" s="15"/>
      <c r="B7" s="15"/>
      <c r="C7" s="10" t="str">
        <f>IF($B7="","",IFERROR(IF(ISNUMBER(FIND("[",$B7)),MID($B7,FIND("[",$B7)+1,FIND("]",$B7)-FIND("[",$B7)-1),IF(ISNUMBER($B7),INDEX(Personnes!$B$5:$B$154,MATCH($B7,Personnes!$A$5:$A$154,0)),IFERROR(INDEX(Personnes!$B$5:$B$154,MATCH($B7&amp;"*",Personnes!$C$5:$C$154,0)),INDEX(Personnes!$B$5:$B$154,MATCH($B7&amp;"*",Personnes!$D$5:$D$154,0))))),""))</f>
        <v/>
      </c>
      <c r="D7" s="10" t="str">
        <f>IFERROR(INDEX(Personnes!$C$5:$C$154,MATCH($C7,Personnes!$B$5:$B$154,0))&amp;"","")</f>
        <v/>
      </c>
      <c r="E7" s="10" t="str">
        <f>IFERROR(INDEX(Personnes!$D$5:$D$154,MATCH($C7,Personnes!$B$5:$B$154,0))&amp;"","")</f>
        <v/>
      </c>
      <c r="F7" s="15"/>
      <c r="G7" s="9"/>
      <c r="H7" s="10" t="str">
        <f>IF($B7="","",IF($C7="","apnéiste non reconnu",IF($A7="","séance non renseignée",IF(COUNTIFS($A$5:$A$504,$A7,$C$5:$C$504,$C7)&gt;1,"doublon séance / apnéiste",IF(OR($C7=IFERROR(INDEX('Calendrier'!$K$5:$K$5,MATCH($A7,'Calendrier'!$A$5:$A$5,0)),""),$C7=IFERROR(INDEX('Calendrier'!$O$5:$O$5,MATCH($A7,'Calendrier'!$A$5:$A$5,0)),"")),"encadrant et élève sur la même séance",IF(IFERROR(INDEX(Personnes!$H$5:$H$154,MATCH($C7,Personnes!$B$5:$B$154,0)),"")&lt;&gt;"oui","invité (hors ligne)","ok"))))))</f>
        <v/>
      </c>
    </row>
    <row r="8" spans="1:8" x14ac:dyDescent="0.2">
      <c r="A8" s="15"/>
      <c r="B8" s="15"/>
      <c r="C8" s="10" t="str">
        <f>IF($B8="","",IFERROR(IF(ISNUMBER(FIND("[",$B8)),MID($B8,FIND("[",$B8)+1,FIND("]",$B8)-FIND("[",$B8)-1),IF(ISNUMBER($B8),INDEX(Personnes!$B$5:$B$154,MATCH($B8,Personnes!$A$5:$A$154,0)),IFERROR(INDEX(Personnes!$B$5:$B$154,MATCH($B8&amp;"*",Personnes!$C$5:$C$154,0)),INDEX(Personnes!$B$5:$B$154,MATCH($B8&amp;"*",Personnes!$D$5:$D$154,0))))),""))</f>
        <v/>
      </c>
      <c r="D8" s="10" t="str">
        <f>IFERROR(INDEX(Personnes!$C$5:$C$154,MATCH($C8,Personnes!$B$5:$B$154,0))&amp;"","")</f>
        <v/>
      </c>
      <c r="E8" s="10" t="str">
        <f>IFERROR(INDEX(Personnes!$D$5:$D$154,MATCH($C8,Personnes!$B$5:$B$154,0))&amp;"","")</f>
        <v/>
      </c>
      <c r="F8" s="15"/>
      <c r="G8" s="9"/>
      <c r="H8" s="10" t="str">
        <f>IF($B8="","",IF($C8="","apnéiste non reconnu",IF($A8="","séance non renseignée",IF(COUNTIFS($A$5:$A$504,$A8,$C$5:$C$504,$C8)&gt;1,"doublon séance / apnéiste",IF(OR($C8=IFERROR(INDEX('Calendrier'!$K$5:$K$5,MATCH($A8,'Calendrier'!$A$5:$A$5,0)),""),$C8=IFERROR(INDEX('Calendrier'!$O$5:$O$5,MATCH($A8,'Calendrier'!$A$5:$A$5,0)),"")),"encadrant et élève sur la même séance",IF(IFERROR(INDEX(Personnes!$H$5:$H$154,MATCH($C8,Personnes!$B$5:$B$154,0)),"")&lt;&gt;"oui","invité (hors ligne)","ok"))))))</f>
        <v/>
      </c>
    </row>
    <row r="9" spans="1:8" x14ac:dyDescent="0.2">
      <c r="A9" s="15"/>
      <c r="B9" s="15"/>
      <c r="C9" s="10" t="str">
        <f>IF($B9="","",IFERROR(IF(ISNUMBER(FIND("[",$B9)),MID($B9,FIND("[",$B9)+1,FIND("]",$B9)-FIND("[",$B9)-1),IF(ISNUMBER($B9),INDEX(Personnes!$B$5:$B$154,MATCH($B9,Personnes!$A$5:$A$154,0)),IFERROR(INDEX(Personnes!$B$5:$B$154,MATCH($B9&amp;"*",Personnes!$C$5:$C$154,0)),INDEX(Personnes!$B$5:$B$154,MATCH($B9&amp;"*",Personnes!$D$5:$D$154,0))))),""))</f>
        <v/>
      </c>
      <c r="D9" s="10" t="str">
        <f>IFERROR(INDEX(Personnes!$C$5:$C$154,MATCH($C9,Personnes!$B$5:$B$154,0))&amp;"","")</f>
        <v/>
      </c>
      <c r="E9" s="10" t="str">
        <f>IFERROR(INDEX(Personnes!$D$5:$D$154,MATCH($C9,Personnes!$B$5:$B$154,0))&amp;"","")</f>
        <v/>
      </c>
      <c r="F9" s="15"/>
      <c r="G9" s="9"/>
      <c r="H9" s="10" t="str">
        <f>IF($B9="","",IF($C9="","apnéiste non reconnu",IF($A9="","séance non renseignée",IF(COUNTIFS($A$5:$A$504,$A9,$C$5:$C$504,$C9)&gt;1,"doublon séance / apnéiste",IF(OR($C9=IFERROR(INDEX('Calendrier'!$K$5:$K$5,MATCH($A9,'Calendrier'!$A$5:$A$5,0)),""),$C9=IFERROR(INDEX('Calendrier'!$O$5:$O$5,MATCH($A9,'Calendrier'!$A$5:$A$5,0)),"")),"encadrant et élève sur la même séance",IF(IFERROR(INDEX(Personnes!$H$5:$H$154,MATCH($C9,Personnes!$B$5:$B$154,0)),"")&lt;&gt;"oui","invité (hors ligne)","ok"))))))</f>
        <v/>
      </c>
    </row>
    <row r="10" spans="1:8" x14ac:dyDescent="0.2">
      <c r="A10" s="15"/>
      <c r="B10" s="15"/>
      <c r="C10" s="10" t="str">
        <f>IF($B10="","",IFERROR(IF(ISNUMBER(FIND("[",$B10)),MID($B10,FIND("[",$B10)+1,FIND("]",$B10)-FIND("[",$B10)-1),IF(ISNUMBER($B10),INDEX(Personnes!$B$5:$B$154,MATCH($B10,Personnes!$A$5:$A$154,0)),IFERROR(INDEX(Personnes!$B$5:$B$154,MATCH($B10&amp;"*",Personnes!$C$5:$C$154,0)),INDEX(Personnes!$B$5:$B$154,MATCH($B10&amp;"*",Personnes!$D$5:$D$154,0))))),""))</f>
        <v/>
      </c>
      <c r="D10" s="10" t="str">
        <f>IFERROR(INDEX(Personnes!$C$5:$C$154,MATCH($C10,Personnes!$B$5:$B$154,0))&amp;"","")</f>
        <v/>
      </c>
      <c r="E10" s="10" t="str">
        <f>IFERROR(INDEX(Personnes!$D$5:$D$154,MATCH($C10,Personnes!$B$5:$B$154,0))&amp;"","")</f>
        <v/>
      </c>
      <c r="F10" s="15"/>
      <c r="G10" s="9"/>
      <c r="H10" s="10" t="str">
        <f>IF($B10="","",IF($C10="","apnéiste non reconnu",IF($A10="","séance non renseignée",IF(COUNTIFS($A$5:$A$504,$A10,$C$5:$C$504,$C10)&gt;1,"doublon séance / apnéiste",IF(OR($C10=IFERROR(INDEX('Calendrier'!$K$5:$K$5,MATCH($A10,'Calendrier'!$A$5:$A$5,0)),""),$C10=IFERROR(INDEX('Calendrier'!$O$5:$O$5,MATCH($A10,'Calendrier'!$A$5:$A$5,0)),"")),"encadrant et élève sur la même séance",IF(IFERROR(INDEX(Personnes!$H$5:$H$154,MATCH($C10,Personnes!$B$5:$B$154,0)),"")&lt;&gt;"oui","invité (hors ligne)","ok"))))))</f>
        <v/>
      </c>
    </row>
    <row r="11" spans="1:8" x14ac:dyDescent="0.2">
      <c r="A11" s="15"/>
      <c r="B11" s="15"/>
      <c r="C11" s="10" t="str">
        <f>IF($B11="","",IFERROR(IF(ISNUMBER(FIND("[",$B11)),MID($B11,FIND("[",$B11)+1,FIND("]",$B11)-FIND("[",$B11)-1),IF(ISNUMBER($B11),INDEX(Personnes!$B$5:$B$154,MATCH($B11,Personnes!$A$5:$A$154,0)),IFERROR(INDEX(Personnes!$B$5:$B$154,MATCH($B11&amp;"*",Personnes!$C$5:$C$154,0)),INDEX(Personnes!$B$5:$B$154,MATCH($B11&amp;"*",Personnes!$D$5:$D$154,0))))),""))</f>
        <v/>
      </c>
      <c r="D11" s="10" t="str">
        <f>IFERROR(INDEX(Personnes!$C$5:$C$154,MATCH($C11,Personnes!$B$5:$B$154,0))&amp;"","")</f>
        <v/>
      </c>
      <c r="E11" s="10" t="str">
        <f>IFERROR(INDEX(Personnes!$D$5:$D$154,MATCH($C11,Personnes!$B$5:$B$154,0))&amp;"","")</f>
        <v/>
      </c>
      <c r="F11" s="15"/>
      <c r="G11" s="9"/>
      <c r="H11" s="10" t="str">
        <f>IF($B11="","",IF($C11="","apnéiste non reconnu",IF($A11="","séance non renseignée",IF(COUNTIFS($A$5:$A$504,$A11,$C$5:$C$504,$C11)&gt;1,"doublon séance / apnéiste",IF(OR($C11=IFERROR(INDEX('Calendrier'!$K$5:$K$5,MATCH($A11,'Calendrier'!$A$5:$A$5,0)),""),$C11=IFERROR(INDEX('Calendrier'!$O$5:$O$5,MATCH($A11,'Calendrier'!$A$5:$A$5,0)),"")),"encadrant et élève sur la même séance",IF(IFERROR(INDEX(Personnes!$H$5:$H$154,MATCH($C11,Personnes!$B$5:$B$154,0)),"")&lt;&gt;"oui","invité (hors ligne)","ok"))))))</f>
        <v/>
      </c>
    </row>
    <row r="12" spans="1:8" x14ac:dyDescent="0.2">
      <c r="A12" s="15"/>
      <c r="B12" s="15"/>
      <c r="C12" s="10" t="str">
        <f>IF($B12="","",IFERROR(IF(ISNUMBER(FIND("[",$B12)),MID($B12,FIND("[",$B12)+1,FIND("]",$B12)-FIND("[",$B12)-1),IF(ISNUMBER($B12),INDEX(Personnes!$B$5:$B$154,MATCH($B12,Personnes!$A$5:$A$154,0)),IFERROR(INDEX(Personnes!$B$5:$B$154,MATCH($B12&amp;"*",Personnes!$C$5:$C$154,0)),INDEX(Personnes!$B$5:$B$154,MATCH($B12&amp;"*",Personnes!$D$5:$D$154,0))))),""))</f>
        <v/>
      </c>
      <c r="D12" s="10" t="str">
        <f>IFERROR(INDEX(Personnes!$C$5:$C$154,MATCH($C12,Personnes!$B$5:$B$154,0))&amp;"","")</f>
        <v/>
      </c>
      <c r="E12" s="10" t="str">
        <f>IFERROR(INDEX(Personnes!$D$5:$D$154,MATCH($C12,Personnes!$B$5:$B$154,0))&amp;"","")</f>
        <v/>
      </c>
      <c r="F12" s="15"/>
      <c r="G12" s="9"/>
      <c r="H12" s="10" t="str">
        <f>IF($B12="","",IF($C12="","apnéiste non reconnu",IF($A12="","séance non renseignée",IF(COUNTIFS($A$5:$A$504,$A12,$C$5:$C$504,$C12)&gt;1,"doublon séance / apnéiste",IF(OR($C12=IFERROR(INDEX('Calendrier'!$K$5:$K$5,MATCH($A12,'Calendrier'!$A$5:$A$5,0)),""),$C12=IFERROR(INDEX('Calendrier'!$O$5:$O$5,MATCH($A12,'Calendrier'!$A$5:$A$5,0)),"")),"encadrant et élève sur la même séance",IF(IFERROR(INDEX(Personnes!$H$5:$H$154,MATCH($C12,Personnes!$B$5:$B$154,0)),"")&lt;&gt;"oui","invité (hors ligne)","ok"))))))</f>
        <v/>
      </c>
    </row>
    <row r="13" spans="1:8" x14ac:dyDescent="0.2">
      <c r="A13" s="15"/>
      <c r="B13" s="15"/>
      <c r="C13" s="10" t="str">
        <f>IF($B13="","",IFERROR(IF(ISNUMBER(FIND("[",$B13)),MID($B13,FIND("[",$B13)+1,FIND("]",$B13)-FIND("[",$B13)-1),IF(ISNUMBER($B13),INDEX(Personnes!$B$5:$B$154,MATCH($B13,Personnes!$A$5:$A$154,0)),IFERROR(INDEX(Personnes!$B$5:$B$154,MATCH($B13&amp;"*",Personnes!$C$5:$C$154,0)),INDEX(Personnes!$B$5:$B$154,MATCH($B13&amp;"*",Personnes!$D$5:$D$154,0))))),""))</f>
        <v/>
      </c>
      <c r="D13" s="10" t="str">
        <f>IFERROR(INDEX(Personnes!$C$5:$C$154,MATCH($C13,Personnes!$B$5:$B$154,0))&amp;"","")</f>
        <v/>
      </c>
      <c r="E13" s="10" t="str">
        <f>IFERROR(INDEX(Personnes!$D$5:$D$154,MATCH($C13,Personnes!$B$5:$B$154,0))&amp;"","")</f>
        <v/>
      </c>
      <c r="F13" s="15"/>
      <c r="G13" s="9"/>
      <c r="H13" s="10" t="str">
        <f>IF($B13="","",IF($C13="","apnéiste non reconnu",IF($A13="","séance non renseignée",IF(COUNTIFS($A$5:$A$504,$A13,$C$5:$C$504,$C13)&gt;1,"doublon séance / apnéiste",IF(OR($C13=IFERROR(INDEX('Calendrier'!$K$5:$K$5,MATCH($A13,'Calendrier'!$A$5:$A$5,0)),""),$C13=IFERROR(INDEX('Calendrier'!$O$5:$O$5,MATCH($A13,'Calendrier'!$A$5:$A$5,0)),"")),"encadrant et élève sur la même séance",IF(IFERROR(INDEX(Personnes!$H$5:$H$154,MATCH($C13,Personnes!$B$5:$B$154,0)),"")&lt;&gt;"oui","invité (hors ligne)","ok"))))))</f>
        <v/>
      </c>
    </row>
    <row r="14" spans="1:8" x14ac:dyDescent="0.2">
      <c r="A14" s="15"/>
      <c r="B14" s="15"/>
      <c r="C14" s="10" t="str">
        <f>IF($B14="","",IFERROR(IF(ISNUMBER(FIND("[",$B14)),MID($B14,FIND("[",$B14)+1,FIND("]",$B14)-FIND("[",$B14)-1),IF(ISNUMBER($B14),INDEX(Personnes!$B$5:$B$154,MATCH($B14,Personnes!$A$5:$A$154,0)),IFERROR(INDEX(Personnes!$B$5:$B$154,MATCH($B14&amp;"*",Personnes!$C$5:$C$154,0)),INDEX(Personnes!$B$5:$B$154,MATCH($B14&amp;"*",Personnes!$D$5:$D$154,0))))),""))</f>
        <v/>
      </c>
      <c r="D14" s="10" t="str">
        <f>IFERROR(INDEX(Personnes!$C$5:$C$154,MATCH($C14,Personnes!$B$5:$B$154,0))&amp;"","")</f>
        <v/>
      </c>
      <c r="E14" s="10" t="str">
        <f>IFERROR(INDEX(Personnes!$D$5:$D$154,MATCH($C14,Personnes!$B$5:$B$154,0))&amp;"","")</f>
        <v/>
      </c>
      <c r="F14" s="15"/>
      <c r="G14" s="9"/>
      <c r="H14" s="10" t="str">
        <f>IF($B14="","",IF($C14="","apnéiste non reconnu",IF($A14="","séance non renseignée",IF(COUNTIFS($A$5:$A$504,$A14,$C$5:$C$504,$C14)&gt;1,"doublon séance / apnéiste",IF(OR($C14=IFERROR(INDEX('Calendrier'!$K$5:$K$5,MATCH($A14,'Calendrier'!$A$5:$A$5,0)),""),$C14=IFERROR(INDEX('Calendrier'!$O$5:$O$5,MATCH($A14,'Calendrier'!$A$5:$A$5,0)),"")),"encadrant et élève sur la même séance",IF(IFERROR(INDEX(Personnes!$H$5:$H$154,MATCH($C14,Personnes!$B$5:$B$154,0)),"")&lt;&gt;"oui","invité (hors ligne)","ok"))))))</f>
        <v/>
      </c>
    </row>
    <row r="15" spans="1:8" x14ac:dyDescent="0.2">
      <c r="A15" s="15"/>
      <c r="B15" s="15"/>
      <c r="C15" s="10" t="str">
        <f>IF($B15="","",IFERROR(IF(ISNUMBER(FIND("[",$B15)),MID($B15,FIND("[",$B15)+1,FIND("]",$B15)-FIND("[",$B15)-1),IF(ISNUMBER($B15),INDEX(Personnes!$B$5:$B$154,MATCH($B15,Personnes!$A$5:$A$154,0)),IFERROR(INDEX(Personnes!$B$5:$B$154,MATCH($B15&amp;"*",Personnes!$C$5:$C$154,0)),INDEX(Personnes!$B$5:$B$154,MATCH($B15&amp;"*",Personnes!$D$5:$D$154,0))))),""))</f>
        <v/>
      </c>
      <c r="D15" s="10" t="str">
        <f>IFERROR(INDEX(Personnes!$C$5:$C$154,MATCH($C15,Personnes!$B$5:$B$154,0))&amp;"","")</f>
        <v/>
      </c>
      <c r="E15" s="10" t="str">
        <f>IFERROR(INDEX(Personnes!$D$5:$D$154,MATCH($C15,Personnes!$B$5:$B$154,0))&amp;"","")</f>
        <v/>
      </c>
      <c r="F15" s="15"/>
      <c r="G15" s="9"/>
      <c r="H15" s="10" t="str">
        <f>IF($B15="","",IF($C15="","apnéiste non reconnu",IF($A15="","séance non renseignée",IF(COUNTIFS($A$5:$A$504,$A15,$C$5:$C$504,$C15)&gt;1,"doublon séance / apnéiste",IF(OR($C15=IFERROR(INDEX('Calendrier'!$K$5:$K$5,MATCH($A15,'Calendrier'!$A$5:$A$5,0)),""),$C15=IFERROR(INDEX('Calendrier'!$O$5:$O$5,MATCH($A15,'Calendrier'!$A$5:$A$5,0)),"")),"encadrant et élève sur la même séance",IF(IFERROR(INDEX(Personnes!$H$5:$H$154,MATCH($C15,Personnes!$B$5:$B$154,0)),"")&lt;&gt;"oui","invité (hors ligne)","ok"))))))</f>
        <v/>
      </c>
    </row>
    <row r="16" spans="1:8" x14ac:dyDescent="0.2">
      <c r="A16" s="15"/>
      <c r="B16" s="15"/>
      <c r="C16" s="10" t="str">
        <f>IF($B16="","",IFERROR(IF(ISNUMBER(FIND("[",$B16)),MID($B16,FIND("[",$B16)+1,FIND("]",$B16)-FIND("[",$B16)-1),IF(ISNUMBER($B16),INDEX(Personnes!$B$5:$B$154,MATCH($B16,Personnes!$A$5:$A$154,0)),IFERROR(INDEX(Personnes!$B$5:$B$154,MATCH($B16&amp;"*",Personnes!$C$5:$C$154,0)),INDEX(Personnes!$B$5:$B$154,MATCH($B16&amp;"*",Personnes!$D$5:$D$154,0))))),""))</f>
        <v/>
      </c>
      <c r="D16" s="10" t="str">
        <f>IFERROR(INDEX(Personnes!$C$5:$C$154,MATCH($C16,Personnes!$B$5:$B$154,0))&amp;"","")</f>
        <v/>
      </c>
      <c r="E16" s="10" t="str">
        <f>IFERROR(INDEX(Personnes!$D$5:$D$154,MATCH($C16,Personnes!$B$5:$B$154,0))&amp;"","")</f>
        <v/>
      </c>
      <c r="F16" s="15"/>
      <c r="G16" s="9"/>
      <c r="H16" s="10" t="str">
        <f>IF($B16="","",IF($C16="","apnéiste non reconnu",IF($A16="","séance non renseignée",IF(COUNTIFS($A$5:$A$504,$A16,$C$5:$C$504,$C16)&gt;1,"doublon séance / apnéiste",IF(OR($C16=IFERROR(INDEX('Calendrier'!$K$5:$K$5,MATCH($A16,'Calendrier'!$A$5:$A$5,0)),""),$C16=IFERROR(INDEX('Calendrier'!$O$5:$O$5,MATCH($A16,'Calendrier'!$A$5:$A$5,0)),"")),"encadrant et élève sur la même séance",IF(IFERROR(INDEX(Personnes!$H$5:$H$154,MATCH($C16,Personnes!$B$5:$B$154,0)),"")&lt;&gt;"oui","invité (hors ligne)","ok"))))))</f>
        <v/>
      </c>
    </row>
    <row r="17" spans="1:8" x14ac:dyDescent="0.2">
      <c r="A17" s="15"/>
      <c r="B17" s="15"/>
      <c r="C17" s="10" t="str">
        <f>IF($B17="","",IFERROR(IF(ISNUMBER(FIND("[",$B17)),MID($B17,FIND("[",$B17)+1,FIND("]",$B17)-FIND("[",$B17)-1),IF(ISNUMBER($B17),INDEX(Personnes!$B$5:$B$154,MATCH($B17,Personnes!$A$5:$A$154,0)),IFERROR(INDEX(Personnes!$B$5:$B$154,MATCH($B17&amp;"*",Personnes!$C$5:$C$154,0)),INDEX(Personnes!$B$5:$B$154,MATCH($B17&amp;"*",Personnes!$D$5:$D$154,0))))),""))</f>
        <v/>
      </c>
      <c r="D17" s="10" t="str">
        <f>IFERROR(INDEX(Personnes!$C$5:$C$154,MATCH($C17,Personnes!$B$5:$B$154,0))&amp;"","")</f>
        <v/>
      </c>
      <c r="E17" s="10" t="str">
        <f>IFERROR(INDEX(Personnes!$D$5:$D$154,MATCH($C17,Personnes!$B$5:$B$154,0))&amp;"","")</f>
        <v/>
      </c>
      <c r="F17" s="15"/>
      <c r="G17" s="9"/>
      <c r="H17" s="10" t="str">
        <f>IF($B17="","",IF($C17="","apnéiste non reconnu",IF($A17="","séance non renseignée",IF(COUNTIFS($A$5:$A$504,$A17,$C$5:$C$504,$C17)&gt;1,"doublon séance / apnéiste",IF(OR($C17=IFERROR(INDEX('Calendrier'!$K$5:$K$5,MATCH($A17,'Calendrier'!$A$5:$A$5,0)),""),$C17=IFERROR(INDEX('Calendrier'!$O$5:$O$5,MATCH($A17,'Calendrier'!$A$5:$A$5,0)),"")),"encadrant et élève sur la même séance",IF(IFERROR(INDEX(Personnes!$H$5:$H$154,MATCH($C17,Personnes!$B$5:$B$154,0)),"")&lt;&gt;"oui","invité (hors ligne)","ok"))))))</f>
        <v/>
      </c>
    </row>
    <row r="18" spans="1:8" x14ac:dyDescent="0.2">
      <c r="A18" s="15"/>
      <c r="B18" s="15"/>
      <c r="C18" s="10" t="str">
        <f>IF($B18="","",IFERROR(IF(ISNUMBER(FIND("[",$B18)),MID($B18,FIND("[",$B18)+1,FIND("]",$B18)-FIND("[",$B18)-1),IF(ISNUMBER($B18),INDEX(Personnes!$B$5:$B$154,MATCH($B18,Personnes!$A$5:$A$154,0)),IFERROR(INDEX(Personnes!$B$5:$B$154,MATCH($B18&amp;"*",Personnes!$C$5:$C$154,0)),INDEX(Personnes!$B$5:$B$154,MATCH($B18&amp;"*",Personnes!$D$5:$D$154,0))))),""))</f>
        <v/>
      </c>
      <c r="D18" s="10" t="str">
        <f>IFERROR(INDEX(Personnes!$C$5:$C$154,MATCH($C18,Personnes!$B$5:$B$154,0))&amp;"","")</f>
        <v/>
      </c>
      <c r="E18" s="10" t="str">
        <f>IFERROR(INDEX(Personnes!$D$5:$D$154,MATCH($C18,Personnes!$B$5:$B$154,0))&amp;"","")</f>
        <v/>
      </c>
      <c r="F18" s="15"/>
      <c r="G18" s="9"/>
      <c r="H18" s="10" t="str">
        <f>IF($B18="","",IF($C18="","apnéiste non reconnu",IF($A18="","séance non renseignée",IF(COUNTIFS($A$5:$A$504,$A18,$C$5:$C$504,$C18)&gt;1,"doublon séance / apnéiste",IF(OR($C18=IFERROR(INDEX('Calendrier'!$K$5:$K$5,MATCH($A18,'Calendrier'!$A$5:$A$5,0)),""),$C18=IFERROR(INDEX('Calendrier'!$O$5:$O$5,MATCH($A18,'Calendrier'!$A$5:$A$5,0)),"")),"encadrant et élève sur la même séance",IF(IFERROR(INDEX(Personnes!$H$5:$H$154,MATCH($C18,Personnes!$B$5:$B$154,0)),"")&lt;&gt;"oui","invité (hors ligne)","ok"))))))</f>
        <v/>
      </c>
    </row>
    <row r="19" spans="1:8" x14ac:dyDescent="0.2">
      <c r="A19" s="15"/>
      <c r="B19" s="15"/>
      <c r="C19" s="10" t="str">
        <f>IF($B19="","",IFERROR(IF(ISNUMBER(FIND("[",$B19)),MID($B19,FIND("[",$B19)+1,FIND("]",$B19)-FIND("[",$B19)-1),IF(ISNUMBER($B19),INDEX(Personnes!$B$5:$B$154,MATCH($B19,Personnes!$A$5:$A$154,0)),IFERROR(INDEX(Personnes!$B$5:$B$154,MATCH($B19&amp;"*",Personnes!$C$5:$C$154,0)),INDEX(Personnes!$B$5:$B$154,MATCH($B19&amp;"*",Personnes!$D$5:$D$154,0))))),""))</f>
        <v/>
      </c>
      <c r="D19" s="10" t="str">
        <f>IFERROR(INDEX(Personnes!$C$5:$C$154,MATCH($C19,Personnes!$B$5:$B$154,0))&amp;"","")</f>
        <v/>
      </c>
      <c r="E19" s="10" t="str">
        <f>IFERROR(INDEX(Personnes!$D$5:$D$154,MATCH($C19,Personnes!$B$5:$B$154,0))&amp;"","")</f>
        <v/>
      </c>
      <c r="F19" s="15"/>
      <c r="G19" s="9"/>
      <c r="H19" s="10" t="str">
        <f>IF($B19="","",IF($C19="","apnéiste non reconnu",IF($A19="","séance non renseignée",IF(COUNTIFS($A$5:$A$504,$A19,$C$5:$C$504,$C19)&gt;1,"doublon séance / apnéiste",IF(OR($C19=IFERROR(INDEX('Calendrier'!$K$5:$K$5,MATCH($A19,'Calendrier'!$A$5:$A$5,0)),""),$C19=IFERROR(INDEX('Calendrier'!$O$5:$O$5,MATCH($A19,'Calendrier'!$A$5:$A$5,0)),"")),"encadrant et élève sur la même séance",IF(IFERROR(INDEX(Personnes!$H$5:$H$154,MATCH($C19,Personnes!$B$5:$B$154,0)),"")&lt;&gt;"oui","invité (hors ligne)","ok"))))))</f>
        <v/>
      </c>
    </row>
    <row r="20" spans="1:8" x14ac:dyDescent="0.2">
      <c r="A20" s="15"/>
      <c r="B20" s="15"/>
      <c r="C20" s="10" t="str">
        <f>IF($B20="","",IFERROR(IF(ISNUMBER(FIND("[",$B20)),MID($B20,FIND("[",$B20)+1,FIND("]",$B20)-FIND("[",$B20)-1),IF(ISNUMBER($B20),INDEX(Personnes!$B$5:$B$154,MATCH($B20,Personnes!$A$5:$A$154,0)),IFERROR(INDEX(Personnes!$B$5:$B$154,MATCH($B20&amp;"*",Personnes!$C$5:$C$154,0)),INDEX(Personnes!$B$5:$B$154,MATCH($B20&amp;"*",Personnes!$D$5:$D$154,0))))),""))</f>
        <v/>
      </c>
      <c r="D20" s="10" t="str">
        <f>IFERROR(INDEX(Personnes!$C$5:$C$154,MATCH($C20,Personnes!$B$5:$B$154,0))&amp;"","")</f>
        <v/>
      </c>
      <c r="E20" s="10" t="str">
        <f>IFERROR(INDEX(Personnes!$D$5:$D$154,MATCH($C20,Personnes!$B$5:$B$154,0))&amp;"","")</f>
        <v/>
      </c>
      <c r="F20" s="15"/>
      <c r="G20" s="9"/>
      <c r="H20" s="10" t="str">
        <f>IF($B20="","",IF($C20="","apnéiste non reconnu",IF($A20="","séance non renseignée",IF(COUNTIFS($A$5:$A$504,$A20,$C$5:$C$504,$C20)&gt;1,"doublon séance / apnéiste",IF(OR($C20=IFERROR(INDEX('Calendrier'!$K$5:$K$5,MATCH($A20,'Calendrier'!$A$5:$A$5,0)),""),$C20=IFERROR(INDEX('Calendrier'!$O$5:$O$5,MATCH($A20,'Calendrier'!$A$5:$A$5,0)),"")),"encadrant et élève sur la même séance",IF(IFERROR(INDEX(Personnes!$H$5:$H$154,MATCH($C20,Personnes!$B$5:$B$154,0)),"")&lt;&gt;"oui","invité (hors ligne)","ok"))))))</f>
        <v/>
      </c>
    </row>
    <row r="21" spans="1:8" x14ac:dyDescent="0.2">
      <c r="A21" s="15"/>
      <c r="B21" s="15"/>
      <c r="C21" s="10" t="str">
        <f>IF($B21="","",IFERROR(IF(ISNUMBER(FIND("[",$B21)),MID($B21,FIND("[",$B21)+1,FIND("]",$B21)-FIND("[",$B21)-1),IF(ISNUMBER($B21),INDEX(Personnes!$B$5:$B$154,MATCH($B21,Personnes!$A$5:$A$154,0)),IFERROR(INDEX(Personnes!$B$5:$B$154,MATCH($B21&amp;"*",Personnes!$C$5:$C$154,0)),INDEX(Personnes!$B$5:$B$154,MATCH($B21&amp;"*",Personnes!$D$5:$D$154,0))))),""))</f>
        <v/>
      </c>
      <c r="D21" s="10" t="str">
        <f>IFERROR(INDEX(Personnes!$C$5:$C$154,MATCH($C21,Personnes!$B$5:$B$154,0))&amp;"","")</f>
        <v/>
      </c>
      <c r="E21" s="10" t="str">
        <f>IFERROR(INDEX(Personnes!$D$5:$D$154,MATCH($C21,Personnes!$B$5:$B$154,0))&amp;"","")</f>
        <v/>
      </c>
      <c r="F21" s="15"/>
      <c r="G21" s="9"/>
      <c r="H21" s="10" t="str">
        <f>IF($B21="","",IF($C21="","apnéiste non reconnu",IF($A21="","séance non renseignée",IF(COUNTIFS($A$5:$A$504,$A21,$C$5:$C$504,$C21)&gt;1,"doublon séance / apnéiste",IF(OR($C21=IFERROR(INDEX('Calendrier'!$K$5:$K$5,MATCH($A21,'Calendrier'!$A$5:$A$5,0)),""),$C21=IFERROR(INDEX('Calendrier'!$O$5:$O$5,MATCH($A21,'Calendrier'!$A$5:$A$5,0)),"")),"encadrant et élève sur la même séance",IF(IFERROR(INDEX(Personnes!$H$5:$H$154,MATCH($C21,Personnes!$B$5:$B$154,0)),"")&lt;&gt;"oui","invité (hors ligne)","ok"))))))</f>
        <v/>
      </c>
    </row>
    <row r="22" spans="1:8" x14ac:dyDescent="0.2">
      <c r="A22" s="15"/>
      <c r="B22" s="15"/>
      <c r="C22" s="10" t="str">
        <f>IF($B22="","",IFERROR(IF(ISNUMBER(FIND("[",$B22)),MID($B22,FIND("[",$B22)+1,FIND("]",$B22)-FIND("[",$B22)-1),IF(ISNUMBER($B22),INDEX(Personnes!$B$5:$B$154,MATCH($B22,Personnes!$A$5:$A$154,0)),IFERROR(INDEX(Personnes!$B$5:$B$154,MATCH($B22&amp;"*",Personnes!$C$5:$C$154,0)),INDEX(Personnes!$B$5:$B$154,MATCH($B22&amp;"*",Personnes!$D$5:$D$154,0))))),""))</f>
        <v/>
      </c>
      <c r="D22" s="10" t="str">
        <f>IFERROR(INDEX(Personnes!$C$5:$C$154,MATCH($C22,Personnes!$B$5:$B$154,0))&amp;"","")</f>
        <v/>
      </c>
      <c r="E22" s="10" t="str">
        <f>IFERROR(INDEX(Personnes!$D$5:$D$154,MATCH($C22,Personnes!$B$5:$B$154,0))&amp;"","")</f>
        <v/>
      </c>
      <c r="F22" s="15"/>
      <c r="G22" s="9"/>
      <c r="H22" s="10" t="str">
        <f>IF($B22="","",IF($C22="","apnéiste non reconnu",IF($A22="","séance non renseignée",IF(COUNTIFS($A$5:$A$504,$A22,$C$5:$C$504,$C22)&gt;1,"doublon séance / apnéiste",IF(OR($C22=IFERROR(INDEX('Calendrier'!$K$5:$K$5,MATCH($A22,'Calendrier'!$A$5:$A$5,0)),""),$C22=IFERROR(INDEX('Calendrier'!$O$5:$O$5,MATCH($A22,'Calendrier'!$A$5:$A$5,0)),"")),"encadrant et élève sur la même séance",IF(IFERROR(INDEX(Personnes!$H$5:$H$154,MATCH($C22,Personnes!$B$5:$B$154,0)),"")&lt;&gt;"oui","invité (hors ligne)","ok"))))))</f>
        <v/>
      </c>
    </row>
    <row r="23" spans="1:8" x14ac:dyDescent="0.2">
      <c r="A23" s="15"/>
      <c r="B23" s="15"/>
      <c r="C23" s="10" t="str">
        <f>IF($B23="","",IFERROR(IF(ISNUMBER(FIND("[",$B23)),MID($B23,FIND("[",$B23)+1,FIND("]",$B23)-FIND("[",$B23)-1),IF(ISNUMBER($B23),INDEX(Personnes!$B$5:$B$154,MATCH($B23,Personnes!$A$5:$A$154,0)),IFERROR(INDEX(Personnes!$B$5:$B$154,MATCH($B23&amp;"*",Personnes!$C$5:$C$154,0)),INDEX(Personnes!$B$5:$B$154,MATCH($B23&amp;"*",Personnes!$D$5:$D$154,0))))),""))</f>
        <v/>
      </c>
      <c r="D23" s="10" t="str">
        <f>IFERROR(INDEX(Personnes!$C$5:$C$154,MATCH($C23,Personnes!$B$5:$B$154,0))&amp;"","")</f>
        <v/>
      </c>
      <c r="E23" s="10" t="str">
        <f>IFERROR(INDEX(Personnes!$D$5:$D$154,MATCH($C23,Personnes!$B$5:$B$154,0))&amp;"","")</f>
        <v/>
      </c>
      <c r="F23" s="15"/>
      <c r="G23" s="9"/>
      <c r="H23" s="10" t="str">
        <f>IF($B23="","",IF($C23="","apnéiste non reconnu",IF($A23="","séance non renseignée",IF(COUNTIFS($A$5:$A$504,$A23,$C$5:$C$504,$C23)&gt;1,"doublon séance / apnéiste",IF(OR($C23=IFERROR(INDEX('Calendrier'!$K$5:$K$5,MATCH($A23,'Calendrier'!$A$5:$A$5,0)),""),$C23=IFERROR(INDEX('Calendrier'!$O$5:$O$5,MATCH($A23,'Calendrier'!$A$5:$A$5,0)),"")),"encadrant et élève sur la même séance",IF(IFERROR(INDEX(Personnes!$H$5:$H$154,MATCH($C23,Personnes!$B$5:$B$154,0)),"")&lt;&gt;"oui","invité (hors ligne)","ok"))))))</f>
        <v/>
      </c>
    </row>
    <row r="24" spans="1:8" x14ac:dyDescent="0.2">
      <c r="A24" s="15"/>
      <c r="B24" s="15"/>
      <c r="C24" s="10" t="str">
        <f>IF($B24="","",IFERROR(IF(ISNUMBER(FIND("[",$B24)),MID($B24,FIND("[",$B24)+1,FIND("]",$B24)-FIND("[",$B24)-1),IF(ISNUMBER($B24),INDEX(Personnes!$B$5:$B$154,MATCH($B24,Personnes!$A$5:$A$154,0)),IFERROR(INDEX(Personnes!$B$5:$B$154,MATCH($B24&amp;"*",Personnes!$C$5:$C$154,0)),INDEX(Personnes!$B$5:$B$154,MATCH($B24&amp;"*",Personnes!$D$5:$D$154,0))))),""))</f>
        <v/>
      </c>
      <c r="D24" s="10" t="str">
        <f>IFERROR(INDEX(Personnes!$C$5:$C$154,MATCH($C24,Personnes!$B$5:$B$154,0))&amp;"","")</f>
        <v/>
      </c>
      <c r="E24" s="10" t="str">
        <f>IFERROR(INDEX(Personnes!$D$5:$D$154,MATCH($C24,Personnes!$B$5:$B$154,0))&amp;"","")</f>
        <v/>
      </c>
      <c r="F24" s="15"/>
      <c r="G24" s="9"/>
      <c r="H24" s="10" t="str">
        <f>IF($B24="","",IF($C24="","apnéiste non reconnu",IF($A24="","séance non renseignée",IF(COUNTIFS($A$5:$A$504,$A24,$C$5:$C$504,$C24)&gt;1,"doublon séance / apnéiste",IF(OR($C24=IFERROR(INDEX('Calendrier'!$K$5:$K$5,MATCH($A24,'Calendrier'!$A$5:$A$5,0)),""),$C24=IFERROR(INDEX('Calendrier'!$O$5:$O$5,MATCH($A24,'Calendrier'!$A$5:$A$5,0)),"")),"encadrant et élève sur la même séance",IF(IFERROR(INDEX(Personnes!$H$5:$H$154,MATCH($C24,Personnes!$B$5:$B$154,0)),"")&lt;&gt;"oui","invité (hors ligne)","ok"))))))</f>
        <v/>
      </c>
    </row>
    <row r="25" spans="1:8" x14ac:dyDescent="0.2">
      <c r="A25" s="15"/>
      <c r="B25" s="15"/>
      <c r="C25" s="10" t="str">
        <f>IF($B25="","",IFERROR(IF(ISNUMBER(FIND("[",$B25)),MID($B25,FIND("[",$B25)+1,FIND("]",$B25)-FIND("[",$B25)-1),IF(ISNUMBER($B25),INDEX(Personnes!$B$5:$B$154,MATCH($B25,Personnes!$A$5:$A$154,0)),IFERROR(INDEX(Personnes!$B$5:$B$154,MATCH($B25&amp;"*",Personnes!$C$5:$C$154,0)),INDEX(Personnes!$B$5:$B$154,MATCH($B25&amp;"*",Personnes!$D$5:$D$154,0))))),""))</f>
        <v/>
      </c>
      <c r="D25" s="10" t="str">
        <f>IFERROR(INDEX(Personnes!$C$5:$C$154,MATCH($C25,Personnes!$B$5:$B$154,0))&amp;"","")</f>
        <v/>
      </c>
      <c r="E25" s="10" t="str">
        <f>IFERROR(INDEX(Personnes!$D$5:$D$154,MATCH($C25,Personnes!$B$5:$B$154,0))&amp;"","")</f>
        <v/>
      </c>
      <c r="F25" s="15"/>
      <c r="G25" s="9"/>
      <c r="H25" s="10" t="str">
        <f>IF($B25="","",IF($C25="","apnéiste non reconnu",IF($A25="","séance non renseignée",IF(COUNTIFS($A$5:$A$504,$A25,$C$5:$C$504,$C25)&gt;1,"doublon séance / apnéiste",IF(OR($C25=IFERROR(INDEX('Calendrier'!$K$5:$K$5,MATCH($A25,'Calendrier'!$A$5:$A$5,0)),""),$C25=IFERROR(INDEX('Calendrier'!$O$5:$O$5,MATCH($A25,'Calendrier'!$A$5:$A$5,0)),"")),"encadrant et élève sur la même séance",IF(IFERROR(INDEX(Personnes!$H$5:$H$154,MATCH($C25,Personnes!$B$5:$B$154,0)),"")&lt;&gt;"oui","invité (hors ligne)","ok"))))))</f>
        <v/>
      </c>
    </row>
    <row r="26" spans="1:8" x14ac:dyDescent="0.2">
      <c r="A26" s="15"/>
      <c r="B26" s="15"/>
      <c r="C26" s="10" t="str">
        <f>IF($B26="","",IFERROR(IF(ISNUMBER(FIND("[",$B26)),MID($B26,FIND("[",$B26)+1,FIND("]",$B26)-FIND("[",$B26)-1),IF(ISNUMBER($B26),INDEX(Personnes!$B$5:$B$154,MATCH($B26,Personnes!$A$5:$A$154,0)),IFERROR(INDEX(Personnes!$B$5:$B$154,MATCH($B26&amp;"*",Personnes!$C$5:$C$154,0)),INDEX(Personnes!$B$5:$B$154,MATCH($B26&amp;"*",Personnes!$D$5:$D$154,0))))),""))</f>
        <v/>
      </c>
      <c r="D26" s="10" t="str">
        <f>IFERROR(INDEX(Personnes!$C$5:$C$154,MATCH($C26,Personnes!$B$5:$B$154,0))&amp;"","")</f>
        <v/>
      </c>
      <c r="E26" s="10" t="str">
        <f>IFERROR(INDEX(Personnes!$D$5:$D$154,MATCH($C26,Personnes!$B$5:$B$154,0))&amp;"","")</f>
        <v/>
      </c>
      <c r="F26" s="15"/>
      <c r="G26" s="9"/>
      <c r="H26" s="10" t="str">
        <f>IF($B26="","",IF($C26="","apnéiste non reconnu",IF($A26="","séance non renseignée",IF(COUNTIFS($A$5:$A$504,$A26,$C$5:$C$504,$C26)&gt;1,"doublon séance / apnéiste",IF(OR($C26=IFERROR(INDEX('Calendrier'!$K$5:$K$5,MATCH($A26,'Calendrier'!$A$5:$A$5,0)),""),$C26=IFERROR(INDEX('Calendrier'!$O$5:$O$5,MATCH($A26,'Calendrier'!$A$5:$A$5,0)),"")),"encadrant et élève sur la même séance",IF(IFERROR(INDEX(Personnes!$H$5:$H$154,MATCH($C26,Personnes!$B$5:$B$154,0)),"")&lt;&gt;"oui","invité (hors ligne)","ok"))))))</f>
        <v/>
      </c>
    </row>
    <row r="27" spans="1:8" x14ac:dyDescent="0.2">
      <c r="A27" s="15"/>
      <c r="B27" s="15"/>
      <c r="C27" s="10" t="str">
        <f>IF($B27="","",IFERROR(IF(ISNUMBER(FIND("[",$B27)),MID($B27,FIND("[",$B27)+1,FIND("]",$B27)-FIND("[",$B27)-1),IF(ISNUMBER($B27),INDEX(Personnes!$B$5:$B$154,MATCH($B27,Personnes!$A$5:$A$154,0)),IFERROR(INDEX(Personnes!$B$5:$B$154,MATCH($B27&amp;"*",Personnes!$C$5:$C$154,0)),INDEX(Personnes!$B$5:$B$154,MATCH($B27&amp;"*",Personnes!$D$5:$D$154,0))))),""))</f>
        <v/>
      </c>
      <c r="D27" s="10" t="str">
        <f>IFERROR(INDEX(Personnes!$C$5:$C$154,MATCH($C27,Personnes!$B$5:$B$154,0))&amp;"","")</f>
        <v/>
      </c>
      <c r="E27" s="10" t="str">
        <f>IFERROR(INDEX(Personnes!$D$5:$D$154,MATCH($C27,Personnes!$B$5:$B$154,0))&amp;"","")</f>
        <v/>
      </c>
      <c r="F27" s="15"/>
      <c r="G27" s="9"/>
      <c r="H27" s="10" t="str">
        <f>IF($B27="","",IF($C27="","apnéiste non reconnu",IF($A27="","séance non renseignée",IF(COUNTIFS($A$5:$A$504,$A27,$C$5:$C$504,$C27)&gt;1,"doublon séance / apnéiste",IF(OR($C27=IFERROR(INDEX('Calendrier'!$K$5:$K$5,MATCH($A27,'Calendrier'!$A$5:$A$5,0)),""),$C27=IFERROR(INDEX('Calendrier'!$O$5:$O$5,MATCH($A27,'Calendrier'!$A$5:$A$5,0)),"")),"encadrant et élève sur la même séance",IF(IFERROR(INDEX(Personnes!$H$5:$H$154,MATCH($C27,Personnes!$B$5:$B$154,0)),"")&lt;&gt;"oui","invité (hors ligne)","ok"))))))</f>
        <v/>
      </c>
    </row>
    <row r="28" spans="1:8" x14ac:dyDescent="0.2">
      <c r="A28" s="15"/>
      <c r="B28" s="15"/>
      <c r="C28" s="10" t="str">
        <f>IF($B28="","",IFERROR(IF(ISNUMBER(FIND("[",$B28)),MID($B28,FIND("[",$B28)+1,FIND("]",$B28)-FIND("[",$B28)-1),IF(ISNUMBER($B28),INDEX(Personnes!$B$5:$B$154,MATCH($B28,Personnes!$A$5:$A$154,0)),IFERROR(INDEX(Personnes!$B$5:$B$154,MATCH($B28&amp;"*",Personnes!$C$5:$C$154,0)),INDEX(Personnes!$B$5:$B$154,MATCH($B28&amp;"*",Personnes!$D$5:$D$154,0))))),""))</f>
        <v/>
      </c>
      <c r="D28" s="10" t="str">
        <f>IFERROR(INDEX(Personnes!$C$5:$C$154,MATCH($C28,Personnes!$B$5:$B$154,0))&amp;"","")</f>
        <v/>
      </c>
      <c r="E28" s="10" t="str">
        <f>IFERROR(INDEX(Personnes!$D$5:$D$154,MATCH($C28,Personnes!$B$5:$B$154,0))&amp;"","")</f>
        <v/>
      </c>
      <c r="F28" s="15"/>
      <c r="G28" s="9"/>
      <c r="H28" s="10" t="str">
        <f>IF($B28="","",IF($C28="","apnéiste non reconnu",IF($A28="","séance non renseignée",IF(COUNTIFS($A$5:$A$504,$A28,$C$5:$C$504,$C28)&gt;1,"doublon séance / apnéiste",IF(OR($C28=IFERROR(INDEX('Calendrier'!$K$5:$K$5,MATCH($A28,'Calendrier'!$A$5:$A$5,0)),""),$C28=IFERROR(INDEX('Calendrier'!$O$5:$O$5,MATCH($A28,'Calendrier'!$A$5:$A$5,0)),"")),"encadrant et élève sur la même séance",IF(IFERROR(INDEX(Personnes!$H$5:$H$154,MATCH($C28,Personnes!$B$5:$B$154,0)),"")&lt;&gt;"oui","invité (hors ligne)","ok"))))))</f>
        <v/>
      </c>
    </row>
    <row r="29" spans="1:8" x14ac:dyDescent="0.2">
      <c r="A29" s="15"/>
      <c r="B29" s="15"/>
      <c r="C29" s="10" t="str">
        <f>IF($B29="","",IFERROR(IF(ISNUMBER(FIND("[",$B29)),MID($B29,FIND("[",$B29)+1,FIND("]",$B29)-FIND("[",$B29)-1),IF(ISNUMBER($B29),INDEX(Personnes!$B$5:$B$154,MATCH($B29,Personnes!$A$5:$A$154,0)),IFERROR(INDEX(Personnes!$B$5:$B$154,MATCH($B29&amp;"*",Personnes!$C$5:$C$154,0)),INDEX(Personnes!$B$5:$B$154,MATCH($B29&amp;"*",Personnes!$D$5:$D$154,0))))),""))</f>
        <v/>
      </c>
      <c r="D29" s="10" t="str">
        <f>IFERROR(INDEX(Personnes!$C$5:$C$154,MATCH($C29,Personnes!$B$5:$B$154,0))&amp;"","")</f>
        <v/>
      </c>
      <c r="E29" s="10" t="str">
        <f>IFERROR(INDEX(Personnes!$D$5:$D$154,MATCH($C29,Personnes!$B$5:$B$154,0))&amp;"","")</f>
        <v/>
      </c>
      <c r="F29" s="15"/>
      <c r="G29" s="9"/>
      <c r="H29" s="10" t="str">
        <f>IF($B29="","",IF($C29="","apnéiste non reconnu",IF($A29="","séance non renseignée",IF(COUNTIFS($A$5:$A$504,$A29,$C$5:$C$504,$C29)&gt;1,"doublon séance / apnéiste",IF(OR($C29=IFERROR(INDEX('Calendrier'!$K$5:$K$5,MATCH($A29,'Calendrier'!$A$5:$A$5,0)),""),$C29=IFERROR(INDEX('Calendrier'!$O$5:$O$5,MATCH($A29,'Calendrier'!$A$5:$A$5,0)),"")),"encadrant et élève sur la même séance",IF(IFERROR(INDEX(Personnes!$H$5:$H$154,MATCH($C29,Personnes!$B$5:$B$154,0)),"")&lt;&gt;"oui","invité (hors ligne)","ok"))))))</f>
        <v/>
      </c>
    </row>
    <row r="30" spans="1:8" x14ac:dyDescent="0.2">
      <c r="A30" s="15"/>
      <c r="B30" s="15"/>
      <c r="C30" s="10" t="str">
        <f>IF($B30="","",IFERROR(IF(ISNUMBER(FIND("[",$B30)),MID($B30,FIND("[",$B30)+1,FIND("]",$B30)-FIND("[",$B30)-1),IF(ISNUMBER($B30),INDEX(Personnes!$B$5:$B$154,MATCH($B30,Personnes!$A$5:$A$154,0)),IFERROR(INDEX(Personnes!$B$5:$B$154,MATCH($B30&amp;"*",Personnes!$C$5:$C$154,0)),INDEX(Personnes!$B$5:$B$154,MATCH($B30&amp;"*",Personnes!$D$5:$D$154,0))))),""))</f>
        <v/>
      </c>
      <c r="D30" s="10" t="str">
        <f>IFERROR(INDEX(Personnes!$C$5:$C$154,MATCH($C30,Personnes!$B$5:$B$154,0))&amp;"","")</f>
        <v/>
      </c>
      <c r="E30" s="10" t="str">
        <f>IFERROR(INDEX(Personnes!$D$5:$D$154,MATCH($C30,Personnes!$B$5:$B$154,0))&amp;"","")</f>
        <v/>
      </c>
      <c r="F30" s="15"/>
      <c r="G30" s="9"/>
      <c r="H30" s="10" t="str">
        <f>IF($B30="","",IF($C30="","apnéiste non reconnu",IF($A30="","séance non renseignée",IF(COUNTIFS($A$5:$A$504,$A30,$C$5:$C$504,$C30)&gt;1,"doublon séance / apnéiste",IF(OR($C30=IFERROR(INDEX('Calendrier'!$K$5:$K$5,MATCH($A30,'Calendrier'!$A$5:$A$5,0)),""),$C30=IFERROR(INDEX('Calendrier'!$O$5:$O$5,MATCH($A30,'Calendrier'!$A$5:$A$5,0)),"")),"encadrant et élève sur la même séance",IF(IFERROR(INDEX(Personnes!$H$5:$H$154,MATCH($C30,Personnes!$B$5:$B$154,0)),"")&lt;&gt;"oui","invité (hors ligne)","ok"))))))</f>
        <v/>
      </c>
    </row>
    <row r="31" spans="1:8" x14ac:dyDescent="0.2">
      <c r="A31" s="15"/>
      <c r="B31" s="15"/>
      <c r="C31" s="10" t="str">
        <f>IF($B31="","",IFERROR(IF(ISNUMBER(FIND("[",$B31)),MID($B31,FIND("[",$B31)+1,FIND("]",$B31)-FIND("[",$B31)-1),IF(ISNUMBER($B31),INDEX(Personnes!$B$5:$B$154,MATCH($B31,Personnes!$A$5:$A$154,0)),IFERROR(INDEX(Personnes!$B$5:$B$154,MATCH($B31&amp;"*",Personnes!$C$5:$C$154,0)),INDEX(Personnes!$B$5:$B$154,MATCH($B31&amp;"*",Personnes!$D$5:$D$154,0))))),""))</f>
        <v/>
      </c>
      <c r="D31" s="10" t="str">
        <f>IFERROR(INDEX(Personnes!$C$5:$C$154,MATCH($C31,Personnes!$B$5:$B$154,0))&amp;"","")</f>
        <v/>
      </c>
      <c r="E31" s="10" t="str">
        <f>IFERROR(INDEX(Personnes!$D$5:$D$154,MATCH($C31,Personnes!$B$5:$B$154,0))&amp;"","")</f>
        <v/>
      </c>
      <c r="F31" s="15"/>
      <c r="G31" s="9"/>
      <c r="H31" s="10" t="str">
        <f>IF($B31="","",IF($C31="","apnéiste non reconnu",IF($A31="","séance non renseignée",IF(COUNTIFS($A$5:$A$504,$A31,$C$5:$C$504,$C31)&gt;1,"doublon séance / apnéiste",IF(OR($C31=IFERROR(INDEX('Calendrier'!$K$5:$K$5,MATCH($A31,'Calendrier'!$A$5:$A$5,0)),""),$C31=IFERROR(INDEX('Calendrier'!$O$5:$O$5,MATCH($A31,'Calendrier'!$A$5:$A$5,0)),"")),"encadrant et élève sur la même séance",IF(IFERROR(INDEX(Personnes!$H$5:$H$154,MATCH($C31,Personnes!$B$5:$B$154,0)),"")&lt;&gt;"oui","invité (hors ligne)","ok"))))))</f>
        <v/>
      </c>
    </row>
    <row r="32" spans="1:8" x14ac:dyDescent="0.2">
      <c r="A32" s="15"/>
      <c r="B32" s="15"/>
      <c r="C32" s="10" t="str">
        <f>IF($B32="","",IFERROR(IF(ISNUMBER(FIND("[",$B32)),MID($B32,FIND("[",$B32)+1,FIND("]",$B32)-FIND("[",$B32)-1),IF(ISNUMBER($B32),INDEX(Personnes!$B$5:$B$154,MATCH($B32,Personnes!$A$5:$A$154,0)),IFERROR(INDEX(Personnes!$B$5:$B$154,MATCH($B32&amp;"*",Personnes!$C$5:$C$154,0)),INDEX(Personnes!$B$5:$B$154,MATCH($B32&amp;"*",Personnes!$D$5:$D$154,0))))),""))</f>
        <v/>
      </c>
      <c r="D32" s="10" t="str">
        <f>IFERROR(INDEX(Personnes!$C$5:$C$154,MATCH($C32,Personnes!$B$5:$B$154,0))&amp;"","")</f>
        <v/>
      </c>
      <c r="E32" s="10" t="str">
        <f>IFERROR(INDEX(Personnes!$D$5:$D$154,MATCH($C32,Personnes!$B$5:$B$154,0))&amp;"","")</f>
        <v/>
      </c>
      <c r="F32" s="15"/>
      <c r="G32" s="9"/>
      <c r="H32" s="10" t="str">
        <f>IF($B32="","",IF($C32="","apnéiste non reconnu",IF($A32="","séance non renseignée",IF(COUNTIFS($A$5:$A$504,$A32,$C$5:$C$504,$C32)&gt;1,"doublon séance / apnéiste",IF(OR($C32=IFERROR(INDEX('Calendrier'!$K$5:$K$5,MATCH($A32,'Calendrier'!$A$5:$A$5,0)),""),$C32=IFERROR(INDEX('Calendrier'!$O$5:$O$5,MATCH($A32,'Calendrier'!$A$5:$A$5,0)),"")),"encadrant et élève sur la même séance",IF(IFERROR(INDEX(Personnes!$H$5:$H$154,MATCH($C32,Personnes!$B$5:$B$154,0)),"")&lt;&gt;"oui","invité (hors ligne)","ok"))))))</f>
        <v/>
      </c>
    </row>
    <row r="33" spans="1:8" x14ac:dyDescent="0.2">
      <c r="A33" s="15"/>
      <c r="B33" s="15"/>
      <c r="C33" s="10" t="str">
        <f>IF($B33="","",IFERROR(IF(ISNUMBER(FIND("[",$B33)),MID($B33,FIND("[",$B33)+1,FIND("]",$B33)-FIND("[",$B33)-1),IF(ISNUMBER($B33),INDEX(Personnes!$B$5:$B$154,MATCH($B33,Personnes!$A$5:$A$154,0)),IFERROR(INDEX(Personnes!$B$5:$B$154,MATCH($B33&amp;"*",Personnes!$C$5:$C$154,0)),INDEX(Personnes!$B$5:$B$154,MATCH($B33&amp;"*",Personnes!$D$5:$D$154,0))))),""))</f>
        <v/>
      </c>
      <c r="D33" s="10" t="str">
        <f>IFERROR(INDEX(Personnes!$C$5:$C$154,MATCH($C33,Personnes!$B$5:$B$154,0))&amp;"","")</f>
        <v/>
      </c>
      <c r="E33" s="10" t="str">
        <f>IFERROR(INDEX(Personnes!$D$5:$D$154,MATCH($C33,Personnes!$B$5:$B$154,0))&amp;"","")</f>
        <v/>
      </c>
      <c r="F33" s="15"/>
      <c r="G33" s="9"/>
      <c r="H33" s="10" t="str">
        <f>IF($B33="","",IF($C33="","apnéiste non reconnu",IF($A33="","séance non renseignée",IF(COUNTIFS($A$5:$A$504,$A33,$C$5:$C$504,$C33)&gt;1,"doublon séance / apnéiste",IF(OR($C33=IFERROR(INDEX('Calendrier'!$K$5:$K$5,MATCH($A33,'Calendrier'!$A$5:$A$5,0)),""),$C33=IFERROR(INDEX('Calendrier'!$O$5:$O$5,MATCH($A33,'Calendrier'!$A$5:$A$5,0)),"")),"encadrant et élève sur la même séance",IF(IFERROR(INDEX(Personnes!$H$5:$H$154,MATCH($C33,Personnes!$B$5:$B$154,0)),"")&lt;&gt;"oui","invité (hors ligne)","ok"))))))</f>
        <v/>
      </c>
    </row>
    <row r="34" spans="1:8" x14ac:dyDescent="0.2">
      <c r="A34" s="15"/>
      <c r="B34" s="15"/>
      <c r="C34" s="10" t="str">
        <f>IF($B34="","",IFERROR(IF(ISNUMBER(FIND("[",$B34)),MID($B34,FIND("[",$B34)+1,FIND("]",$B34)-FIND("[",$B34)-1),IF(ISNUMBER($B34),INDEX(Personnes!$B$5:$B$154,MATCH($B34,Personnes!$A$5:$A$154,0)),IFERROR(INDEX(Personnes!$B$5:$B$154,MATCH($B34&amp;"*",Personnes!$C$5:$C$154,0)),INDEX(Personnes!$B$5:$B$154,MATCH($B34&amp;"*",Personnes!$D$5:$D$154,0))))),""))</f>
        <v/>
      </c>
      <c r="D34" s="10" t="str">
        <f>IFERROR(INDEX(Personnes!$C$5:$C$154,MATCH($C34,Personnes!$B$5:$B$154,0))&amp;"","")</f>
        <v/>
      </c>
      <c r="E34" s="10" t="str">
        <f>IFERROR(INDEX(Personnes!$D$5:$D$154,MATCH($C34,Personnes!$B$5:$B$154,0))&amp;"","")</f>
        <v/>
      </c>
      <c r="F34" s="15"/>
      <c r="G34" s="9"/>
      <c r="H34" s="10" t="str">
        <f>IF($B34="","",IF($C34="","apnéiste non reconnu",IF($A34="","séance non renseignée",IF(COUNTIFS($A$5:$A$504,$A34,$C$5:$C$504,$C34)&gt;1,"doublon séance / apnéiste",IF(OR($C34=IFERROR(INDEX('Calendrier'!$K$5:$K$5,MATCH($A34,'Calendrier'!$A$5:$A$5,0)),""),$C34=IFERROR(INDEX('Calendrier'!$O$5:$O$5,MATCH($A34,'Calendrier'!$A$5:$A$5,0)),"")),"encadrant et élève sur la même séance",IF(IFERROR(INDEX(Personnes!$H$5:$H$154,MATCH($C34,Personnes!$B$5:$B$154,0)),"")&lt;&gt;"oui","invité (hors ligne)","ok"))))))</f>
        <v/>
      </c>
    </row>
    <row r="35" spans="1:8" x14ac:dyDescent="0.2">
      <c r="A35" s="15"/>
      <c r="B35" s="15"/>
      <c r="C35" s="10" t="str">
        <f>IF($B35="","",IFERROR(IF(ISNUMBER(FIND("[",$B35)),MID($B35,FIND("[",$B35)+1,FIND("]",$B35)-FIND("[",$B35)-1),IF(ISNUMBER($B35),INDEX(Personnes!$B$5:$B$154,MATCH($B35,Personnes!$A$5:$A$154,0)),IFERROR(INDEX(Personnes!$B$5:$B$154,MATCH($B35&amp;"*",Personnes!$C$5:$C$154,0)),INDEX(Personnes!$B$5:$B$154,MATCH($B35&amp;"*",Personnes!$D$5:$D$154,0))))),""))</f>
        <v/>
      </c>
      <c r="D35" s="10" t="str">
        <f>IFERROR(INDEX(Personnes!$C$5:$C$154,MATCH($C35,Personnes!$B$5:$B$154,0))&amp;"","")</f>
        <v/>
      </c>
      <c r="E35" s="10" t="str">
        <f>IFERROR(INDEX(Personnes!$D$5:$D$154,MATCH($C35,Personnes!$B$5:$B$154,0))&amp;"","")</f>
        <v/>
      </c>
      <c r="F35" s="15"/>
      <c r="G35" s="9"/>
      <c r="H35" s="10" t="str">
        <f>IF($B35="","",IF($C35="","apnéiste non reconnu",IF($A35="","séance non renseignée",IF(COUNTIFS($A$5:$A$504,$A35,$C$5:$C$504,$C35)&gt;1,"doublon séance / apnéiste",IF(OR($C35=IFERROR(INDEX('Calendrier'!$K$5:$K$5,MATCH($A35,'Calendrier'!$A$5:$A$5,0)),""),$C35=IFERROR(INDEX('Calendrier'!$O$5:$O$5,MATCH($A35,'Calendrier'!$A$5:$A$5,0)),"")),"encadrant et élève sur la même séance",IF(IFERROR(INDEX(Personnes!$H$5:$H$154,MATCH($C35,Personnes!$B$5:$B$154,0)),"")&lt;&gt;"oui","invité (hors ligne)","ok"))))))</f>
        <v/>
      </c>
    </row>
    <row r="36" spans="1:8" x14ac:dyDescent="0.2">
      <c r="A36" s="15"/>
      <c r="B36" s="15"/>
      <c r="C36" s="10" t="str">
        <f>IF($B36="","",IFERROR(IF(ISNUMBER(FIND("[",$B36)),MID($B36,FIND("[",$B36)+1,FIND("]",$B36)-FIND("[",$B36)-1),IF(ISNUMBER($B36),INDEX(Personnes!$B$5:$B$154,MATCH($B36,Personnes!$A$5:$A$154,0)),IFERROR(INDEX(Personnes!$B$5:$B$154,MATCH($B36&amp;"*",Personnes!$C$5:$C$154,0)),INDEX(Personnes!$B$5:$B$154,MATCH($B36&amp;"*",Personnes!$D$5:$D$154,0))))),""))</f>
        <v/>
      </c>
      <c r="D36" s="10" t="str">
        <f>IFERROR(INDEX(Personnes!$C$5:$C$154,MATCH($C36,Personnes!$B$5:$B$154,0))&amp;"","")</f>
        <v/>
      </c>
      <c r="E36" s="10" t="str">
        <f>IFERROR(INDEX(Personnes!$D$5:$D$154,MATCH($C36,Personnes!$B$5:$B$154,0))&amp;"","")</f>
        <v/>
      </c>
      <c r="F36" s="15"/>
      <c r="G36" s="9"/>
      <c r="H36" s="10" t="str">
        <f>IF($B36="","",IF($C36="","apnéiste non reconnu",IF($A36="","séance non renseignée",IF(COUNTIFS($A$5:$A$504,$A36,$C$5:$C$504,$C36)&gt;1,"doublon séance / apnéiste",IF(OR($C36=IFERROR(INDEX('Calendrier'!$K$5:$K$5,MATCH($A36,'Calendrier'!$A$5:$A$5,0)),""),$C36=IFERROR(INDEX('Calendrier'!$O$5:$O$5,MATCH($A36,'Calendrier'!$A$5:$A$5,0)),"")),"encadrant et élève sur la même séance",IF(IFERROR(INDEX(Personnes!$H$5:$H$154,MATCH($C36,Personnes!$B$5:$B$154,0)),"")&lt;&gt;"oui","invité (hors ligne)","ok"))))))</f>
        <v/>
      </c>
    </row>
    <row r="37" spans="1:8" x14ac:dyDescent="0.2">
      <c r="A37" s="15"/>
      <c r="B37" s="15"/>
      <c r="C37" s="10" t="str">
        <f>IF($B37="","",IFERROR(IF(ISNUMBER(FIND("[",$B37)),MID($B37,FIND("[",$B37)+1,FIND("]",$B37)-FIND("[",$B37)-1),IF(ISNUMBER($B37),INDEX(Personnes!$B$5:$B$154,MATCH($B37,Personnes!$A$5:$A$154,0)),IFERROR(INDEX(Personnes!$B$5:$B$154,MATCH($B37&amp;"*",Personnes!$C$5:$C$154,0)),INDEX(Personnes!$B$5:$B$154,MATCH($B37&amp;"*",Personnes!$D$5:$D$154,0))))),""))</f>
        <v/>
      </c>
      <c r="D37" s="10" t="str">
        <f>IFERROR(INDEX(Personnes!$C$5:$C$154,MATCH($C37,Personnes!$B$5:$B$154,0))&amp;"","")</f>
        <v/>
      </c>
      <c r="E37" s="10" t="str">
        <f>IFERROR(INDEX(Personnes!$D$5:$D$154,MATCH($C37,Personnes!$B$5:$B$154,0))&amp;"","")</f>
        <v/>
      </c>
      <c r="F37" s="15"/>
      <c r="G37" s="9"/>
      <c r="H37" s="10" t="str">
        <f>IF($B37="","",IF($C37="","apnéiste non reconnu",IF($A37="","séance non renseignée",IF(COUNTIFS($A$5:$A$504,$A37,$C$5:$C$504,$C37)&gt;1,"doublon séance / apnéiste",IF(OR($C37=IFERROR(INDEX('Calendrier'!$K$5:$K$5,MATCH($A37,'Calendrier'!$A$5:$A$5,0)),""),$C37=IFERROR(INDEX('Calendrier'!$O$5:$O$5,MATCH($A37,'Calendrier'!$A$5:$A$5,0)),"")),"encadrant et élève sur la même séance",IF(IFERROR(INDEX(Personnes!$H$5:$H$154,MATCH($C37,Personnes!$B$5:$B$154,0)),"")&lt;&gt;"oui","invité (hors ligne)","ok"))))))</f>
        <v/>
      </c>
    </row>
    <row r="38" spans="1:8" x14ac:dyDescent="0.2">
      <c r="A38" s="15"/>
      <c r="B38" s="15"/>
      <c r="C38" s="10" t="str">
        <f>IF($B38="","",IFERROR(IF(ISNUMBER(FIND("[",$B38)),MID($B38,FIND("[",$B38)+1,FIND("]",$B38)-FIND("[",$B38)-1),IF(ISNUMBER($B38),INDEX(Personnes!$B$5:$B$154,MATCH($B38,Personnes!$A$5:$A$154,0)),IFERROR(INDEX(Personnes!$B$5:$B$154,MATCH($B38&amp;"*",Personnes!$C$5:$C$154,0)),INDEX(Personnes!$B$5:$B$154,MATCH($B38&amp;"*",Personnes!$D$5:$D$154,0))))),""))</f>
        <v/>
      </c>
      <c r="D38" s="10" t="str">
        <f>IFERROR(INDEX(Personnes!$C$5:$C$154,MATCH($C38,Personnes!$B$5:$B$154,0))&amp;"","")</f>
        <v/>
      </c>
      <c r="E38" s="10" t="str">
        <f>IFERROR(INDEX(Personnes!$D$5:$D$154,MATCH($C38,Personnes!$B$5:$B$154,0))&amp;"","")</f>
        <v/>
      </c>
      <c r="F38" s="15"/>
      <c r="G38" s="9"/>
      <c r="H38" s="10" t="str">
        <f>IF($B38="","",IF($C38="","apnéiste non reconnu",IF($A38="","séance non renseignée",IF(COUNTIFS($A$5:$A$504,$A38,$C$5:$C$504,$C38)&gt;1,"doublon séance / apnéiste",IF(OR($C38=IFERROR(INDEX('Calendrier'!$K$5:$K$5,MATCH($A38,'Calendrier'!$A$5:$A$5,0)),""),$C38=IFERROR(INDEX('Calendrier'!$O$5:$O$5,MATCH($A38,'Calendrier'!$A$5:$A$5,0)),"")),"encadrant et élève sur la même séance",IF(IFERROR(INDEX(Personnes!$H$5:$H$154,MATCH($C38,Personnes!$B$5:$B$154,0)),"")&lt;&gt;"oui","invité (hors ligne)","ok"))))))</f>
        <v/>
      </c>
    </row>
    <row r="39" spans="1:8" x14ac:dyDescent="0.2">
      <c r="A39" s="15"/>
      <c r="B39" s="15"/>
      <c r="C39" s="10" t="str">
        <f>IF($B39="","",IFERROR(IF(ISNUMBER(FIND("[",$B39)),MID($B39,FIND("[",$B39)+1,FIND("]",$B39)-FIND("[",$B39)-1),IF(ISNUMBER($B39),INDEX(Personnes!$B$5:$B$154,MATCH($B39,Personnes!$A$5:$A$154,0)),IFERROR(INDEX(Personnes!$B$5:$B$154,MATCH($B39&amp;"*",Personnes!$C$5:$C$154,0)),INDEX(Personnes!$B$5:$B$154,MATCH($B39&amp;"*",Personnes!$D$5:$D$154,0))))),""))</f>
        <v/>
      </c>
      <c r="D39" s="10" t="str">
        <f>IFERROR(INDEX(Personnes!$C$5:$C$154,MATCH($C39,Personnes!$B$5:$B$154,0))&amp;"","")</f>
        <v/>
      </c>
      <c r="E39" s="10" t="str">
        <f>IFERROR(INDEX(Personnes!$D$5:$D$154,MATCH($C39,Personnes!$B$5:$B$154,0))&amp;"","")</f>
        <v/>
      </c>
      <c r="F39" s="15"/>
      <c r="G39" s="9"/>
      <c r="H39" s="10" t="str">
        <f>IF($B39="","",IF($C39="","apnéiste non reconnu",IF($A39="","séance non renseignée",IF(COUNTIFS($A$5:$A$504,$A39,$C$5:$C$504,$C39)&gt;1,"doublon séance / apnéiste",IF(OR($C39=IFERROR(INDEX('Calendrier'!$K$5:$K$5,MATCH($A39,'Calendrier'!$A$5:$A$5,0)),""),$C39=IFERROR(INDEX('Calendrier'!$O$5:$O$5,MATCH($A39,'Calendrier'!$A$5:$A$5,0)),"")),"encadrant et élève sur la même séance",IF(IFERROR(INDEX(Personnes!$H$5:$H$154,MATCH($C39,Personnes!$B$5:$B$154,0)),"")&lt;&gt;"oui","invité (hors ligne)","ok"))))))</f>
        <v/>
      </c>
    </row>
    <row r="40" spans="1:8" x14ac:dyDescent="0.2">
      <c r="A40" s="15"/>
      <c r="B40" s="15"/>
      <c r="C40" s="10" t="str">
        <f>IF($B40="","",IFERROR(IF(ISNUMBER(FIND("[",$B40)),MID($B40,FIND("[",$B40)+1,FIND("]",$B40)-FIND("[",$B40)-1),IF(ISNUMBER($B40),INDEX(Personnes!$B$5:$B$154,MATCH($B40,Personnes!$A$5:$A$154,0)),IFERROR(INDEX(Personnes!$B$5:$B$154,MATCH($B40&amp;"*",Personnes!$C$5:$C$154,0)),INDEX(Personnes!$B$5:$B$154,MATCH($B40&amp;"*",Personnes!$D$5:$D$154,0))))),""))</f>
        <v/>
      </c>
      <c r="D40" s="10" t="str">
        <f>IFERROR(INDEX(Personnes!$C$5:$C$154,MATCH($C40,Personnes!$B$5:$B$154,0))&amp;"","")</f>
        <v/>
      </c>
      <c r="E40" s="10" t="str">
        <f>IFERROR(INDEX(Personnes!$D$5:$D$154,MATCH($C40,Personnes!$B$5:$B$154,0))&amp;"","")</f>
        <v/>
      </c>
      <c r="F40" s="15"/>
      <c r="G40" s="9"/>
      <c r="H40" s="10" t="str">
        <f>IF($B40="","",IF($C40="","apnéiste non reconnu",IF($A40="","séance non renseignée",IF(COUNTIFS($A$5:$A$504,$A40,$C$5:$C$504,$C40)&gt;1,"doublon séance / apnéiste",IF(OR($C40=IFERROR(INDEX('Calendrier'!$K$5:$K$5,MATCH($A40,'Calendrier'!$A$5:$A$5,0)),""),$C40=IFERROR(INDEX('Calendrier'!$O$5:$O$5,MATCH($A40,'Calendrier'!$A$5:$A$5,0)),"")),"encadrant et élève sur la même séance",IF(IFERROR(INDEX(Personnes!$H$5:$H$154,MATCH($C40,Personnes!$B$5:$B$154,0)),"")&lt;&gt;"oui","invité (hors ligne)","ok"))))))</f>
        <v/>
      </c>
    </row>
    <row r="41" spans="1:8" x14ac:dyDescent="0.2">
      <c r="A41" s="15"/>
      <c r="B41" s="15"/>
      <c r="C41" s="10" t="str">
        <f>IF($B41="","",IFERROR(IF(ISNUMBER(FIND("[",$B41)),MID($B41,FIND("[",$B41)+1,FIND("]",$B41)-FIND("[",$B41)-1),IF(ISNUMBER($B41),INDEX(Personnes!$B$5:$B$154,MATCH($B41,Personnes!$A$5:$A$154,0)),IFERROR(INDEX(Personnes!$B$5:$B$154,MATCH($B41&amp;"*",Personnes!$C$5:$C$154,0)),INDEX(Personnes!$B$5:$B$154,MATCH($B41&amp;"*",Personnes!$D$5:$D$154,0))))),""))</f>
        <v/>
      </c>
      <c r="D41" s="10" t="str">
        <f>IFERROR(INDEX(Personnes!$C$5:$C$154,MATCH($C41,Personnes!$B$5:$B$154,0))&amp;"","")</f>
        <v/>
      </c>
      <c r="E41" s="10" t="str">
        <f>IFERROR(INDEX(Personnes!$D$5:$D$154,MATCH($C41,Personnes!$B$5:$B$154,0))&amp;"","")</f>
        <v/>
      </c>
      <c r="F41" s="15"/>
      <c r="G41" s="9"/>
      <c r="H41" s="10" t="str">
        <f>IF($B41="","",IF($C41="","apnéiste non reconnu",IF($A41="","séance non renseignée",IF(COUNTIFS($A$5:$A$504,$A41,$C$5:$C$504,$C41)&gt;1,"doublon séance / apnéiste",IF(OR($C41=IFERROR(INDEX('Calendrier'!$K$5:$K$5,MATCH($A41,'Calendrier'!$A$5:$A$5,0)),""),$C41=IFERROR(INDEX('Calendrier'!$O$5:$O$5,MATCH($A41,'Calendrier'!$A$5:$A$5,0)),"")),"encadrant et élève sur la même séance",IF(IFERROR(INDEX(Personnes!$H$5:$H$154,MATCH($C41,Personnes!$B$5:$B$154,0)),"")&lt;&gt;"oui","invité (hors ligne)","ok"))))))</f>
        <v/>
      </c>
    </row>
    <row r="42" spans="1:8" x14ac:dyDescent="0.2">
      <c r="A42" s="15"/>
      <c r="B42" s="15"/>
      <c r="C42" s="10" t="str">
        <f>IF($B42="","",IFERROR(IF(ISNUMBER(FIND("[",$B42)),MID($B42,FIND("[",$B42)+1,FIND("]",$B42)-FIND("[",$B42)-1),IF(ISNUMBER($B42),INDEX(Personnes!$B$5:$B$154,MATCH($B42,Personnes!$A$5:$A$154,0)),IFERROR(INDEX(Personnes!$B$5:$B$154,MATCH($B42&amp;"*",Personnes!$C$5:$C$154,0)),INDEX(Personnes!$B$5:$B$154,MATCH($B42&amp;"*",Personnes!$D$5:$D$154,0))))),""))</f>
        <v/>
      </c>
      <c r="D42" s="10" t="str">
        <f>IFERROR(INDEX(Personnes!$C$5:$C$154,MATCH($C42,Personnes!$B$5:$B$154,0))&amp;"","")</f>
        <v/>
      </c>
      <c r="E42" s="10" t="str">
        <f>IFERROR(INDEX(Personnes!$D$5:$D$154,MATCH($C42,Personnes!$B$5:$B$154,0))&amp;"","")</f>
        <v/>
      </c>
      <c r="F42" s="15"/>
      <c r="G42" s="9"/>
      <c r="H42" s="10" t="str">
        <f>IF($B42="","",IF($C42="","apnéiste non reconnu",IF($A42="","séance non renseignée",IF(COUNTIFS($A$5:$A$504,$A42,$C$5:$C$504,$C42)&gt;1,"doublon séance / apnéiste",IF(OR($C42=IFERROR(INDEX('Calendrier'!$K$5:$K$5,MATCH($A42,'Calendrier'!$A$5:$A$5,0)),""),$C42=IFERROR(INDEX('Calendrier'!$O$5:$O$5,MATCH($A42,'Calendrier'!$A$5:$A$5,0)),"")),"encadrant et élève sur la même séance",IF(IFERROR(INDEX(Personnes!$H$5:$H$154,MATCH($C42,Personnes!$B$5:$B$154,0)),"")&lt;&gt;"oui","invité (hors ligne)","ok"))))))</f>
        <v/>
      </c>
    </row>
    <row r="43" spans="1:8" x14ac:dyDescent="0.2">
      <c r="A43" s="15"/>
      <c r="B43" s="15"/>
      <c r="C43" s="10" t="str">
        <f>IF($B43="","",IFERROR(IF(ISNUMBER(FIND("[",$B43)),MID($B43,FIND("[",$B43)+1,FIND("]",$B43)-FIND("[",$B43)-1),IF(ISNUMBER($B43),INDEX(Personnes!$B$5:$B$154,MATCH($B43,Personnes!$A$5:$A$154,0)),IFERROR(INDEX(Personnes!$B$5:$B$154,MATCH($B43&amp;"*",Personnes!$C$5:$C$154,0)),INDEX(Personnes!$B$5:$B$154,MATCH($B43&amp;"*",Personnes!$D$5:$D$154,0))))),""))</f>
        <v/>
      </c>
      <c r="D43" s="10" t="str">
        <f>IFERROR(INDEX(Personnes!$C$5:$C$154,MATCH($C43,Personnes!$B$5:$B$154,0))&amp;"","")</f>
        <v/>
      </c>
      <c r="E43" s="10" t="str">
        <f>IFERROR(INDEX(Personnes!$D$5:$D$154,MATCH($C43,Personnes!$B$5:$B$154,0))&amp;"","")</f>
        <v/>
      </c>
      <c r="F43" s="15"/>
      <c r="G43" s="9"/>
      <c r="H43" s="10" t="str">
        <f>IF($B43="","",IF($C43="","apnéiste non reconnu",IF($A43="","séance non renseignée",IF(COUNTIFS($A$5:$A$504,$A43,$C$5:$C$504,$C43)&gt;1,"doublon séance / apnéiste",IF(OR($C43=IFERROR(INDEX('Calendrier'!$K$5:$K$5,MATCH($A43,'Calendrier'!$A$5:$A$5,0)),""),$C43=IFERROR(INDEX('Calendrier'!$O$5:$O$5,MATCH($A43,'Calendrier'!$A$5:$A$5,0)),"")),"encadrant et élève sur la même séance",IF(IFERROR(INDEX(Personnes!$H$5:$H$154,MATCH($C43,Personnes!$B$5:$B$154,0)),"")&lt;&gt;"oui","invité (hors ligne)","ok"))))))</f>
        <v/>
      </c>
    </row>
    <row r="44" spans="1:8" x14ac:dyDescent="0.2">
      <c r="A44" s="15"/>
      <c r="B44" s="15"/>
      <c r="C44" s="10" t="str">
        <f>IF($B44="","",IFERROR(IF(ISNUMBER(FIND("[",$B44)),MID($B44,FIND("[",$B44)+1,FIND("]",$B44)-FIND("[",$B44)-1),IF(ISNUMBER($B44),INDEX(Personnes!$B$5:$B$154,MATCH($B44,Personnes!$A$5:$A$154,0)),IFERROR(INDEX(Personnes!$B$5:$B$154,MATCH($B44&amp;"*",Personnes!$C$5:$C$154,0)),INDEX(Personnes!$B$5:$B$154,MATCH($B44&amp;"*",Personnes!$D$5:$D$154,0))))),""))</f>
        <v/>
      </c>
      <c r="D44" s="10" t="str">
        <f>IFERROR(INDEX(Personnes!$C$5:$C$154,MATCH($C44,Personnes!$B$5:$B$154,0))&amp;"","")</f>
        <v/>
      </c>
      <c r="E44" s="10" t="str">
        <f>IFERROR(INDEX(Personnes!$D$5:$D$154,MATCH($C44,Personnes!$B$5:$B$154,0))&amp;"","")</f>
        <v/>
      </c>
      <c r="F44" s="15"/>
      <c r="G44" s="9"/>
      <c r="H44" s="10" t="str">
        <f>IF($B44="","",IF($C44="","apnéiste non reconnu",IF($A44="","séance non renseignée",IF(COUNTIFS($A$5:$A$504,$A44,$C$5:$C$504,$C44)&gt;1,"doublon séance / apnéiste",IF(OR($C44=IFERROR(INDEX('Calendrier'!$K$5:$K$5,MATCH($A44,'Calendrier'!$A$5:$A$5,0)),""),$C44=IFERROR(INDEX('Calendrier'!$O$5:$O$5,MATCH($A44,'Calendrier'!$A$5:$A$5,0)),"")),"encadrant et élève sur la même séance",IF(IFERROR(INDEX(Personnes!$H$5:$H$154,MATCH($C44,Personnes!$B$5:$B$154,0)),"")&lt;&gt;"oui","invité (hors ligne)","ok"))))))</f>
        <v/>
      </c>
    </row>
    <row r="45" spans="1:8" x14ac:dyDescent="0.2">
      <c r="A45" s="15"/>
      <c r="B45" s="15"/>
      <c r="C45" s="10" t="str">
        <f>IF($B45="","",IFERROR(IF(ISNUMBER(FIND("[",$B45)),MID($B45,FIND("[",$B45)+1,FIND("]",$B45)-FIND("[",$B45)-1),IF(ISNUMBER($B45),INDEX(Personnes!$B$5:$B$154,MATCH($B45,Personnes!$A$5:$A$154,0)),IFERROR(INDEX(Personnes!$B$5:$B$154,MATCH($B45&amp;"*",Personnes!$C$5:$C$154,0)),INDEX(Personnes!$B$5:$B$154,MATCH($B45&amp;"*",Personnes!$D$5:$D$154,0))))),""))</f>
        <v/>
      </c>
      <c r="D45" s="10" t="str">
        <f>IFERROR(INDEX(Personnes!$C$5:$C$154,MATCH($C45,Personnes!$B$5:$B$154,0))&amp;"","")</f>
        <v/>
      </c>
      <c r="E45" s="10" t="str">
        <f>IFERROR(INDEX(Personnes!$D$5:$D$154,MATCH($C45,Personnes!$B$5:$B$154,0))&amp;"","")</f>
        <v/>
      </c>
      <c r="F45" s="15"/>
      <c r="G45" s="9"/>
      <c r="H45" s="10" t="str">
        <f>IF($B45="","",IF($C45="","apnéiste non reconnu",IF($A45="","séance non renseignée",IF(COUNTIFS($A$5:$A$504,$A45,$C$5:$C$504,$C45)&gt;1,"doublon séance / apnéiste",IF(OR($C45=IFERROR(INDEX('Calendrier'!$K$5:$K$5,MATCH($A45,'Calendrier'!$A$5:$A$5,0)),""),$C45=IFERROR(INDEX('Calendrier'!$O$5:$O$5,MATCH($A45,'Calendrier'!$A$5:$A$5,0)),"")),"encadrant et élève sur la même séance",IF(IFERROR(INDEX(Personnes!$H$5:$H$154,MATCH($C45,Personnes!$B$5:$B$154,0)),"")&lt;&gt;"oui","invité (hors ligne)","ok"))))))</f>
        <v/>
      </c>
    </row>
    <row r="46" spans="1:8" x14ac:dyDescent="0.2">
      <c r="A46" s="15"/>
      <c r="B46" s="15"/>
      <c r="C46" s="10" t="str">
        <f>IF($B46="","",IFERROR(IF(ISNUMBER(FIND("[",$B46)),MID($B46,FIND("[",$B46)+1,FIND("]",$B46)-FIND("[",$B46)-1),IF(ISNUMBER($B46),INDEX(Personnes!$B$5:$B$154,MATCH($B46,Personnes!$A$5:$A$154,0)),IFERROR(INDEX(Personnes!$B$5:$B$154,MATCH($B46&amp;"*",Personnes!$C$5:$C$154,0)),INDEX(Personnes!$B$5:$B$154,MATCH($B46&amp;"*",Personnes!$D$5:$D$154,0))))),""))</f>
        <v/>
      </c>
      <c r="D46" s="10" t="str">
        <f>IFERROR(INDEX(Personnes!$C$5:$C$154,MATCH($C46,Personnes!$B$5:$B$154,0))&amp;"","")</f>
        <v/>
      </c>
      <c r="E46" s="10" t="str">
        <f>IFERROR(INDEX(Personnes!$D$5:$D$154,MATCH($C46,Personnes!$B$5:$B$154,0))&amp;"","")</f>
        <v/>
      </c>
      <c r="F46" s="15"/>
      <c r="G46" s="9"/>
      <c r="H46" s="10" t="str">
        <f>IF($B46="","",IF($C46="","apnéiste non reconnu",IF($A46="","séance non renseignée",IF(COUNTIFS($A$5:$A$504,$A46,$C$5:$C$504,$C46)&gt;1,"doublon séance / apnéiste",IF(OR($C46=IFERROR(INDEX('Calendrier'!$K$5:$K$5,MATCH($A46,'Calendrier'!$A$5:$A$5,0)),""),$C46=IFERROR(INDEX('Calendrier'!$O$5:$O$5,MATCH($A46,'Calendrier'!$A$5:$A$5,0)),"")),"encadrant et élève sur la même séance",IF(IFERROR(INDEX(Personnes!$H$5:$H$154,MATCH($C46,Personnes!$B$5:$B$154,0)),"")&lt;&gt;"oui","invité (hors ligne)","ok"))))))</f>
        <v/>
      </c>
    </row>
    <row r="47" spans="1:8" x14ac:dyDescent="0.2">
      <c r="A47" s="15"/>
      <c r="B47" s="15"/>
      <c r="C47" s="10" t="str">
        <f>IF($B47="","",IFERROR(IF(ISNUMBER(FIND("[",$B47)),MID($B47,FIND("[",$B47)+1,FIND("]",$B47)-FIND("[",$B47)-1),IF(ISNUMBER($B47),INDEX(Personnes!$B$5:$B$154,MATCH($B47,Personnes!$A$5:$A$154,0)),IFERROR(INDEX(Personnes!$B$5:$B$154,MATCH($B47&amp;"*",Personnes!$C$5:$C$154,0)),INDEX(Personnes!$B$5:$B$154,MATCH($B47&amp;"*",Personnes!$D$5:$D$154,0))))),""))</f>
        <v/>
      </c>
      <c r="D47" s="10" t="str">
        <f>IFERROR(INDEX(Personnes!$C$5:$C$154,MATCH($C47,Personnes!$B$5:$B$154,0))&amp;"","")</f>
        <v/>
      </c>
      <c r="E47" s="10" t="str">
        <f>IFERROR(INDEX(Personnes!$D$5:$D$154,MATCH($C47,Personnes!$B$5:$B$154,0))&amp;"","")</f>
        <v/>
      </c>
      <c r="F47" s="15"/>
      <c r="G47" s="9"/>
      <c r="H47" s="10" t="str">
        <f>IF($B47="","",IF($C47="","apnéiste non reconnu",IF($A47="","séance non renseignée",IF(COUNTIFS($A$5:$A$504,$A47,$C$5:$C$504,$C47)&gt;1,"doublon séance / apnéiste",IF(OR($C47=IFERROR(INDEX('Calendrier'!$K$5:$K$5,MATCH($A47,'Calendrier'!$A$5:$A$5,0)),""),$C47=IFERROR(INDEX('Calendrier'!$O$5:$O$5,MATCH($A47,'Calendrier'!$A$5:$A$5,0)),"")),"encadrant et élève sur la même séance",IF(IFERROR(INDEX(Personnes!$H$5:$H$154,MATCH($C47,Personnes!$B$5:$B$154,0)),"")&lt;&gt;"oui","invité (hors ligne)","ok"))))))</f>
        <v/>
      </c>
    </row>
    <row r="48" spans="1:8" x14ac:dyDescent="0.2">
      <c r="A48" s="15"/>
      <c r="B48" s="15"/>
      <c r="C48" s="10" t="str">
        <f>IF($B48="","",IFERROR(IF(ISNUMBER(FIND("[",$B48)),MID($B48,FIND("[",$B48)+1,FIND("]",$B48)-FIND("[",$B48)-1),IF(ISNUMBER($B48),INDEX(Personnes!$B$5:$B$154,MATCH($B48,Personnes!$A$5:$A$154,0)),IFERROR(INDEX(Personnes!$B$5:$B$154,MATCH($B48&amp;"*",Personnes!$C$5:$C$154,0)),INDEX(Personnes!$B$5:$B$154,MATCH($B48&amp;"*",Personnes!$D$5:$D$154,0))))),""))</f>
        <v/>
      </c>
      <c r="D48" s="10" t="str">
        <f>IFERROR(INDEX(Personnes!$C$5:$C$154,MATCH($C48,Personnes!$B$5:$B$154,0))&amp;"","")</f>
        <v/>
      </c>
      <c r="E48" s="10" t="str">
        <f>IFERROR(INDEX(Personnes!$D$5:$D$154,MATCH($C48,Personnes!$B$5:$B$154,0))&amp;"","")</f>
        <v/>
      </c>
      <c r="F48" s="15"/>
      <c r="G48" s="9"/>
      <c r="H48" s="10" t="str">
        <f>IF($B48="","",IF($C48="","apnéiste non reconnu",IF($A48="","séance non renseignée",IF(COUNTIFS($A$5:$A$504,$A48,$C$5:$C$504,$C48)&gt;1,"doublon séance / apnéiste",IF(OR($C48=IFERROR(INDEX('Calendrier'!$K$5:$K$5,MATCH($A48,'Calendrier'!$A$5:$A$5,0)),""),$C48=IFERROR(INDEX('Calendrier'!$O$5:$O$5,MATCH($A48,'Calendrier'!$A$5:$A$5,0)),"")),"encadrant et élève sur la même séance",IF(IFERROR(INDEX(Personnes!$H$5:$H$154,MATCH($C48,Personnes!$B$5:$B$154,0)),"")&lt;&gt;"oui","invité (hors ligne)","ok"))))))</f>
        <v/>
      </c>
    </row>
    <row r="49" spans="1:8" x14ac:dyDescent="0.2">
      <c r="A49" s="15"/>
      <c r="B49" s="15"/>
      <c r="C49" s="10" t="str">
        <f>IF($B49="","",IFERROR(IF(ISNUMBER(FIND("[",$B49)),MID($B49,FIND("[",$B49)+1,FIND("]",$B49)-FIND("[",$B49)-1),IF(ISNUMBER($B49),INDEX(Personnes!$B$5:$B$154,MATCH($B49,Personnes!$A$5:$A$154,0)),IFERROR(INDEX(Personnes!$B$5:$B$154,MATCH($B49&amp;"*",Personnes!$C$5:$C$154,0)),INDEX(Personnes!$B$5:$B$154,MATCH($B49&amp;"*",Personnes!$D$5:$D$154,0))))),""))</f>
        <v/>
      </c>
      <c r="D49" s="10" t="str">
        <f>IFERROR(INDEX(Personnes!$C$5:$C$154,MATCH($C49,Personnes!$B$5:$B$154,0))&amp;"","")</f>
        <v/>
      </c>
      <c r="E49" s="10" t="str">
        <f>IFERROR(INDEX(Personnes!$D$5:$D$154,MATCH($C49,Personnes!$B$5:$B$154,0))&amp;"","")</f>
        <v/>
      </c>
      <c r="F49" s="15"/>
      <c r="G49" s="9"/>
      <c r="H49" s="10" t="str">
        <f>IF($B49="","",IF($C49="","apnéiste non reconnu",IF($A49="","séance non renseignée",IF(COUNTIFS($A$5:$A$504,$A49,$C$5:$C$504,$C49)&gt;1,"doublon séance / apnéiste",IF(OR($C49=IFERROR(INDEX('Calendrier'!$K$5:$K$5,MATCH($A49,'Calendrier'!$A$5:$A$5,0)),""),$C49=IFERROR(INDEX('Calendrier'!$O$5:$O$5,MATCH($A49,'Calendrier'!$A$5:$A$5,0)),"")),"encadrant et élève sur la même séance",IF(IFERROR(INDEX(Personnes!$H$5:$H$154,MATCH($C49,Personnes!$B$5:$B$154,0)),"")&lt;&gt;"oui","invité (hors ligne)","ok"))))))</f>
        <v/>
      </c>
    </row>
    <row r="50" spans="1:8" x14ac:dyDescent="0.2">
      <c r="A50" s="15"/>
      <c r="B50" s="15"/>
      <c r="C50" s="10" t="str">
        <f>IF($B50="","",IFERROR(IF(ISNUMBER(FIND("[",$B50)),MID($B50,FIND("[",$B50)+1,FIND("]",$B50)-FIND("[",$B50)-1),IF(ISNUMBER($B50),INDEX(Personnes!$B$5:$B$154,MATCH($B50,Personnes!$A$5:$A$154,0)),IFERROR(INDEX(Personnes!$B$5:$B$154,MATCH($B50&amp;"*",Personnes!$C$5:$C$154,0)),INDEX(Personnes!$B$5:$B$154,MATCH($B50&amp;"*",Personnes!$D$5:$D$154,0))))),""))</f>
        <v/>
      </c>
      <c r="D50" s="10" t="str">
        <f>IFERROR(INDEX(Personnes!$C$5:$C$154,MATCH($C50,Personnes!$B$5:$B$154,0))&amp;"","")</f>
        <v/>
      </c>
      <c r="E50" s="10" t="str">
        <f>IFERROR(INDEX(Personnes!$D$5:$D$154,MATCH($C50,Personnes!$B$5:$B$154,0))&amp;"","")</f>
        <v/>
      </c>
      <c r="F50" s="15"/>
      <c r="G50" s="9"/>
      <c r="H50" s="10" t="str">
        <f>IF($B50="","",IF($C50="","apnéiste non reconnu",IF($A50="","séance non renseignée",IF(COUNTIFS($A$5:$A$504,$A50,$C$5:$C$504,$C50)&gt;1,"doublon séance / apnéiste",IF(OR($C50=IFERROR(INDEX('Calendrier'!$K$5:$K$5,MATCH($A50,'Calendrier'!$A$5:$A$5,0)),""),$C50=IFERROR(INDEX('Calendrier'!$O$5:$O$5,MATCH($A50,'Calendrier'!$A$5:$A$5,0)),"")),"encadrant et élève sur la même séance",IF(IFERROR(INDEX(Personnes!$H$5:$H$154,MATCH($C50,Personnes!$B$5:$B$154,0)),"")&lt;&gt;"oui","invité (hors ligne)","ok"))))))</f>
        <v/>
      </c>
    </row>
    <row r="51" spans="1:8" x14ac:dyDescent="0.2">
      <c r="A51" s="15"/>
      <c r="B51" s="15"/>
      <c r="C51" s="10" t="str">
        <f>IF($B51="","",IFERROR(IF(ISNUMBER(FIND("[",$B51)),MID($B51,FIND("[",$B51)+1,FIND("]",$B51)-FIND("[",$B51)-1),IF(ISNUMBER($B51),INDEX(Personnes!$B$5:$B$154,MATCH($B51,Personnes!$A$5:$A$154,0)),IFERROR(INDEX(Personnes!$B$5:$B$154,MATCH($B51&amp;"*",Personnes!$C$5:$C$154,0)),INDEX(Personnes!$B$5:$B$154,MATCH($B51&amp;"*",Personnes!$D$5:$D$154,0))))),""))</f>
        <v/>
      </c>
      <c r="D51" s="10" t="str">
        <f>IFERROR(INDEX(Personnes!$C$5:$C$154,MATCH($C51,Personnes!$B$5:$B$154,0))&amp;"","")</f>
        <v/>
      </c>
      <c r="E51" s="10" t="str">
        <f>IFERROR(INDEX(Personnes!$D$5:$D$154,MATCH($C51,Personnes!$B$5:$B$154,0))&amp;"","")</f>
        <v/>
      </c>
      <c r="F51" s="15"/>
      <c r="G51" s="9"/>
      <c r="H51" s="10" t="str">
        <f>IF($B51="","",IF($C51="","apnéiste non reconnu",IF($A51="","séance non renseignée",IF(COUNTIFS($A$5:$A$504,$A51,$C$5:$C$504,$C51)&gt;1,"doublon séance / apnéiste",IF(OR($C51=IFERROR(INDEX('Calendrier'!$K$5:$K$5,MATCH($A51,'Calendrier'!$A$5:$A$5,0)),""),$C51=IFERROR(INDEX('Calendrier'!$O$5:$O$5,MATCH($A51,'Calendrier'!$A$5:$A$5,0)),"")),"encadrant et élève sur la même séance",IF(IFERROR(INDEX(Personnes!$H$5:$H$154,MATCH($C51,Personnes!$B$5:$B$154,0)),"")&lt;&gt;"oui","invité (hors ligne)","ok"))))))</f>
        <v/>
      </c>
    </row>
    <row r="52" spans="1:8" x14ac:dyDescent="0.2">
      <c r="A52" s="15"/>
      <c r="B52" s="15"/>
      <c r="C52" s="10" t="str">
        <f>IF($B52="","",IFERROR(IF(ISNUMBER(FIND("[",$B52)),MID($B52,FIND("[",$B52)+1,FIND("]",$B52)-FIND("[",$B52)-1),IF(ISNUMBER($B52),INDEX(Personnes!$B$5:$B$154,MATCH($B52,Personnes!$A$5:$A$154,0)),IFERROR(INDEX(Personnes!$B$5:$B$154,MATCH($B52&amp;"*",Personnes!$C$5:$C$154,0)),INDEX(Personnes!$B$5:$B$154,MATCH($B52&amp;"*",Personnes!$D$5:$D$154,0))))),""))</f>
        <v/>
      </c>
      <c r="D52" s="10" t="str">
        <f>IFERROR(INDEX(Personnes!$C$5:$C$154,MATCH($C52,Personnes!$B$5:$B$154,0))&amp;"","")</f>
        <v/>
      </c>
      <c r="E52" s="10" t="str">
        <f>IFERROR(INDEX(Personnes!$D$5:$D$154,MATCH($C52,Personnes!$B$5:$B$154,0))&amp;"","")</f>
        <v/>
      </c>
      <c r="F52" s="15"/>
      <c r="G52" s="9"/>
      <c r="H52" s="10" t="str">
        <f>IF($B52="","",IF($C52="","apnéiste non reconnu",IF($A52="","séance non renseignée",IF(COUNTIFS($A$5:$A$504,$A52,$C$5:$C$504,$C52)&gt;1,"doublon séance / apnéiste",IF(OR($C52=IFERROR(INDEX('Calendrier'!$K$5:$K$5,MATCH($A52,'Calendrier'!$A$5:$A$5,0)),""),$C52=IFERROR(INDEX('Calendrier'!$O$5:$O$5,MATCH($A52,'Calendrier'!$A$5:$A$5,0)),"")),"encadrant et élève sur la même séance",IF(IFERROR(INDEX(Personnes!$H$5:$H$154,MATCH($C52,Personnes!$B$5:$B$154,0)),"")&lt;&gt;"oui","invité (hors ligne)","ok"))))))</f>
        <v/>
      </c>
    </row>
    <row r="53" spans="1:8" x14ac:dyDescent="0.2">
      <c r="A53" s="15"/>
      <c r="B53" s="15"/>
      <c r="C53" s="10" t="str">
        <f>IF($B53="","",IFERROR(IF(ISNUMBER(FIND("[",$B53)),MID($B53,FIND("[",$B53)+1,FIND("]",$B53)-FIND("[",$B53)-1),IF(ISNUMBER($B53),INDEX(Personnes!$B$5:$B$154,MATCH($B53,Personnes!$A$5:$A$154,0)),IFERROR(INDEX(Personnes!$B$5:$B$154,MATCH($B53&amp;"*",Personnes!$C$5:$C$154,0)),INDEX(Personnes!$B$5:$B$154,MATCH($B53&amp;"*",Personnes!$D$5:$D$154,0))))),""))</f>
        <v/>
      </c>
      <c r="D53" s="10" t="str">
        <f>IFERROR(INDEX(Personnes!$C$5:$C$154,MATCH($C53,Personnes!$B$5:$B$154,0))&amp;"","")</f>
        <v/>
      </c>
      <c r="E53" s="10" t="str">
        <f>IFERROR(INDEX(Personnes!$D$5:$D$154,MATCH($C53,Personnes!$B$5:$B$154,0))&amp;"","")</f>
        <v/>
      </c>
      <c r="F53" s="15"/>
      <c r="G53" s="9"/>
      <c r="H53" s="10" t="str">
        <f>IF($B53="","",IF($C53="","apnéiste non reconnu",IF($A53="","séance non renseignée",IF(COUNTIFS($A$5:$A$504,$A53,$C$5:$C$504,$C53)&gt;1,"doublon séance / apnéiste",IF(OR($C53=IFERROR(INDEX('Calendrier'!$K$5:$K$5,MATCH($A53,'Calendrier'!$A$5:$A$5,0)),""),$C53=IFERROR(INDEX('Calendrier'!$O$5:$O$5,MATCH($A53,'Calendrier'!$A$5:$A$5,0)),"")),"encadrant et élève sur la même séance",IF(IFERROR(INDEX(Personnes!$H$5:$H$154,MATCH($C53,Personnes!$B$5:$B$154,0)),"")&lt;&gt;"oui","invité (hors ligne)","ok"))))))</f>
        <v/>
      </c>
    </row>
    <row r="54" spans="1:8" x14ac:dyDescent="0.2">
      <c r="A54" s="15"/>
      <c r="B54" s="15"/>
      <c r="C54" s="10" t="str">
        <f>IF($B54="","",IFERROR(IF(ISNUMBER(FIND("[",$B54)),MID($B54,FIND("[",$B54)+1,FIND("]",$B54)-FIND("[",$B54)-1),IF(ISNUMBER($B54),INDEX(Personnes!$B$5:$B$154,MATCH($B54,Personnes!$A$5:$A$154,0)),IFERROR(INDEX(Personnes!$B$5:$B$154,MATCH($B54&amp;"*",Personnes!$C$5:$C$154,0)),INDEX(Personnes!$B$5:$B$154,MATCH($B54&amp;"*",Personnes!$D$5:$D$154,0))))),""))</f>
        <v/>
      </c>
      <c r="D54" s="10" t="str">
        <f>IFERROR(INDEX(Personnes!$C$5:$C$154,MATCH($C54,Personnes!$B$5:$B$154,0))&amp;"","")</f>
        <v/>
      </c>
      <c r="E54" s="10" t="str">
        <f>IFERROR(INDEX(Personnes!$D$5:$D$154,MATCH($C54,Personnes!$B$5:$B$154,0))&amp;"","")</f>
        <v/>
      </c>
      <c r="F54" s="15"/>
      <c r="G54" s="9"/>
      <c r="H54" s="10" t="str">
        <f>IF($B54="","",IF($C54="","apnéiste non reconnu",IF($A54="","séance non renseignée",IF(COUNTIFS($A$5:$A$504,$A54,$C$5:$C$504,$C54)&gt;1,"doublon séance / apnéiste",IF(OR($C54=IFERROR(INDEX('Calendrier'!$K$5:$K$5,MATCH($A54,'Calendrier'!$A$5:$A$5,0)),""),$C54=IFERROR(INDEX('Calendrier'!$O$5:$O$5,MATCH($A54,'Calendrier'!$A$5:$A$5,0)),"")),"encadrant et élève sur la même séance",IF(IFERROR(INDEX(Personnes!$H$5:$H$154,MATCH($C54,Personnes!$B$5:$B$154,0)),"")&lt;&gt;"oui","invité (hors ligne)","ok"))))))</f>
        <v/>
      </c>
    </row>
    <row r="55" spans="1:8" x14ac:dyDescent="0.2">
      <c r="A55" s="15"/>
      <c r="B55" s="15"/>
      <c r="C55" s="10" t="str">
        <f>IF($B55="","",IFERROR(IF(ISNUMBER(FIND("[",$B55)),MID($B55,FIND("[",$B55)+1,FIND("]",$B55)-FIND("[",$B55)-1),IF(ISNUMBER($B55),INDEX(Personnes!$B$5:$B$154,MATCH($B55,Personnes!$A$5:$A$154,0)),IFERROR(INDEX(Personnes!$B$5:$B$154,MATCH($B55&amp;"*",Personnes!$C$5:$C$154,0)),INDEX(Personnes!$B$5:$B$154,MATCH($B55&amp;"*",Personnes!$D$5:$D$154,0))))),""))</f>
        <v/>
      </c>
      <c r="D55" s="10" t="str">
        <f>IFERROR(INDEX(Personnes!$C$5:$C$154,MATCH($C55,Personnes!$B$5:$B$154,0))&amp;"","")</f>
        <v/>
      </c>
      <c r="E55" s="10" t="str">
        <f>IFERROR(INDEX(Personnes!$D$5:$D$154,MATCH($C55,Personnes!$B$5:$B$154,0))&amp;"","")</f>
        <v/>
      </c>
      <c r="F55" s="15"/>
      <c r="G55" s="9"/>
      <c r="H55" s="10" t="str">
        <f>IF($B55="","",IF($C55="","apnéiste non reconnu",IF($A55="","séance non renseignée",IF(COUNTIFS($A$5:$A$504,$A55,$C$5:$C$504,$C55)&gt;1,"doublon séance / apnéiste",IF(OR($C55=IFERROR(INDEX('Calendrier'!$K$5:$K$5,MATCH($A55,'Calendrier'!$A$5:$A$5,0)),""),$C55=IFERROR(INDEX('Calendrier'!$O$5:$O$5,MATCH($A55,'Calendrier'!$A$5:$A$5,0)),"")),"encadrant et élève sur la même séance",IF(IFERROR(INDEX(Personnes!$H$5:$H$154,MATCH($C55,Personnes!$B$5:$B$154,0)),"")&lt;&gt;"oui","invité (hors ligne)","ok"))))))</f>
        <v/>
      </c>
    </row>
    <row r="56" spans="1:8" x14ac:dyDescent="0.2">
      <c r="A56" s="15"/>
      <c r="B56" s="15"/>
      <c r="C56" s="10" t="str">
        <f>IF($B56="","",IFERROR(IF(ISNUMBER(FIND("[",$B56)),MID($B56,FIND("[",$B56)+1,FIND("]",$B56)-FIND("[",$B56)-1),IF(ISNUMBER($B56),INDEX(Personnes!$B$5:$B$154,MATCH($B56,Personnes!$A$5:$A$154,0)),IFERROR(INDEX(Personnes!$B$5:$B$154,MATCH($B56&amp;"*",Personnes!$C$5:$C$154,0)),INDEX(Personnes!$B$5:$B$154,MATCH($B56&amp;"*",Personnes!$D$5:$D$154,0))))),""))</f>
        <v/>
      </c>
      <c r="D56" s="10" t="str">
        <f>IFERROR(INDEX(Personnes!$C$5:$C$154,MATCH($C56,Personnes!$B$5:$B$154,0))&amp;"","")</f>
        <v/>
      </c>
      <c r="E56" s="10" t="str">
        <f>IFERROR(INDEX(Personnes!$D$5:$D$154,MATCH($C56,Personnes!$B$5:$B$154,0))&amp;"","")</f>
        <v/>
      </c>
      <c r="F56" s="15"/>
      <c r="G56" s="9"/>
      <c r="H56" s="10" t="str">
        <f>IF($B56="","",IF($C56="","apnéiste non reconnu",IF($A56="","séance non renseignée",IF(COUNTIFS($A$5:$A$504,$A56,$C$5:$C$504,$C56)&gt;1,"doublon séance / apnéiste",IF(OR($C56=IFERROR(INDEX('Calendrier'!$K$5:$K$5,MATCH($A56,'Calendrier'!$A$5:$A$5,0)),""),$C56=IFERROR(INDEX('Calendrier'!$O$5:$O$5,MATCH($A56,'Calendrier'!$A$5:$A$5,0)),"")),"encadrant et élève sur la même séance",IF(IFERROR(INDEX(Personnes!$H$5:$H$154,MATCH($C56,Personnes!$B$5:$B$154,0)),"")&lt;&gt;"oui","invité (hors ligne)","ok"))))))</f>
        <v/>
      </c>
    </row>
    <row r="57" spans="1:8" x14ac:dyDescent="0.2">
      <c r="A57" s="15"/>
      <c r="B57" s="15"/>
      <c r="C57" s="10" t="str">
        <f>IF($B57="","",IFERROR(IF(ISNUMBER(FIND("[",$B57)),MID($B57,FIND("[",$B57)+1,FIND("]",$B57)-FIND("[",$B57)-1),IF(ISNUMBER($B57),INDEX(Personnes!$B$5:$B$154,MATCH($B57,Personnes!$A$5:$A$154,0)),IFERROR(INDEX(Personnes!$B$5:$B$154,MATCH($B57&amp;"*",Personnes!$C$5:$C$154,0)),INDEX(Personnes!$B$5:$B$154,MATCH($B57&amp;"*",Personnes!$D$5:$D$154,0))))),""))</f>
        <v/>
      </c>
      <c r="D57" s="10" t="str">
        <f>IFERROR(INDEX(Personnes!$C$5:$C$154,MATCH($C57,Personnes!$B$5:$B$154,0))&amp;"","")</f>
        <v/>
      </c>
      <c r="E57" s="10" t="str">
        <f>IFERROR(INDEX(Personnes!$D$5:$D$154,MATCH($C57,Personnes!$B$5:$B$154,0))&amp;"","")</f>
        <v/>
      </c>
      <c r="F57" s="15"/>
      <c r="G57" s="9"/>
      <c r="H57" s="10" t="str">
        <f>IF($B57="","",IF($C57="","apnéiste non reconnu",IF($A57="","séance non renseignée",IF(COUNTIFS($A$5:$A$504,$A57,$C$5:$C$504,$C57)&gt;1,"doublon séance / apnéiste",IF(OR($C57=IFERROR(INDEX('Calendrier'!$K$5:$K$5,MATCH($A57,'Calendrier'!$A$5:$A$5,0)),""),$C57=IFERROR(INDEX('Calendrier'!$O$5:$O$5,MATCH($A57,'Calendrier'!$A$5:$A$5,0)),"")),"encadrant et élève sur la même séance",IF(IFERROR(INDEX(Personnes!$H$5:$H$154,MATCH($C57,Personnes!$B$5:$B$154,0)),"")&lt;&gt;"oui","invité (hors ligne)","ok"))))))</f>
        <v/>
      </c>
    </row>
    <row r="58" spans="1:8" x14ac:dyDescent="0.2">
      <c r="A58" s="15"/>
      <c r="B58" s="15"/>
      <c r="C58" s="10" t="str">
        <f>IF($B58="","",IFERROR(IF(ISNUMBER(FIND("[",$B58)),MID($B58,FIND("[",$B58)+1,FIND("]",$B58)-FIND("[",$B58)-1),IF(ISNUMBER($B58),INDEX(Personnes!$B$5:$B$154,MATCH($B58,Personnes!$A$5:$A$154,0)),IFERROR(INDEX(Personnes!$B$5:$B$154,MATCH($B58&amp;"*",Personnes!$C$5:$C$154,0)),INDEX(Personnes!$B$5:$B$154,MATCH($B58&amp;"*",Personnes!$D$5:$D$154,0))))),""))</f>
        <v/>
      </c>
      <c r="D58" s="10" t="str">
        <f>IFERROR(INDEX(Personnes!$C$5:$C$154,MATCH($C58,Personnes!$B$5:$B$154,0))&amp;"","")</f>
        <v/>
      </c>
      <c r="E58" s="10" t="str">
        <f>IFERROR(INDEX(Personnes!$D$5:$D$154,MATCH($C58,Personnes!$B$5:$B$154,0))&amp;"","")</f>
        <v/>
      </c>
      <c r="F58" s="15"/>
      <c r="G58" s="9"/>
      <c r="H58" s="10" t="str">
        <f>IF($B58="","",IF($C58="","apnéiste non reconnu",IF($A58="","séance non renseignée",IF(COUNTIFS($A$5:$A$504,$A58,$C$5:$C$504,$C58)&gt;1,"doublon séance / apnéiste",IF(OR($C58=IFERROR(INDEX('Calendrier'!$K$5:$K$5,MATCH($A58,'Calendrier'!$A$5:$A$5,0)),""),$C58=IFERROR(INDEX('Calendrier'!$O$5:$O$5,MATCH($A58,'Calendrier'!$A$5:$A$5,0)),"")),"encadrant et élève sur la même séance",IF(IFERROR(INDEX(Personnes!$H$5:$H$154,MATCH($C58,Personnes!$B$5:$B$154,0)),"")&lt;&gt;"oui","invité (hors ligne)","ok"))))))</f>
        <v/>
      </c>
    </row>
    <row r="59" spans="1:8" x14ac:dyDescent="0.2">
      <c r="A59" s="15"/>
      <c r="B59" s="15"/>
      <c r="C59" s="10" t="str">
        <f>IF($B59="","",IFERROR(IF(ISNUMBER(FIND("[",$B59)),MID($B59,FIND("[",$B59)+1,FIND("]",$B59)-FIND("[",$B59)-1),IF(ISNUMBER($B59),INDEX(Personnes!$B$5:$B$154,MATCH($B59,Personnes!$A$5:$A$154,0)),IFERROR(INDEX(Personnes!$B$5:$B$154,MATCH($B59&amp;"*",Personnes!$C$5:$C$154,0)),INDEX(Personnes!$B$5:$B$154,MATCH($B59&amp;"*",Personnes!$D$5:$D$154,0))))),""))</f>
        <v/>
      </c>
      <c r="D59" s="10" t="str">
        <f>IFERROR(INDEX(Personnes!$C$5:$C$154,MATCH($C59,Personnes!$B$5:$B$154,0))&amp;"","")</f>
        <v/>
      </c>
      <c r="E59" s="10" t="str">
        <f>IFERROR(INDEX(Personnes!$D$5:$D$154,MATCH($C59,Personnes!$B$5:$B$154,0))&amp;"","")</f>
        <v/>
      </c>
      <c r="F59" s="15"/>
      <c r="G59" s="9"/>
      <c r="H59" s="10" t="str">
        <f>IF($B59="","",IF($C59="","apnéiste non reconnu",IF($A59="","séance non renseignée",IF(COUNTIFS($A$5:$A$504,$A59,$C$5:$C$504,$C59)&gt;1,"doublon séance / apnéiste",IF(OR($C59=IFERROR(INDEX('Calendrier'!$K$5:$K$5,MATCH($A59,'Calendrier'!$A$5:$A$5,0)),""),$C59=IFERROR(INDEX('Calendrier'!$O$5:$O$5,MATCH($A59,'Calendrier'!$A$5:$A$5,0)),"")),"encadrant et élève sur la même séance",IF(IFERROR(INDEX(Personnes!$H$5:$H$154,MATCH($C59,Personnes!$B$5:$B$154,0)),"")&lt;&gt;"oui","invité (hors ligne)","ok"))))))</f>
        <v/>
      </c>
    </row>
    <row r="60" spans="1:8" x14ac:dyDescent="0.2">
      <c r="A60" s="15"/>
      <c r="B60" s="15"/>
      <c r="C60" s="10" t="str">
        <f>IF($B60="","",IFERROR(IF(ISNUMBER(FIND("[",$B60)),MID($B60,FIND("[",$B60)+1,FIND("]",$B60)-FIND("[",$B60)-1),IF(ISNUMBER($B60),INDEX(Personnes!$B$5:$B$154,MATCH($B60,Personnes!$A$5:$A$154,0)),IFERROR(INDEX(Personnes!$B$5:$B$154,MATCH($B60&amp;"*",Personnes!$C$5:$C$154,0)),INDEX(Personnes!$B$5:$B$154,MATCH($B60&amp;"*",Personnes!$D$5:$D$154,0))))),""))</f>
        <v/>
      </c>
      <c r="D60" s="10" t="str">
        <f>IFERROR(INDEX(Personnes!$C$5:$C$154,MATCH($C60,Personnes!$B$5:$B$154,0))&amp;"","")</f>
        <v/>
      </c>
      <c r="E60" s="10" t="str">
        <f>IFERROR(INDEX(Personnes!$D$5:$D$154,MATCH($C60,Personnes!$B$5:$B$154,0))&amp;"","")</f>
        <v/>
      </c>
      <c r="F60" s="15"/>
      <c r="G60" s="9"/>
      <c r="H60" s="10" t="str">
        <f>IF($B60="","",IF($C60="","apnéiste non reconnu",IF($A60="","séance non renseignée",IF(COUNTIFS($A$5:$A$504,$A60,$C$5:$C$504,$C60)&gt;1,"doublon séance / apnéiste",IF(OR($C60=IFERROR(INDEX('Calendrier'!$K$5:$K$5,MATCH($A60,'Calendrier'!$A$5:$A$5,0)),""),$C60=IFERROR(INDEX('Calendrier'!$O$5:$O$5,MATCH($A60,'Calendrier'!$A$5:$A$5,0)),"")),"encadrant et élève sur la même séance",IF(IFERROR(INDEX(Personnes!$H$5:$H$154,MATCH($C60,Personnes!$B$5:$B$154,0)),"")&lt;&gt;"oui","invité (hors ligne)","ok"))))))</f>
        <v/>
      </c>
    </row>
    <row r="61" spans="1:8" x14ac:dyDescent="0.2">
      <c r="A61" s="15"/>
      <c r="B61" s="15"/>
      <c r="C61" s="10" t="str">
        <f>IF($B61="","",IFERROR(IF(ISNUMBER(FIND("[",$B61)),MID($B61,FIND("[",$B61)+1,FIND("]",$B61)-FIND("[",$B61)-1),IF(ISNUMBER($B61),INDEX(Personnes!$B$5:$B$154,MATCH($B61,Personnes!$A$5:$A$154,0)),IFERROR(INDEX(Personnes!$B$5:$B$154,MATCH($B61&amp;"*",Personnes!$C$5:$C$154,0)),INDEX(Personnes!$B$5:$B$154,MATCH($B61&amp;"*",Personnes!$D$5:$D$154,0))))),""))</f>
        <v/>
      </c>
      <c r="D61" s="10" t="str">
        <f>IFERROR(INDEX(Personnes!$C$5:$C$154,MATCH($C61,Personnes!$B$5:$B$154,0))&amp;"","")</f>
        <v/>
      </c>
      <c r="E61" s="10" t="str">
        <f>IFERROR(INDEX(Personnes!$D$5:$D$154,MATCH($C61,Personnes!$B$5:$B$154,0))&amp;"","")</f>
        <v/>
      </c>
      <c r="F61" s="15"/>
      <c r="G61" s="9"/>
      <c r="H61" s="10" t="str">
        <f>IF($B61="","",IF($C61="","apnéiste non reconnu",IF($A61="","séance non renseignée",IF(COUNTIFS($A$5:$A$504,$A61,$C$5:$C$504,$C61)&gt;1,"doublon séance / apnéiste",IF(OR($C61=IFERROR(INDEX('Calendrier'!$K$5:$K$5,MATCH($A61,'Calendrier'!$A$5:$A$5,0)),""),$C61=IFERROR(INDEX('Calendrier'!$O$5:$O$5,MATCH($A61,'Calendrier'!$A$5:$A$5,0)),"")),"encadrant et élève sur la même séance",IF(IFERROR(INDEX(Personnes!$H$5:$H$154,MATCH($C61,Personnes!$B$5:$B$154,0)),"")&lt;&gt;"oui","invité (hors ligne)","ok"))))))</f>
        <v/>
      </c>
    </row>
    <row r="62" spans="1:8" x14ac:dyDescent="0.2">
      <c r="A62" s="15"/>
      <c r="B62" s="15"/>
      <c r="C62" s="10" t="str">
        <f>IF($B62="","",IFERROR(IF(ISNUMBER(FIND("[",$B62)),MID($B62,FIND("[",$B62)+1,FIND("]",$B62)-FIND("[",$B62)-1),IF(ISNUMBER($B62),INDEX(Personnes!$B$5:$B$154,MATCH($B62,Personnes!$A$5:$A$154,0)),IFERROR(INDEX(Personnes!$B$5:$B$154,MATCH($B62&amp;"*",Personnes!$C$5:$C$154,0)),INDEX(Personnes!$B$5:$B$154,MATCH($B62&amp;"*",Personnes!$D$5:$D$154,0))))),""))</f>
        <v/>
      </c>
      <c r="D62" s="10" t="str">
        <f>IFERROR(INDEX(Personnes!$C$5:$C$154,MATCH($C62,Personnes!$B$5:$B$154,0))&amp;"","")</f>
        <v/>
      </c>
      <c r="E62" s="10" t="str">
        <f>IFERROR(INDEX(Personnes!$D$5:$D$154,MATCH($C62,Personnes!$B$5:$B$154,0))&amp;"","")</f>
        <v/>
      </c>
      <c r="F62" s="15"/>
      <c r="G62" s="9"/>
      <c r="H62" s="10" t="str">
        <f>IF($B62="","",IF($C62="","apnéiste non reconnu",IF($A62="","séance non renseignée",IF(COUNTIFS($A$5:$A$504,$A62,$C$5:$C$504,$C62)&gt;1,"doublon séance / apnéiste",IF(OR($C62=IFERROR(INDEX('Calendrier'!$K$5:$K$5,MATCH($A62,'Calendrier'!$A$5:$A$5,0)),""),$C62=IFERROR(INDEX('Calendrier'!$O$5:$O$5,MATCH($A62,'Calendrier'!$A$5:$A$5,0)),"")),"encadrant et élève sur la même séance",IF(IFERROR(INDEX(Personnes!$H$5:$H$154,MATCH($C62,Personnes!$B$5:$B$154,0)),"")&lt;&gt;"oui","invité (hors ligne)","ok"))))))</f>
        <v/>
      </c>
    </row>
    <row r="63" spans="1:8" x14ac:dyDescent="0.2">
      <c r="A63" s="15"/>
      <c r="B63" s="15"/>
      <c r="C63" s="10" t="str">
        <f>IF($B63="","",IFERROR(IF(ISNUMBER(FIND("[",$B63)),MID($B63,FIND("[",$B63)+1,FIND("]",$B63)-FIND("[",$B63)-1),IF(ISNUMBER($B63),INDEX(Personnes!$B$5:$B$154,MATCH($B63,Personnes!$A$5:$A$154,0)),IFERROR(INDEX(Personnes!$B$5:$B$154,MATCH($B63&amp;"*",Personnes!$C$5:$C$154,0)),INDEX(Personnes!$B$5:$B$154,MATCH($B63&amp;"*",Personnes!$D$5:$D$154,0))))),""))</f>
        <v/>
      </c>
      <c r="D63" s="10" t="str">
        <f>IFERROR(INDEX(Personnes!$C$5:$C$154,MATCH($C63,Personnes!$B$5:$B$154,0))&amp;"","")</f>
        <v/>
      </c>
      <c r="E63" s="10" t="str">
        <f>IFERROR(INDEX(Personnes!$D$5:$D$154,MATCH($C63,Personnes!$B$5:$B$154,0))&amp;"","")</f>
        <v/>
      </c>
      <c r="F63" s="15"/>
      <c r="G63" s="9"/>
      <c r="H63" s="10" t="str">
        <f>IF($B63="","",IF($C63="","apnéiste non reconnu",IF($A63="","séance non renseignée",IF(COUNTIFS($A$5:$A$504,$A63,$C$5:$C$504,$C63)&gt;1,"doublon séance / apnéiste",IF(OR($C63=IFERROR(INDEX('Calendrier'!$K$5:$K$5,MATCH($A63,'Calendrier'!$A$5:$A$5,0)),""),$C63=IFERROR(INDEX('Calendrier'!$O$5:$O$5,MATCH($A63,'Calendrier'!$A$5:$A$5,0)),"")),"encadrant et élève sur la même séance",IF(IFERROR(INDEX(Personnes!$H$5:$H$154,MATCH($C63,Personnes!$B$5:$B$154,0)),"")&lt;&gt;"oui","invité (hors ligne)","ok"))))))</f>
        <v/>
      </c>
    </row>
    <row r="64" spans="1:8" x14ac:dyDescent="0.2">
      <c r="A64" s="15"/>
      <c r="B64" s="15"/>
      <c r="C64" s="10" t="str">
        <f>IF($B64="","",IFERROR(IF(ISNUMBER(FIND("[",$B64)),MID($B64,FIND("[",$B64)+1,FIND("]",$B64)-FIND("[",$B64)-1),IF(ISNUMBER($B64),INDEX(Personnes!$B$5:$B$154,MATCH($B64,Personnes!$A$5:$A$154,0)),IFERROR(INDEX(Personnes!$B$5:$B$154,MATCH($B64&amp;"*",Personnes!$C$5:$C$154,0)),INDEX(Personnes!$B$5:$B$154,MATCH($B64&amp;"*",Personnes!$D$5:$D$154,0))))),""))</f>
        <v/>
      </c>
      <c r="D64" s="10" t="str">
        <f>IFERROR(INDEX(Personnes!$C$5:$C$154,MATCH($C64,Personnes!$B$5:$B$154,0))&amp;"","")</f>
        <v/>
      </c>
      <c r="E64" s="10" t="str">
        <f>IFERROR(INDEX(Personnes!$D$5:$D$154,MATCH($C64,Personnes!$B$5:$B$154,0))&amp;"","")</f>
        <v/>
      </c>
      <c r="F64" s="15"/>
      <c r="G64" s="9"/>
      <c r="H64" s="10" t="str">
        <f>IF($B64="","",IF($C64="","apnéiste non reconnu",IF($A64="","séance non renseignée",IF(COUNTIFS($A$5:$A$504,$A64,$C$5:$C$504,$C64)&gt;1,"doublon séance / apnéiste",IF(OR($C64=IFERROR(INDEX('Calendrier'!$K$5:$K$5,MATCH($A64,'Calendrier'!$A$5:$A$5,0)),""),$C64=IFERROR(INDEX('Calendrier'!$O$5:$O$5,MATCH($A64,'Calendrier'!$A$5:$A$5,0)),"")),"encadrant et élève sur la même séance",IF(IFERROR(INDEX(Personnes!$H$5:$H$154,MATCH($C64,Personnes!$B$5:$B$154,0)),"")&lt;&gt;"oui","invité (hors ligne)","ok"))))))</f>
        <v/>
      </c>
    </row>
    <row r="65" spans="1:8" x14ac:dyDescent="0.2">
      <c r="A65" s="15"/>
      <c r="B65" s="15"/>
      <c r="C65" s="10" t="str">
        <f>IF($B65="","",IFERROR(IF(ISNUMBER(FIND("[",$B65)),MID($B65,FIND("[",$B65)+1,FIND("]",$B65)-FIND("[",$B65)-1),IF(ISNUMBER($B65),INDEX(Personnes!$B$5:$B$154,MATCH($B65,Personnes!$A$5:$A$154,0)),IFERROR(INDEX(Personnes!$B$5:$B$154,MATCH($B65&amp;"*",Personnes!$C$5:$C$154,0)),INDEX(Personnes!$B$5:$B$154,MATCH($B65&amp;"*",Personnes!$D$5:$D$154,0))))),""))</f>
        <v/>
      </c>
      <c r="D65" s="10" t="str">
        <f>IFERROR(INDEX(Personnes!$C$5:$C$154,MATCH($C65,Personnes!$B$5:$B$154,0))&amp;"","")</f>
        <v/>
      </c>
      <c r="E65" s="10" t="str">
        <f>IFERROR(INDEX(Personnes!$D$5:$D$154,MATCH($C65,Personnes!$B$5:$B$154,0))&amp;"","")</f>
        <v/>
      </c>
      <c r="F65" s="15"/>
      <c r="G65" s="9"/>
      <c r="H65" s="10" t="str">
        <f>IF($B65="","",IF($C65="","apnéiste non reconnu",IF($A65="","séance non renseignée",IF(COUNTIFS($A$5:$A$504,$A65,$C$5:$C$504,$C65)&gt;1,"doublon séance / apnéiste",IF(OR($C65=IFERROR(INDEX('Calendrier'!$K$5:$K$5,MATCH($A65,'Calendrier'!$A$5:$A$5,0)),""),$C65=IFERROR(INDEX('Calendrier'!$O$5:$O$5,MATCH($A65,'Calendrier'!$A$5:$A$5,0)),"")),"encadrant et élève sur la même séance",IF(IFERROR(INDEX(Personnes!$H$5:$H$154,MATCH($C65,Personnes!$B$5:$B$154,0)),"")&lt;&gt;"oui","invité (hors ligne)","ok"))))))</f>
        <v/>
      </c>
    </row>
    <row r="66" spans="1:8" x14ac:dyDescent="0.2">
      <c r="A66" s="15"/>
      <c r="B66" s="15"/>
      <c r="C66" s="10" t="str">
        <f>IF($B66="","",IFERROR(IF(ISNUMBER(FIND("[",$B66)),MID($B66,FIND("[",$B66)+1,FIND("]",$B66)-FIND("[",$B66)-1),IF(ISNUMBER($B66),INDEX(Personnes!$B$5:$B$154,MATCH($B66,Personnes!$A$5:$A$154,0)),IFERROR(INDEX(Personnes!$B$5:$B$154,MATCH($B66&amp;"*",Personnes!$C$5:$C$154,0)),INDEX(Personnes!$B$5:$B$154,MATCH($B66&amp;"*",Personnes!$D$5:$D$154,0))))),""))</f>
        <v/>
      </c>
      <c r="D66" s="10" t="str">
        <f>IFERROR(INDEX(Personnes!$C$5:$C$154,MATCH($C66,Personnes!$B$5:$B$154,0))&amp;"","")</f>
        <v/>
      </c>
      <c r="E66" s="10" t="str">
        <f>IFERROR(INDEX(Personnes!$D$5:$D$154,MATCH($C66,Personnes!$B$5:$B$154,0))&amp;"","")</f>
        <v/>
      </c>
      <c r="F66" s="15"/>
      <c r="G66" s="9"/>
      <c r="H66" s="10" t="str">
        <f>IF($B66="","",IF($C66="","apnéiste non reconnu",IF($A66="","séance non renseignée",IF(COUNTIFS($A$5:$A$504,$A66,$C$5:$C$504,$C66)&gt;1,"doublon séance / apnéiste",IF(OR($C66=IFERROR(INDEX('Calendrier'!$K$5:$K$5,MATCH($A66,'Calendrier'!$A$5:$A$5,0)),""),$C66=IFERROR(INDEX('Calendrier'!$O$5:$O$5,MATCH($A66,'Calendrier'!$A$5:$A$5,0)),"")),"encadrant et élève sur la même séance",IF(IFERROR(INDEX(Personnes!$H$5:$H$154,MATCH($C66,Personnes!$B$5:$B$154,0)),"")&lt;&gt;"oui","invité (hors ligne)","ok"))))))</f>
        <v/>
      </c>
    </row>
    <row r="67" spans="1:8" x14ac:dyDescent="0.2">
      <c r="A67" s="15"/>
      <c r="B67" s="15"/>
      <c r="C67" s="10" t="str">
        <f>IF($B67="","",IFERROR(IF(ISNUMBER(FIND("[",$B67)),MID($B67,FIND("[",$B67)+1,FIND("]",$B67)-FIND("[",$B67)-1),IF(ISNUMBER($B67),INDEX(Personnes!$B$5:$B$154,MATCH($B67,Personnes!$A$5:$A$154,0)),IFERROR(INDEX(Personnes!$B$5:$B$154,MATCH($B67&amp;"*",Personnes!$C$5:$C$154,0)),INDEX(Personnes!$B$5:$B$154,MATCH($B67&amp;"*",Personnes!$D$5:$D$154,0))))),""))</f>
        <v/>
      </c>
      <c r="D67" s="10" t="str">
        <f>IFERROR(INDEX(Personnes!$C$5:$C$154,MATCH($C67,Personnes!$B$5:$B$154,0))&amp;"","")</f>
        <v/>
      </c>
      <c r="E67" s="10" t="str">
        <f>IFERROR(INDEX(Personnes!$D$5:$D$154,MATCH($C67,Personnes!$B$5:$B$154,0))&amp;"","")</f>
        <v/>
      </c>
      <c r="F67" s="15"/>
      <c r="G67" s="9"/>
      <c r="H67" s="10" t="str">
        <f>IF($B67="","",IF($C67="","apnéiste non reconnu",IF($A67="","séance non renseignée",IF(COUNTIFS($A$5:$A$504,$A67,$C$5:$C$504,$C67)&gt;1,"doublon séance / apnéiste",IF(OR($C67=IFERROR(INDEX('Calendrier'!$K$5:$K$5,MATCH($A67,'Calendrier'!$A$5:$A$5,0)),""),$C67=IFERROR(INDEX('Calendrier'!$O$5:$O$5,MATCH($A67,'Calendrier'!$A$5:$A$5,0)),"")),"encadrant et élève sur la même séance",IF(IFERROR(INDEX(Personnes!$H$5:$H$154,MATCH($C67,Personnes!$B$5:$B$154,0)),"")&lt;&gt;"oui","invité (hors ligne)","ok"))))))</f>
        <v/>
      </c>
    </row>
    <row r="68" spans="1:8" x14ac:dyDescent="0.2">
      <c r="A68" s="15"/>
      <c r="B68" s="15"/>
      <c r="C68" s="10" t="str">
        <f>IF($B68="","",IFERROR(IF(ISNUMBER(FIND("[",$B68)),MID($B68,FIND("[",$B68)+1,FIND("]",$B68)-FIND("[",$B68)-1),IF(ISNUMBER($B68),INDEX(Personnes!$B$5:$B$154,MATCH($B68,Personnes!$A$5:$A$154,0)),IFERROR(INDEX(Personnes!$B$5:$B$154,MATCH($B68&amp;"*",Personnes!$C$5:$C$154,0)),INDEX(Personnes!$B$5:$B$154,MATCH($B68&amp;"*",Personnes!$D$5:$D$154,0))))),""))</f>
        <v/>
      </c>
      <c r="D68" s="10" t="str">
        <f>IFERROR(INDEX(Personnes!$C$5:$C$154,MATCH($C68,Personnes!$B$5:$B$154,0))&amp;"","")</f>
        <v/>
      </c>
      <c r="E68" s="10" t="str">
        <f>IFERROR(INDEX(Personnes!$D$5:$D$154,MATCH($C68,Personnes!$B$5:$B$154,0))&amp;"","")</f>
        <v/>
      </c>
      <c r="F68" s="15"/>
      <c r="G68" s="9"/>
      <c r="H68" s="10" t="str">
        <f>IF($B68="","",IF($C68="","apnéiste non reconnu",IF($A68="","séance non renseignée",IF(COUNTIFS($A$5:$A$504,$A68,$C$5:$C$504,$C68)&gt;1,"doublon séance / apnéiste",IF(OR($C68=IFERROR(INDEX('Calendrier'!$K$5:$K$5,MATCH($A68,'Calendrier'!$A$5:$A$5,0)),""),$C68=IFERROR(INDEX('Calendrier'!$O$5:$O$5,MATCH($A68,'Calendrier'!$A$5:$A$5,0)),"")),"encadrant et élève sur la même séance",IF(IFERROR(INDEX(Personnes!$H$5:$H$154,MATCH($C68,Personnes!$B$5:$B$154,0)),"")&lt;&gt;"oui","invité (hors ligne)","ok"))))))</f>
        <v/>
      </c>
    </row>
    <row r="69" spans="1:8" x14ac:dyDescent="0.2">
      <c r="A69" s="15"/>
      <c r="B69" s="15"/>
      <c r="C69" s="10" t="str">
        <f>IF($B69="","",IFERROR(IF(ISNUMBER(FIND("[",$B69)),MID($B69,FIND("[",$B69)+1,FIND("]",$B69)-FIND("[",$B69)-1),IF(ISNUMBER($B69),INDEX(Personnes!$B$5:$B$154,MATCH($B69,Personnes!$A$5:$A$154,0)),IFERROR(INDEX(Personnes!$B$5:$B$154,MATCH($B69&amp;"*",Personnes!$C$5:$C$154,0)),INDEX(Personnes!$B$5:$B$154,MATCH($B69&amp;"*",Personnes!$D$5:$D$154,0))))),""))</f>
        <v/>
      </c>
      <c r="D69" s="10" t="str">
        <f>IFERROR(INDEX(Personnes!$C$5:$C$154,MATCH($C69,Personnes!$B$5:$B$154,0))&amp;"","")</f>
        <v/>
      </c>
      <c r="E69" s="10" t="str">
        <f>IFERROR(INDEX(Personnes!$D$5:$D$154,MATCH($C69,Personnes!$B$5:$B$154,0))&amp;"","")</f>
        <v/>
      </c>
      <c r="F69" s="15"/>
      <c r="G69" s="9"/>
      <c r="H69" s="10" t="str">
        <f>IF($B69="","",IF($C69="","apnéiste non reconnu",IF($A69="","séance non renseignée",IF(COUNTIFS($A$5:$A$504,$A69,$C$5:$C$504,$C69)&gt;1,"doublon séance / apnéiste",IF(OR($C69=IFERROR(INDEX('Calendrier'!$K$5:$K$5,MATCH($A69,'Calendrier'!$A$5:$A$5,0)),""),$C69=IFERROR(INDEX('Calendrier'!$O$5:$O$5,MATCH($A69,'Calendrier'!$A$5:$A$5,0)),"")),"encadrant et élève sur la même séance",IF(IFERROR(INDEX(Personnes!$H$5:$H$154,MATCH($C69,Personnes!$B$5:$B$154,0)),"")&lt;&gt;"oui","invité (hors ligne)","ok"))))))</f>
        <v/>
      </c>
    </row>
    <row r="70" spans="1:8" x14ac:dyDescent="0.2">
      <c r="A70" s="15"/>
      <c r="B70" s="15"/>
      <c r="C70" s="10" t="str">
        <f>IF($B70="","",IFERROR(IF(ISNUMBER(FIND("[",$B70)),MID($B70,FIND("[",$B70)+1,FIND("]",$B70)-FIND("[",$B70)-1),IF(ISNUMBER($B70),INDEX(Personnes!$B$5:$B$154,MATCH($B70,Personnes!$A$5:$A$154,0)),IFERROR(INDEX(Personnes!$B$5:$B$154,MATCH($B70&amp;"*",Personnes!$C$5:$C$154,0)),INDEX(Personnes!$B$5:$B$154,MATCH($B70&amp;"*",Personnes!$D$5:$D$154,0))))),""))</f>
        <v/>
      </c>
      <c r="D70" s="10" t="str">
        <f>IFERROR(INDEX(Personnes!$C$5:$C$154,MATCH($C70,Personnes!$B$5:$B$154,0))&amp;"","")</f>
        <v/>
      </c>
      <c r="E70" s="10" t="str">
        <f>IFERROR(INDEX(Personnes!$D$5:$D$154,MATCH($C70,Personnes!$B$5:$B$154,0))&amp;"","")</f>
        <v/>
      </c>
      <c r="F70" s="15"/>
      <c r="G70" s="9"/>
      <c r="H70" s="10" t="str">
        <f>IF($B70="","",IF($C70="","apnéiste non reconnu",IF($A70="","séance non renseignée",IF(COUNTIFS($A$5:$A$504,$A70,$C$5:$C$504,$C70)&gt;1,"doublon séance / apnéiste",IF(OR($C70=IFERROR(INDEX('Calendrier'!$K$5:$K$5,MATCH($A70,'Calendrier'!$A$5:$A$5,0)),""),$C70=IFERROR(INDEX('Calendrier'!$O$5:$O$5,MATCH($A70,'Calendrier'!$A$5:$A$5,0)),"")),"encadrant et élève sur la même séance",IF(IFERROR(INDEX(Personnes!$H$5:$H$154,MATCH($C70,Personnes!$B$5:$B$154,0)),"")&lt;&gt;"oui","invité (hors ligne)","ok"))))))</f>
        <v/>
      </c>
    </row>
    <row r="71" spans="1:8" x14ac:dyDescent="0.2">
      <c r="A71" s="15"/>
      <c r="B71" s="15"/>
      <c r="C71" s="10" t="str">
        <f>IF($B71="","",IFERROR(IF(ISNUMBER(FIND("[",$B71)),MID($B71,FIND("[",$B71)+1,FIND("]",$B71)-FIND("[",$B71)-1),IF(ISNUMBER($B71),INDEX(Personnes!$B$5:$B$154,MATCH($B71,Personnes!$A$5:$A$154,0)),IFERROR(INDEX(Personnes!$B$5:$B$154,MATCH($B71&amp;"*",Personnes!$C$5:$C$154,0)),INDEX(Personnes!$B$5:$B$154,MATCH($B71&amp;"*",Personnes!$D$5:$D$154,0))))),""))</f>
        <v/>
      </c>
      <c r="D71" s="10" t="str">
        <f>IFERROR(INDEX(Personnes!$C$5:$C$154,MATCH($C71,Personnes!$B$5:$B$154,0))&amp;"","")</f>
        <v/>
      </c>
      <c r="E71" s="10" t="str">
        <f>IFERROR(INDEX(Personnes!$D$5:$D$154,MATCH($C71,Personnes!$B$5:$B$154,0))&amp;"","")</f>
        <v/>
      </c>
      <c r="F71" s="15"/>
      <c r="G71" s="9"/>
      <c r="H71" s="10" t="str">
        <f>IF($B71="","",IF($C71="","apnéiste non reconnu",IF($A71="","séance non renseignée",IF(COUNTIFS($A$5:$A$504,$A71,$C$5:$C$504,$C71)&gt;1,"doublon séance / apnéiste",IF(OR($C71=IFERROR(INDEX('Calendrier'!$K$5:$K$5,MATCH($A71,'Calendrier'!$A$5:$A$5,0)),""),$C71=IFERROR(INDEX('Calendrier'!$O$5:$O$5,MATCH($A71,'Calendrier'!$A$5:$A$5,0)),"")),"encadrant et élève sur la même séance",IF(IFERROR(INDEX(Personnes!$H$5:$H$154,MATCH($C71,Personnes!$B$5:$B$154,0)),"")&lt;&gt;"oui","invité (hors ligne)","ok"))))))</f>
        <v/>
      </c>
    </row>
    <row r="72" spans="1:8" x14ac:dyDescent="0.2">
      <c r="A72" s="15"/>
      <c r="B72" s="15"/>
      <c r="C72" s="10" t="str">
        <f>IF($B72="","",IFERROR(IF(ISNUMBER(FIND("[",$B72)),MID($B72,FIND("[",$B72)+1,FIND("]",$B72)-FIND("[",$B72)-1),IF(ISNUMBER($B72),INDEX(Personnes!$B$5:$B$154,MATCH($B72,Personnes!$A$5:$A$154,0)),IFERROR(INDEX(Personnes!$B$5:$B$154,MATCH($B72&amp;"*",Personnes!$C$5:$C$154,0)),INDEX(Personnes!$B$5:$B$154,MATCH($B72&amp;"*",Personnes!$D$5:$D$154,0))))),""))</f>
        <v/>
      </c>
      <c r="D72" s="10" t="str">
        <f>IFERROR(INDEX(Personnes!$C$5:$C$154,MATCH($C72,Personnes!$B$5:$B$154,0))&amp;"","")</f>
        <v/>
      </c>
      <c r="E72" s="10" t="str">
        <f>IFERROR(INDEX(Personnes!$D$5:$D$154,MATCH($C72,Personnes!$B$5:$B$154,0))&amp;"","")</f>
        <v/>
      </c>
      <c r="F72" s="15"/>
      <c r="G72" s="9"/>
      <c r="H72" s="10" t="str">
        <f>IF($B72="","",IF($C72="","apnéiste non reconnu",IF($A72="","séance non renseignée",IF(COUNTIFS($A$5:$A$504,$A72,$C$5:$C$504,$C72)&gt;1,"doublon séance / apnéiste",IF(OR($C72=IFERROR(INDEX('Calendrier'!$K$5:$K$5,MATCH($A72,'Calendrier'!$A$5:$A$5,0)),""),$C72=IFERROR(INDEX('Calendrier'!$O$5:$O$5,MATCH($A72,'Calendrier'!$A$5:$A$5,0)),"")),"encadrant et élève sur la même séance",IF(IFERROR(INDEX(Personnes!$H$5:$H$154,MATCH($C72,Personnes!$B$5:$B$154,0)),"")&lt;&gt;"oui","invité (hors ligne)","ok"))))))</f>
        <v/>
      </c>
    </row>
    <row r="73" spans="1:8" x14ac:dyDescent="0.2">
      <c r="A73" s="15"/>
      <c r="B73" s="15"/>
      <c r="C73" s="10" t="str">
        <f>IF($B73="","",IFERROR(IF(ISNUMBER(FIND("[",$B73)),MID($B73,FIND("[",$B73)+1,FIND("]",$B73)-FIND("[",$B73)-1),IF(ISNUMBER($B73),INDEX(Personnes!$B$5:$B$154,MATCH($B73,Personnes!$A$5:$A$154,0)),IFERROR(INDEX(Personnes!$B$5:$B$154,MATCH($B73&amp;"*",Personnes!$C$5:$C$154,0)),INDEX(Personnes!$B$5:$B$154,MATCH($B73&amp;"*",Personnes!$D$5:$D$154,0))))),""))</f>
        <v/>
      </c>
      <c r="D73" s="10" t="str">
        <f>IFERROR(INDEX(Personnes!$C$5:$C$154,MATCH($C73,Personnes!$B$5:$B$154,0))&amp;"","")</f>
        <v/>
      </c>
      <c r="E73" s="10" t="str">
        <f>IFERROR(INDEX(Personnes!$D$5:$D$154,MATCH($C73,Personnes!$B$5:$B$154,0))&amp;"","")</f>
        <v/>
      </c>
      <c r="F73" s="15"/>
      <c r="G73" s="9"/>
      <c r="H73" s="10" t="str">
        <f>IF($B73="","",IF($C73="","apnéiste non reconnu",IF($A73="","séance non renseignée",IF(COUNTIFS($A$5:$A$504,$A73,$C$5:$C$504,$C73)&gt;1,"doublon séance / apnéiste",IF(OR($C73=IFERROR(INDEX('Calendrier'!$K$5:$K$5,MATCH($A73,'Calendrier'!$A$5:$A$5,0)),""),$C73=IFERROR(INDEX('Calendrier'!$O$5:$O$5,MATCH($A73,'Calendrier'!$A$5:$A$5,0)),"")),"encadrant et élève sur la même séance",IF(IFERROR(INDEX(Personnes!$H$5:$H$154,MATCH($C73,Personnes!$B$5:$B$154,0)),"")&lt;&gt;"oui","invité (hors ligne)","ok"))))))</f>
        <v/>
      </c>
    </row>
    <row r="74" spans="1:8" x14ac:dyDescent="0.2">
      <c r="A74" s="15"/>
      <c r="B74" s="15"/>
      <c r="C74" s="10" t="str">
        <f>IF($B74="","",IFERROR(IF(ISNUMBER(FIND("[",$B74)),MID($B74,FIND("[",$B74)+1,FIND("]",$B74)-FIND("[",$B74)-1),IF(ISNUMBER($B74),INDEX(Personnes!$B$5:$B$154,MATCH($B74,Personnes!$A$5:$A$154,0)),IFERROR(INDEX(Personnes!$B$5:$B$154,MATCH($B74&amp;"*",Personnes!$C$5:$C$154,0)),INDEX(Personnes!$B$5:$B$154,MATCH($B74&amp;"*",Personnes!$D$5:$D$154,0))))),""))</f>
        <v/>
      </c>
      <c r="D74" s="10" t="str">
        <f>IFERROR(INDEX(Personnes!$C$5:$C$154,MATCH($C74,Personnes!$B$5:$B$154,0))&amp;"","")</f>
        <v/>
      </c>
      <c r="E74" s="10" t="str">
        <f>IFERROR(INDEX(Personnes!$D$5:$D$154,MATCH($C74,Personnes!$B$5:$B$154,0))&amp;"","")</f>
        <v/>
      </c>
      <c r="F74" s="15"/>
      <c r="G74" s="9"/>
      <c r="H74" s="10" t="str">
        <f>IF($B74="","",IF($C74="","apnéiste non reconnu",IF($A74="","séance non renseignée",IF(COUNTIFS($A$5:$A$504,$A74,$C$5:$C$504,$C74)&gt;1,"doublon séance / apnéiste",IF(OR($C74=IFERROR(INDEX('Calendrier'!$K$5:$K$5,MATCH($A74,'Calendrier'!$A$5:$A$5,0)),""),$C74=IFERROR(INDEX('Calendrier'!$O$5:$O$5,MATCH($A74,'Calendrier'!$A$5:$A$5,0)),"")),"encadrant et élève sur la même séance",IF(IFERROR(INDEX(Personnes!$H$5:$H$154,MATCH($C74,Personnes!$B$5:$B$154,0)),"")&lt;&gt;"oui","invité (hors ligne)","ok"))))))</f>
        <v/>
      </c>
    </row>
    <row r="75" spans="1:8" x14ac:dyDescent="0.2">
      <c r="A75" s="15"/>
      <c r="B75" s="15"/>
      <c r="C75" s="10" t="str">
        <f>IF($B75="","",IFERROR(IF(ISNUMBER(FIND("[",$B75)),MID($B75,FIND("[",$B75)+1,FIND("]",$B75)-FIND("[",$B75)-1),IF(ISNUMBER($B75),INDEX(Personnes!$B$5:$B$154,MATCH($B75,Personnes!$A$5:$A$154,0)),IFERROR(INDEX(Personnes!$B$5:$B$154,MATCH($B75&amp;"*",Personnes!$C$5:$C$154,0)),INDEX(Personnes!$B$5:$B$154,MATCH($B75&amp;"*",Personnes!$D$5:$D$154,0))))),""))</f>
        <v/>
      </c>
      <c r="D75" s="10" t="str">
        <f>IFERROR(INDEX(Personnes!$C$5:$C$154,MATCH($C75,Personnes!$B$5:$B$154,0))&amp;"","")</f>
        <v/>
      </c>
      <c r="E75" s="10" t="str">
        <f>IFERROR(INDEX(Personnes!$D$5:$D$154,MATCH($C75,Personnes!$B$5:$B$154,0))&amp;"","")</f>
        <v/>
      </c>
      <c r="F75" s="15"/>
      <c r="G75" s="9"/>
      <c r="H75" s="10" t="str">
        <f>IF($B75="","",IF($C75="","apnéiste non reconnu",IF($A75="","séance non renseignée",IF(COUNTIFS($A$5:$A$504,$A75,$C$5:$C$504,$C75)&gt;1,"doublon séance / apnéiste",IF(OR($C75=IFERROR(INDEX('Calendrier'!$K$5:$K$5,MATCH($A75,'Calendrier'!$A$5:$A$5,0)),""),$C75=IFERROR(INDEX('Calendrier'!$O$5:$O$5,MATCH($A75,'Calendrier'!$A$5:$A$5,0)),"")),"encadrant et élève sur la même séance",IF(IFERROR(INDEX(Personnes!$H$5:$H$154,MATCH($C75,Personnes!$B$5:$B$154,0)),"")&lt;&gt;"oui","invité (hors ligne)","ok"))))))</f>
        <v/>
      </c>
    </row>
    <row r="76" spans="1:8" x14ac:dyDescent="0.2">
      <c r="A76" s="15"/>
      <c r="B76" s="15"/>
      <c r="C76" s="10" t="str">
        <f>IF($B76="","",IFERROR(IF(ISNUMBER(FIND("[",$B76)),MID($B76,FIND("[",$B76)+1,FIND("]",$B76)-FIND("[",$B76)-1),IF(ISNUMBER($B76),INDEX(Personnes!$B$5:$B$154,MATCH($B76,Personnes!$A$5:$A$154,0)),IFERROR(INDEX(Personnes!$B$5:$B$154,MATCH($B76&amp;"*",Personnes!$C$5:$C$154,0)),INDEX(Personnes!$B$5:$B$154,MATCH($B76&amp;"*",Personnes!$D$5:$D$154,0))))),""))</f>
        <v/>
      </c>
      <c r="D76" s="10" t="str">
        <f>IFERROR(INDEX(Personnes!$C$5:$C$154,MATCH($C76,Personnes!$B$5:$B$154,0))&amp;"","")</f>
        <v/>
      </c>
      <c r="E76" s="10" t="str">
        <f>IFERROR(INDEX(Personnes!$D$5:$D$154,MATCH($C76,Personnes!$B$5:$B$154,0))&amp;"","")</f>
        <v/>
      </c>
      <c r="F76" s="15"/>
      <c r="G76" s="9"/>
      <c r="H76" s="10" t="str">
        <f>IF($B76="","",IF($C76="","apnéiste non reconnu",IF($A76="","séance non renseignée",IF(COUNTIFS($A$5:$A$504,$A76,$C$5:$C$504,$C76)&gt;1,"doublon séance / apnéiste",IF(OR($C76=IFERROR(INDEX('Calendrier'!$K$5:$K$5,MATCH($A76,'Calendrier'!$A$5:$A$5,0)),""),$C76=IFERROR(INDEX('Calendrier'!$O$5:$O$5,MATCH($A76,'Calendrier'!$A$5:$A$5,0)),"")),"encadrant et élève sur la même séance",IF(IFERROR(INDEX(Personnes!$H$5:$H$154,MATCH($C76,Personnes!$B$5:$B$154,0)),"")&lt;&gt;"oui","invité (hors ligne)","ok"))))))</f>
        <v/>
      </c>
    </row>
    <row r="77" spans="1:8" x14ac:dyDescent="0.2">
      <c r="A77" s="15"/>
      <c r="B77" s="15"/>
      <c r="C77" s="10" t="str">
        <f>IF($B77="","",IFERROR(IF(ISNUMBER(FIND("[",$B77)),MID($B77,FIND("[",$B77)+1,FIND("]",$B77)-FIND("[",$B77)-1),IF(ISNUMBER($B77),INDEX(Personnes!$B$5:$B$154,MATCH($B77,Personnes!$A$5:$A$154,0)),IFERROR(INDEX(Personnes!$B$5:$B$154,MATCH($B77&amp;"*",Personnes!$C$5:$C$154,0)),INDEX(Personnes!$B$5:$B$154,MATCH($B77&amp;"*",Personnes!$D$5:$D$154,0))))),""))</f>
        <v/>
      </c>
      <c r="D77" s="10" t="str">
        <f>IFERROR(INDEX(Personnes!$C$5:$C$154,MATCH($C77,Personnes!$B$5:$B$154,0))&amp;"","")</f>
        <v/>
      </c>
      <c r="E77" s="10" t="str">
        <f>IFERROR(INDEX(Personnes!$D$5:$D$154,MATCH($C77,Personnes!$B$5:$B$154,0))&amp;"","")</f>
        <v/>
      </c>
      <c r="F77" s="15"/>
      <c r="G77" s="9"/>
      <c r="H77" s="10" t="str">
        <f>IF($B77="","",IF($C77="","apnéiste non reconnu",IF($A77="","séance non renseignée",IF(COUNTIFS($A$5:$A$504,$A77,$C$5:$C$504,$C77)&gt;1,"doublon séance / apnéiste",IF(OR($C77=IFERROR(INDEX('Calendrier'!$K$5:$K$5,MATCH($A77,'Calendrier'!$A$5:$A$5,0)),""),$C77=IFERROR(INDEX('Calendrier'!$O$5:$O$5,MATCH($A77,'Calendrier'!$A$5:$A$5,0)),"")),"encadrant et élève sur la même séance",IF(IFERROR(INDEX(Personnes!$H$5:$H$154,MATCH($C77,Personnes!$B$5:$B$154,0)),"")&lt;&gt;"oui","invité (hors ligne)","ok"))))))</f>
        <v/>
      </c>
    </row>
    <row r="78" spans="1:8" x14ac:dyDescent="0.2">
      <c r="A78" s="15"/>
      <c r="B78" s="15"/>
      <c r="C78" s="10" t="str">
        <f>IF($B78="","",IFERROR(IF(ISNUMBER(FIND("[",$B78)),MID($B78,FIND("[",$B78)+1,FIND("]",$B78)-FIND("[",$B78)-1),IF(ISNUMBER($B78),INDEX(Personnes!$B$5:$B$154,MATCH($B78,Personnes!$A$5:$A$154,0)),IFERROR(INDEX(Personnes!$B$5:$B$154,MATCH($B78&amp;"*",Personnes!$C$5:$C$154,0)),INDEX(Personnes!$B$5:$B$154,MATCH($B78&amp;"*",Personnes!$D$5:$D$154,0))))),""))</f>
        <v/>
      </c>
      <c r="D78" s="10" t="str">
        <f>IFERROR(INDEX(Personnes!$C$5:$C$154,MATCH($C78,Personnes!$B$5:$B$154,0))&amp;"","")</f>
        <v/>
      </c>
      <c r="E78" s="10" t="str">
        <f>IFERROR(INDEX(Personnes!$D$5:$D$154,MATCH($C78,Personnes!$B$5:$B$154,0))&amp;"","")</f>
        <v/>
      </c>
      <c r="F78" s="15"/>
      <c r="G78" s="9"/>
      <c r="H78" s="10" t="str">
        <f>IF($B78="","",IF($C78="","apnéiste non reconnu",IF($A78="","séance non renseignée",IF(COUNTIFS($A$5:$A$504,$A78,$C$5:$C$504,$C78)&gt;1,"doublon séance / apnéiste",IF(OR($C78=IFERROR(INDEX('Calendrier'!$K$5:$K$5,MATCH($A78,'Calendrier'!$A$5:$A$5,0)),""),$C78=IFERROR(INDEX('Calendrier'!$O$5:$O$5,MATCH($A78,'Calendrier'!$A$5:$A$5,0)),"")),"encadrant et élève sur la même séance",IF(IFERROR(INDEX(Personnes!$H$5:$H$154,MATCH($C78,Personnes!$B$5:$B$154,0)),"")&lt;&gt;"oui","invité (hors ligne)","ok"))))))</f>
        <v/>
      </c>
    </row>
    <row r="79" spans="1:8" x14ac:dyDescent="0.2">
      <c r="A79" s="15"/>
      <c r="B79" s="15"/>
      <c r="C79" s="10" t="str">
        <f>IF($B79="","",IFERROR(IF(ISNUMBER(FIND("[",$B79)),MID($B79,FIND("[",$B79)+1,FIND("]",$B79)-FIND("[",$B79)-1),IF(ISNUMBER($B79),INDEX(Personnes!$B$5:$B$154,MATCH($B79,Personnes!$A$5:$A$154,0)),IFERROR(INDEX(Personnes!$B$5:$B$154,MATCH($B79&amp;"*",Personnes!$C$5:$C$154,0)),INDEX(Personnes!$B$5:$B$154,MATCH($B79&amp;"*",Personnes!$D$5:$D$154,0))))),""))</f>
        <v/>
      </c>
      <c r="D79" s="10" t="str">
        <f>IFERROR(INDEX(Personnes!$C$5:$C$154,MATCH($C79,Personnes!$B$5:$B$154,0))&amp;"","")</f>
        <v/>
      </c>
      <c r="E79" s="10" t="str">
        <f>IFERROR(INDEX(Personnes!$D$5:$D$154,MATCH($C79,Personnes!$B$5:$B$154,0))&amp;"","")</f>
        <v/>
      </c>
      <c r="F79" s="15"/>
      <c r="G79" s="9"/>
      <c r="H79" s="10" t="str">
        <f>IF($B79="","",IF($C79="","apnéiste non reconnu",IF($A79="","séance non renseignée",IF(COUNTIFS($A$5:$A$504,$A79,$C$5:$C$504,$C79)&gt;1,"doublon séance / apnéiste",IF(OR($C79=IFERROR(INDEX('Calendrier'!$K$5:$K$5,MATCH($A79,'Calendrier'!$A$5:$A$5,0)),""),$C79=IFERROR(INDEX('Calendrier'!$O$5:$O$5,MATCH($A79,'Calendrier'!$A$5:$A$5,0)),"")),"encadrant et élève sur la même séance",IF(IFERROR(INDEX(Personnes!$H$5:$H$154,MATCH($C79,Personnes!$B$5:$B$154,0)),"")&lt;&gt;"oui","invité (hors ligne)","ok"))))))</f>
        <v/>
      </c>
    </row>
    <row r="80" spans="1:8" x14ac:dyDescent="0.2">
      <c r="A80" s="15"/>
      <c r="B80" s="15"/>
      <c r="C80" s="10" t="str">
        <f>IF($B80="","",IFERROR(IF(ISNUMBER(FIND("[",$B80)),MID($B80,FIND("[",$B80)+1,FIND("]",$B80)-FIND("[",$B80)-1),IF(ISNUMBER($B80),INDEX(Personnes!$B$5:$B$154,MATCH($B80,Personnes!$A$5:$A$154,0)),IFERROR(INDEX(Personnes!$B$5:$B$154,MATCH($B80&amp;"*",Personnes!$C$5:$C$154,0)),INDEX(Personnes!$B$5:$B$154,MATCH($B80&amp;"*",Personnes!$D$5:$D$154,0))))),""))</f>
        <v/>
      </c>
      <c r="D80" s="10" t="str">
        <f>IFERROR(INDEX(Personnes!$C$5:$C$154,MATCH($C80,Personnes!$B$5:$B$154,0))&amp;"","")</f>
        <v/>
      </c>
      <c r="E80" s="10" t="str">
        <f>IFERROR(INDEX(Personnes!$D$5:$D$154,MATCH($C80,Personnes!$B$5:$B$154,0))&amp;"","")</f>
        <v/>
      </c>
      <c r="F80" s="15"/>
      <c r="G80" s="9"/>
      <c r="H80" s="10" t="str">
        <f>IF($B80="","",IF($C80="","apnéiste non reconnu",IF($A80="","séance non renseignée",IF(COUNTIFS($A$5:$A$504,$A80,$C$5:$C$504,$C80)&gt;1,"doublon séance / apnéiste",IF(OR($C80=IFERROR(INDEX('Calendrier'!$K$5:$K$5,MATCH($A80,'Calendrier'!$A$5:$A$5,0)),""),$C80=IFERROR(INDEX('Calendrier'!$O$5:$O$5,MATCH($A80,'Calendrier'!$A$5:$A$5,0)),"")),"encadrant et élève sur la même séance",IF(IFERROR(INDEX(Personnes!$H$5:$H$154,MATCH($C80,Personnes!$B$5:$B$154,0)),"")&lt;&gt;"oui","invité (hors ligne)","ok"))))))</f>
        <v/>
      </c>
    </row>
    <row r="81" spans="1:8" x14ac:dyDescent="0.2">
      <c r="A81" s="15"/>
      <c r="B81" s="15"/>
      <c r="C81" s="10" t="str">
        <f>IF($B81="","",IFERROR(IF(ISNUMBER(FIND("[",$B81)),MID($B81,FIND("[",$B81)+1,FIND("]",$B81)-FIND("[",$B81)-1),IF(ISNUMBER($B81),INDEX(Personnes!$B$5:$B$154,MATCH($B81,Personnes!$A$5:$A$154,0)),IFERROR(INDEX(Personnes!$B$5:$B$154,MATCH($B81&amp;"*",Personnes!$C$5:$C$154,0)),INDEX(Personnes!$B$5:$B$154,MATCH($B81&amp;"*",Personnes!$D$5:$D$154,0))))),""))</f>
        <v/>
      </c>
      <c r="D81" s="10" t="str">
        <f>IFERROR(INDEX(Personnes!$C$5:$C$154,MATCH($C81,Personnes!$B$5:$B$154,0))&amp;"","")</f>
        <v/>
      </c>
      <c r="E81" s="10" t="str">
        <f>IFERROR(INDEX(Personnes!$D$5:$D$154,MATCH($C81,Personnes!$B$5:$B$154,0))&amp;"","")</f>
        <v/>
      </c>
      <c r="F81" s="15"/>
      <c r="G81" s="9"/>
      <c r="H81" s="10" t="str">
        <f>IF($B81="","",IF($C81="","apnéiste non reconnu",IF($A81="","séance non renseignée",IF(COUNTIFS($A$5:$A$504,$A81,$C$5:$C$504,$C81)&gt;1,"doublon séance / apnéiste",IF(OR($C81=IFERROR(INDEX('Calendrier'!$K$5:$K$5,MATCH($A81,'Calendrier'!$A$5:$A$5,0)),""),$C81=IFERROR(INDEX('Calendrier'!$O$5:$O$5,MATCH($A81,'Calendrier'!$A$5:$A$5,0)),"")),"encadrant et élève sur la même séance",IF(IFERROR(INDEX(Personnes!$H$5:$H$154,MATCH($C81,Personnes!$B$5:$B$154,0)),"")&lt;&gt;"oui","invité (hors ligne)","ok"))))))</f>
        <v/>
      </c>
    </row>
    <row r="82" spans="1:8" x14ac:dyDescent="0.2">
      <c r="A82" s="15"/>
      <c r="B82" s="15"/>
      <c r="C82" s="10" t="str">
        <f>IF($B82="","",IFERROR(IF(ISNUMBER(FIND("[",$B82)),MID($B82,FIND("[",$B82)+1,FIND("]",$B82)-FIND("[",$B82)-1),IF(ISNUMBER($B82),INDEX(Personnes!$B$5:$B$154,MATCH($B82,Personnes!$A$5:$A$154,0)),IFERROR(INDEX(Personnes!$B$5:$B$154,MATCH($B82&amp;"*",Personnes!$C$5:$C$154,0)),INDEX(Personnes!$B$5:$B$154,MATCH($B82&amp;"*",Personnes!$D$5:$D$154,0))))),""))</f>
        <v/>
      </c>
      <c r="D82" s="10" t="str">
        <f>IFERROR(INDEX(Personnes!$C$5:$C$154,MATCH($C82,Personnes!$B$5:$B$154,0))&amp;"","")</f>
        <v/>
      </c>
      <c r="E82" s="10" t="str">
        <f>IFERROR(INDEX(Personnes!$D$5:$D$154,MATCH($C82,Personnes!$B$5:$B$154,0))&amp;"","")</f>
        <v/>
      </c>
      <c r="F82" s="15"/>
      <c r="G82" s="9"/>
      <c r="H82" s="10" t="str">
        <f>IF($B82="","",IF($C82="","apnéiste non reconnu",IF($A82="","séance non renseignée",IF(COUNTIFS($A$5:$A$504,$A82,$C$5:$C$504,$C82)&gt;1,"doublon séance / apnéiste",IF(OR($C82=IFERROR(INDEX('Calendrier'!$K$5:$K$5,MATCH($A82,'Calendrier'!$A$5:$A$5,0)),""),$C82=IFERROR(INDEX('Calendrier'!$O$5:$O$5,MATCH($A82,'Calendrier'!$A$5:$A$5,0)),"")),"encadrant et élève sur la même séance",IF(IFERROR(INDEX(Personnes!$H$5:$H$154,MATCH($C82,Personnes!$B$5:$B$154,0)),"")&lt;&gt;"oui","invité (hors ligne)","ok"))))))</f>
        <v/>
      </c>
    </row>
    <row r="83" spans="1:8" x14ac:dyDescent="0.2">
      <c r="A83" s="15"/>
      <c r="B83" s="15"/>
      <c r="C83" s="10" t="str">
        <f>IF($B83="","",IFERROR(IF(ISNUMBER(FIND("[",$B83)),MID($B83,FIND("[",$B83)+1,FIND("]",$B83)-FIND("[",$B83)-1),IF(ISNUMBER($B83),INDEX(Personnes!$B$5:$B$154,MATCH($B83,Personnes!$A$5:$A$154,0)),IFERROR(INDEX(Personnes!$B$5:$B$154,MATCH($B83&amp;"*",Personnes!$C$5:$C$154,0)),INDEX(Personnes!$B$5:$B$154,MATCH($B83&amp;"*",Personnes!$D$5:$D$154,0))))),""))</f>
        <v/>
      </c>
      <c r="D83" s="10" t="str">
        <f>IFERROR(INDEX(Personnes!$C$5:$C$154,MATCH($C83,Personnes!$B$5:$B$154,0))&amp;"","")</f>
        <v/>
      </c>
      <c r="E83" s="10" t="str">
        <f>IFERROR(INDEX(Personnes!$D$5:$D$154,MATCH($C83,Personnes!$B$5:$B$154,0))&amp;"","")</f>
        <v/>
      </c>
      <c r="F83" s="15"/>
      <c r="G83" s="9"/>
      <c r="H83" s="10" t="str">
        <f>IF($B83="","",IF($C83="","apnéiste non reconnu",IF($A83="","séance non renseignée",IF(COUNTIFS($A$5:$A$504,$A83,$C$5:$C$504,$C83)&gt;1,"doublon séance / apnéiste",IF(OR($C83=IFERROR(INDEX('Calendrier'!$K$5:$K$5,MATCH($A83,'Calendrier'!$A$5:$A$5,0)),""),$C83=IFERROR(INDEX('Calendrier'!$O$5:$O$5,MATCH($A83,'Calendrier'!$A$5:$A$5,0)),"")),"encadrant et élève sur la même séance",IF(IFERROR(INDEX(Personnes!$H$5:$H$154,MATCH($C83,Personnes!$B$5:$B$154,0)),"")&lt;&gt;"oui","invité (hors ligne)","ok"))))))</f>
        <v/>
      </c>
    </row>
    <row r="84" spans="1:8" x14ac:dyDescent="0.2">
      <c r="A84" s="15"/>
      <c r="B84" s="15"/>
      <c r="C84" s="10" t="str">
        <f>IF($B84="","",IFERROR(IF(ISNUMBER(FIND("[",$B84)),MID($B84,FIND("[",$B84)+1,FIND("]",$B84)-FIND("[",$B84)-1),IF(ISNUMBER($B84),INDEX(Personnes!$B$5:$B$154,MATCH($B84,Personnes!$A$5:$A$154,0)),IFERROR(INDEX(Personnes!$B$5:$B$154,MATCH($B84&amp;"*",Personnes!$C$5:$C$154,0)),INDEX(Personnes!$B$5:$B$154,MATCH($B84&amp;"*",Personnes!$D$5:$D$154,0))))),""))</f>
        <v/>
      </c>
      <c r="D84" s="10" t="str">
        <f>IFERROR(INDEX(Personnes!$C$5:$C$154,MATCH($C84,Personnes!$B$5:$B$154,0))&amp;"","")</f>
        <v/>
      </c>
      <c r="E84" s="10" t="str">
        <f>IFERROR(INDEX(Personnes!$D$5:$D$154,MATCH($C84,Personnes!$B$5:$B$154,0))&amp;"","")</f>
        <v/>
      </c>
      <c r="F84" s="15"/>
      <c r="G84" s="9"/>
      <c r="H84" s="10" t="str">
        <f>IF($B84="","",IF($C84="","apnéiste non reconnu",IF($A84="","séance non renseignée",IF(COUNTIFS($A$5:$A$504,$A84,$C$5:$C$504,$C84)&gt;1,"doublon séance / apnéiste",IF(OR($C84=IFERROR(INDEX('Calendrier'!$K$5:$K$5,MATCH($A84,'Calendrier'!$A$5:$A$5,0)),""),$C84=IFERROR(INDEX('Calendrier'!$O$5:$O$5,MATCH($A84,'Calendrier'!$A$5:$A$5,0)),"")),"encadrant et élève sur la même séance",IF(IFERROR(INDEX(Personnes!$H$5:$H$154,MATCH($C84,Personnes!$B$5:$B$154,0)),"")&lt;&gt;"oui","invité (hors ligne)","ok"))))))</f>
        <v/>
      </c>
    </row>
    <row r="85" spans="1:8" x14ac:dyDescent="0.2">
      <c r="A85" s="15"/>
      <c r="B85" s="15"/>
      <c r="C85" s="10" t="str">
        <f>IF($B85="","",IFERROR(IF(ISNUMBER(FIND("[",$B85)),MID($B85,FIND("[",$B85)+1,FIND("]",$B85)-FIND("[",$B85)-1),IF(ISNUMBER($B85),INDEX(Personnes!$B$5:$B$154,MATCH($B85,Personnes!$A$5:$A$154,0)),IFERROR(INDEX(Personnes!$B$5:$B$154,MATCH($B85&amp;"*",Personnes!$C$5:$C$154,0)),INDEX(Personnes!$B$5:$B$154,MATCH($B85&amp;"*",Personnes!$D$5:$D$154,0))))),""))</f>
        <v/>
      </c>
      <c r="D85" s="10" t="str">
        <f>IFERROR(INDEX(Personnes!$C$5:$C$154,MATCH($C85,Personnes!$B$5:$B$154,0))&amp;"","")</f>
        <v/>
      </c>
      <c r="E85" s="10" t="str">
        <f>IFERROR(INDEX(Personnes!$D$5:$D$154,MATCH($C85,Personnes!$B$5:$B$154,0))&amp;"","")</f>
        <v/>
      </c>
      <c r="F85" s="15"/>
      <c r="G85" s="9"/>
      <c r="H85" s="10" t="str">
        <f>IF($B85="","",IF($C85="","apnéiste non reconnu",IF($A85="","séance non renseignée",IF(COUNTIFS($A$5:$A$504,$A85,$C$5:$C$504,$C85)&gt;1,"doublon séance / apnéiste",IF(OR($C85=IFERROR(INDEX('Calendrier'!$K$5:$K$5,MATCH($A85,'Calendrier'!$A$5:$A$5,0)),""),$C85=IFERROR(INDEX('Calendrier'!$O$5:$O$5,MATCH($A85,'Calendrier'!$A$5:$A$5,0)),"")),"encadrant et élève sur la même séance",IF(IFERROR(INDEX(Personnes!$H$5:$H$154,MATCH($C85,Personnes!$B$5:$B$154,0)),"")&lt;&gt;"oui","invité (hors ligne)","ok"))))))</f>
        <v/>
      </c>
    </row>
    <row r="86" spans="1:8" x14ac:dyDescent="0.2">
      <c r="A86" s="15"/>
      <c r="B86" s="15"/>
      <c r="C86" s="10" t="str">
        <f>IF($B86="","",IFERROR(IF(ISNUMBER(FIND("[",$B86)),MID($B86,FIND("[",$B86)+1,FIND("]",$B86)-FIND("[",$B86)-1),IF(ISNUMBER($B86),INDEX(Personnes!$B$5:$B$154,MATCH($B86,Personnes!$A$5:$A$154,0)),IFERROR(INDEX(Personnes!$B$5:$B$154,MATCH($B86&amp;"*",Personnes!$C$5:$C$154,0)),INDEX(Personnes!$B$5:$B$154,MATCH($B86&amp;"*",Personnes!$D$5:$D$154,0))))),""))</f>
        <v/>
      </c>
      <c r="D86" s="10" t="str">
        <f>IFERROR(INDEX(Personnes!$C$5:$C$154,MATCH($C86,Personnes!$B$5:$B$154,0))&amp;"","")</f>
        <v/>
      </c>
      <c r="E86" s="10" t="str">
        <f>IFERROR(INDEX(Personnes!$D$5:$D$154,MATCH($C86,Personnes!$B$5:$B$154,0))&amp;"","")</f>
        <v/>
      </c>
      <c r="F86" s="15"/>
      <c r="G86" s="9"/>
      <c r="H86" s="10" t="str">
        <f>IF($B86="","",IF($C86="","apnéiste non reconnu",IF($A86="","séance non renseignée",IF(COUNTIFS($A$5:$A$504,$A86,$C$5:$C$504,$C86)&gt;1,"doublon séance / apnéiste",IF(OR($C86=IFERROR(INDEX('Calendrier'!$K$5:$K$5,MATCH($A86,'Calendrier'!$A$5:$A$5,0)),""),$C86=IFERROR(INDEX('Calendrier'!$O$5:$O$5,MATCH($A86,'Calendrier'!$A$5:$A$5,0)),"")),"encadrant et élève sur la même séance",IF(IFERROR(INDEX(Personnes!$H$5:$H$154,MATCH($C86,Personnes!$B$5:$B$154,0)),"")&lt;&gt;"oui","invité (hors ligne)","ok"))))))</f>
        <v/>
      </c>
    </row>
    <row r="87" spans="1:8" x14ac:dyDescent="0.2">
      <c r="A87" s="15"/>
      <c r="B87" s="15"/>
      <c r="C87" s="10" t="str">
        <f>IF($B87="","",IFERROR(IF(ISNUMBER(FIND("[",$B87)),MID($B87,FIND("[",$B87)+1,FIND("]",$B87)-FIND("[",$B87)-1),IF(ISNUMBER($B87),INDEX(Personnes!$B$5:$B$154,MATCH($B87,Personnes!$A$5:$A$154,0)),IFERROR(INDEX(Personnes!$B$5:$B$154,MATCH($B87&amp;"*",Personnes!$C$5:$C$154,0)),INDEX(Personnes!$B$5:$B$154,MATCH($B87&amp;"*",Personnes!$D$5:$D$154,0))))),""))</f>
        <v/>
      </c>
      <c r="D87" s="10" t="str">
        <f>IFERROR(INDEX(Personnes!$C$5:$C$154,MATCH($C87,Personnes!$B$5:$B$154,0))&amp;"","")</f>
        <v/>
      </c>
      <c r="E87" s="10" t="str">
        <f>IFERROR(INDEX(Personnes!$D$5:$D$154,MATCH($C87,Personnes!$B$5:$B$154,0))&amp;"","")</f>
        <v/>
      </c>
      <c r="F87" s="15"/>
      <c r="G87" s="9"/>
      <c r="H87" s="10" t="str">
        <f>IF($B87="","",IF($C87="","apnéiste non reconnu",IF($A87="","séance non renseignée",IF(COUNTIFS($A$5:$A$504,$A87,$C$5:$C$504,$C87)&gt;1,"doublon séance / apnéiste",IF(OR($C87=IFERROR(INDEX('Calendrier'!$K$5:$K$5,MATCH($A87,'Calendrier'!$A$5:$A$5,0)),""),$C87=IFERROR(INDEX('Calendrier'!$O$5:$O$5,MATCH($A87,'Calendrier'!$A$5:$A$5,0)),"")),"encadrant et élève sur la même séance",IF(IFERROR(INDEX(Personnes!$H$5:$H$154,MATCH($C87,Personnes!$B$5:$B$154,0)),"")&lt;&gt;"oui","invité (hors ligne)","ok"))))))</f>
        <v/>
      </c>
    </row>
    <row r="88" spans="1:8" x14ac:dyDescent="0.2">
      <c r="A88" s="15"/>
      <c r="B88" s="15"/>
      <c r="C88" s="10" t="str">
        <f>IF($B88="","",IFERROR(IF(ISNUMBER(FIND("[",$B88)),MID($B88,FIND("[",$B88)+1,FIND("]",$B88)-FIND("[",$B88)-1),IF(ISNUMBER($B88),INDEX(Personnes!$B$5:$B$154,MATCH($B88,Personnes!$A$5:$A$154,0)),IFERROR(INDEX(Personnes!$B$5:$B$154,MATCH($B88&amp;"*",Personnes!$C$5:$C$154,0)),INDEX(Personnes!$B$5:$B$154,MATCH($B88&amp;"*",Personnes!$D$5:$D$154,0))))),""))</f>
        <v/>
      </c>
      <c r="D88" s="10" t="str">
        <f>IFERROR(INDEX(Personnes!$C$5:$C$154,MATCH($C88,Personnes!$B$5:$B$154,0))&amp;"","")</f>
        <v/>
      </c>
      <c r="E88" s="10" t="str">
        <f>IFERROR(INDEX(Personnes!$D$5:$D$154,MATCH($C88,Personnes!$B$5:$B$154,0))&amp;"","")</f>
        <v/>
      </c>
      <c r="F88" s="15"/>
      <c r="G88" s="9"/>
      <c r="H88" s="10" t="str">
        <f>IF($B88="","",IF($C88="","apnéiste non reconnu",IF($A88="","séance non renseignée",IF(COUNTIFS($A$5:$A$504,$A88,$C$5:$C$504,$C88)&gt;1,"doublon séance / apnéiste",IF(OR($C88=IFERROR(INDEX('Calendrier'!$K$5:$K$5,MATCH($A88,'Calendrier'!$A$5:$A$5,0)),""),$C88=IFERROR(INDEX('Calendrier'!$O$5:$O$5,MATCH($A88,'Calendrier'!$A$5:$A$5,0)),"")),"encadrant et élève sur la même séance",IF(IFERROR(INDEX(Personnes!$H$5:$H$154,MATCH($C88,Personnes!$B$5:$B$154,0)),"")&lt;&gt;"oui","invité (hors ligne)","ok"))))))</f>
        <v/>
      </c>
    </row>
    <row r="89" spans="1:8" x14ac:dyDescent="0.2">
      <c r="A89" s="15"/>
      <c r="B89" s="15"/>
      <c r="C89" s="10" t="str">
        <f>IF($B89="","",IFERROR(IF(ISNUMBER(FIND("[",$B89)),MID($B89,FIND("[",$B89)+1,FIND("]",$B89)-FIND("[",$B89)-1),IF(ISNUMBER($B89),INDEX(Personnes!$B$5:$B$154,MATCH($B89,Personnes!$A$5:$A$154,0)),IFERROR(INDEX(Personnes!$B$5:$B$154,MATCH($B89&amp;"*",Personnes!$C$5:$C$154,0)),INDEX(Personnes!$B$5:$B$154,MATCH($B89&amp;"*",Personnes!$D$5:$D$154,0))))),""))</f>
        <v/>
      </c>
      <c r="D89" s="10" t="str">
        <f>IFERROR(INDEX(Personnes!$C$5:$C$154,MATCH($C89,Personnes!$B$5:$B$154,0))&amp;"","")</f>
        <v/>
      </c>
      <c r="E89" s="10" t="str">
        <f>IFERROR(INDEX(Personnes!$D$5:$D$154,MATCH($C89,Personnes!$B$5:$B$154,0))&amp;"","")</f>
        <v/>
      </c>
      <c r="F89" s="15"/>
      <c r="G89" s="9"/>
      <c r="H89" s="10" t="str">
        <f>IF($B89="","",IF($C89="","apnéiste non reconnu",IF($A89="","séance non renseignée",IF(COUNTIFS($A$5:$A$504,$A89,$C$5:$C$504,$C89)&gt;1,"doublon séance / apnéiste",IF(OR($C89=IFERROR(INDEX('Calendrier'!$K$5:$K$5,MATCH($A89,'Calendrier'!$A$5:$A$5,0)),""),$C89=IFERROR(INDEX('Calendrier'!$O$5:$O$5,MATCH($A89,'Calendrier'!$A$5:$A$5,0)),"")),"encadrant et élève sur la même séance",IF(IFERROR(INDEX(Personnes!$H$5:$H$154,MATCH($C89,Personnes!$B$5:$B$154,0)),"")&lt;&gt;"oui","invité (hors ligne)","ok"))))))</f>
        <v/>
      </c>
    </row>
    <row r="90" spans="1:8" x14ac:dyDescent="0.2">
      <c r="A90" s="15"/>
      <c r="B90" s="15"/>
      <c r="C90" s="10" t="str">
        <f>IF($B90="","",IFERROR(IF(ISNUMBER(FIND("[",$B90)),MID($B90,FIND("[",$B90)+1,FIND("]",$B90)-FIND("[",$B90)-1),IF(ISNUMBER($B90),INDEX(Personnes!$B$5:$B$154,MATCH($B90,Personnes!$A$5:$A$154,0)),IFERROR(INDEX(Personnes!$B$5:$B$154,MATCH($B90&amp;"*",Personnes!$C$5:$C$154,0)),INDEX(Personnes!$B$5:$B$154,MATCH($B90&amp;"*",Personnes!$D$5:$D$154,0))))),""))</f>
        <v/>
      </c>
      <c r="D90" s="10" t="str">
        <f>IFERROR(INDEX(Personnes!$C$5:$C$154,MATCH($C90,Personnes!$B$5:$B$154,0))&amp;"","")</f>
        <v/>
      </c>
      <c r="E90" s="10" t="str">
        <f>IFERROR(INDEX(Personnes!$D$5:$D$154,MATCH($C90,Personnes!$B$5:$B$154,0))&amp;"","")</f>
        <v/>
      </c>
      <c r="F90" s="15"/>
      <c r="G90" s="9"/>
      <c r="H90" s="10" t="str">
        <f>IF($B90="","",IF($C90="","apnéiste non reconnu",IF($A90="","séance non renseignée",IF(COUNTIFS($A$5:$A$504,$A90,$C$5:$C$504,$C90)&gt;1,"doublon séance / apnéiste",IF(OR($C90=IFERROR(INDEX('Calendrier'!$K$5:$K$5,MATCH($A90,'Calendrier'!$A$5:$A$5,0)),""),$C90=IFERROR(INDEX('Calendrier'!$O$5:$O$5,MATCH($A90,'Calendrier'!$A$5:$A$5,0)),"")),"encadrant et élève sur la même séance",IF(IFERROR(INDEX(Personnes!$H$5:$H$154,MATCH($C90,Personnes!$B$5:$B$154,0)),"")&lt;&gt;"oui","invité (hors ligne)","ok"))))))</f>
        <v/>
      </c>
    </row>
    <row r="91" spans="1:8" x14ac:dyDescent="0.2">
      <c r="A91" s="15"/>
      <c r="B91" s="15"/>
      <c r="C91" s="10" t="str">
        <f>IF($B91="","",IFERROR(IF(ISNUMBER(FIND("[",$B91)),MID($B91,FIND("[",$B91)+1,FIND("]",$B91)-FIND("[",$B91)-1),IF(ISNUMBER($B91),INDEX(Personnes!$B$5:$B$154,MATCH($B91,Personnes!$A$5:$A$154,0)),IFERROR(INDEX(Personnes!$B$5:$B$154,MATCH($B91&amp;"*",Personnes!$C$5:$C$154,0)),INDEX(Personnes!$B$5:$B$154,MATCH($B91&amp;"*",Personnes!$D$5:$D$154,0))))),""))</f>
        <v/>
      </c>
      <c r="D91" s="10" t="str">
        <f>IFERROR(INDEX(Personnes!$C$5:$C$154,MATCH($C91,Personnes!$B$5:$B$154,0))&amp;"","")</f>
        <v/>
      </c>
      <c r="E91" s="10" t="str">
        <f>IFERROR(INDEX(Personnes!$D$5:$D$154,MATCH($C91,Personnes!$B$5:$B$154,0))&amp;"","")</f>
        <v/>
      </c>
      <c r="F91" s="15"/>
      <c r="G91" s="9"/>
      <c r="H91" s="10" t="str">
        <f>IF($B91="","",IF($C91="","apnéiste non reconnu",IF($A91="","séance non renseignée",IF(COUNTIFS($A$5:$A$504,$A91,$C$5:$C$504,$C91)&gt;1,"doublon séance / apnéiste",IF(OR($C91=IFERROR(INDEX('Calendrier'!$K$5:$K$5,MATCH($A91,'Calendrier'!$A$5:$A$5,0)),""),$C91=IFERROR(INDEX('Calendrier'!$O$5:$O$5,MATCH($A91,'Calendrier'!$A$5:$A$5,0)),"")),"encadrant et élève sur la même séance",IF(IFERROR(INDEX(Personnes!$H$5:$H$154,MATCH($C91,Personnes!$B$5:$B$154,0)),"")&lt;&gt;"oui","invité (hors ligne)","ok"))))))</f>
        <v/>
      </c>
    </row>
    <row r="92" spans="1:8" x14ac:dyDescent="0.2">
      <c r="A92" s="15"/>
      <c r="B92" s="15"/>
      <c r="C92" s="10" t="str">
        <f>IF($B92="","",IFERROR(IF(ISNUMBER(FIND("[",$B92)),MID($B92,FIND("[",$B92)+1,FIND("]",$B92)-FIND("[",$B92)-1),IF(ISNUMBER($B92),INDEX(Personnes!$B$5:$B$154,MATCH($B92,Personnes!$A$5:$A$154,0)),IFERROR(INDEX(Personnes!$B$5:$B$154,MATCH($B92&amp;"*",Personnes!$C$5:$C$154,0)),INDEX(Personnes!$B$5:$B$154,MATCH($B92&amp;"*",Personnes!$D$5:$D$154,0))))),""))</f>
        <v/>
      </c>
      <c r="D92" s="10" t="str">
        <f>IFERROR(INDEX(Personnes!$C$5:$C$154,MATCH($C92,Personnes!$B$5:$B$154,0))&amp;"","")</f>
        <v/>
      </c>
      <c r="E92" s="10" t="str">
        <f>IFERROR(INDEX(Personnes!$D$5:$D$154,MATCH($C92,Personnes!$B$5:$B$154,0))&amp;"","")</f>
        <v/>
      </c>
      <c r="F92" s="15"/>
      <c r="G92" s="9"/>
      <c r="H92" s="10" t="str">
        <f>IF($B92="","",IF($C92="","apnéiste non reconnu",IF($A92="","séance non renseignée",IF(COUNTIFS($A$5:$A$504,$A92,$C$5:$C$504,$C92)&gt;1,"doublon séance / apnéiste",IF(OR($C92=IFERROR(INDEX('Calendrier'!$K$5:$K$5,MATCH($A92,'Calendrier'!$A$5:$A$5,0)),""),$C92=IFERROR(INDEX('Calendrier'!$O$5:$O$5,MATCH($A92,'Calendrier'!$A$5:$A$5,0)),"")),"encadrant et élève sur la même séance",IF(IFERROR(INDEX(Personnes!$H$5:$H$154,MATCH($C92,Personnes!$B$5:$B$154,0)),"")&lt;&gt;"oui","invité (hors ligne)","ok"))))))</f>
        <v/>
      </c>
    </row>
    <row r="93" spans="1:8" x14ac:dyDescent="0.2">
      <c r="A93" s="15"/>
      <c r="B93" s="15"/>
      <c r="C93" s="10" t="str">
        <f>IF($B93="","",IFERROR(IF(ISNUMBER(FIND("[",$B93)),MID($B93,FIND("[",$B93)+1,FIND("]",$B93)-FIND("[",$B93)-1),IF(ISNUMBER($B93),INDEX(Personnes!$B$5:$B$154,MATCH($B93,Personnes!$A$5:$A$154,0)),IFERROR(INDEX(Personnes!$B$5:$B$154,MATCH($B93&amp;"*",Personnes!$C$5:$C$154,0)),INDEX(Personnes!$B$5:$B$154,MATCH($B93&amp;"*",Personnes!$D$5:$D$154,0))))),""))</f>
        <v/>
      </c>
      <c r="D93" s="10" t="str">
        <f>IFERROR(INDEX(Personnes!$C$5:$C$154,MATCH($C93,Personnes!$B$5:$B$154,0))&amp;"","")</f>
        <v/>
      </c>
      <c r="E93" s="10" t="str">
        <f>IFERROR(INDEX(Personnes!$D$5:$D$154,MATCH($C93,Personnes!$B$5:$B$154,0))&amp;"","")</f>
        <v/>
      </c>
      <c r="F93" s="15"/>
      <c r="G93" s="9"/>
      <c r="H93" s="10" t="str">
        <f>IF($B93="","",IF($C93="","apnéiste non reconnu",IF($A93="","séance non renseignée",IF(COUNTIFS($A$5:$A$504,$A93,$C$5:$C$504,$C93)&gt;1,"doublon séance / apnéiste",IF(OR($C93=IFERROR(INDEX('Calendrier'!$K$5:$K$5,MATCH($A93,'Calendrier'!$A$5:$A$5,0)),""),$C93=IFERROR(INDEX('Calendrier'!$O$5:$O$5,MATCH($A93,'Calendrier'!$A$5:$A$5,0)),"")),"encadrant et élève sur la même séance",IF(IFERROR(INDEX(Personnes!$H$5:$H$154,MATCH($C93,Personnes!$B$5:$B$154,0)),"")&lt;&gt;"oui","invité (hors ligne)","ok"))))))</f>
        <v/>
      </c>
    </row>
    <row r="94" spans="1:8" x14ac:dyDescent="0.2">
      <c r="A94" s="15"/>
      <c r="B94" s="15"/>
      <c r="C94" s="10" t="str">
        <f>IF($B94="","",IFERROR(IF(ISNUMBER(FIND("[",$B94)),MID($B94,FIND("[",$B94)+1,FIND("]",$B94)-FIND("[",$B94)-1),IF(ISNUMBER($B94),INDEX(Personnes!$B$5:$B$154,MATCH($B94,Personnes!$A$5:$A$154,0)),IFERROR(INDEX(Personnes!$B$5:$B$154,MATCH($B94&amp;"*",Personnes!$C$5:$C$154,0)),INDEX(Personnes!$B$5:$B$154,MATCH($B94&amp;"*",Personnes!$D$5:$D$154,0))))),""))</f>
        <v/>
      </c>
      <c r="D94" s="10" t="str">
        <f>IFERROR(INDEX(Personnes!$C$5:$C$154,MATCH($C94,Personnes!$B$5:$B$154,0))&amp;"","")</f>
        <v/>
      </c>
      <c r="E94" s="10" t="str">
        <f>IFERROR(INDEX(Personnes!$D$5:$D$154,MATCH($C94,Personnes!$B$5:$B$154,0))&amp;"","")</f>
        <v/>
      </c>
      <c r="F94" s="15"/>
      <c r="G94" s="9"/>
      <c r="H94" s="10" t="str">
        <f>IF($B94="","",IF($C94="","apnéiste non reconnu",IF($A94="","séance non renseignée",IF(COUNTIFS($A$5:$A$504,$A94,$C$5:$C$504,$C94)&gt;1,"doublon séance / apnéiste",IF(OR($C94=IFERROR(INDEX('Calendrier'!$K$5:$K$5,MATCH($A94,'Calendrier'!$A$5:$A$5,0)),""),$C94=IFERROR(INDEX('Calendrier'!$O$5:$O$5,MATCH($A94,'Calendrier'!$A$5:$A$5,0)),"")),"encadrant et élève sur la même séance",IF(IFERROR(INDEX(Personnes!$H$5:$H$154,MATCH($C94,Personnes!$B$5:$B$154,0)),"")&lt;&gt;"oui","invité (hors ligne)","ok"))))))</f>
        <v/>
      </c>
    </row>
    <row r="95" spans="1:8" x14ac:dyDescent="0.2">
      <c r="A95" s="15"/>
      <c r="B95" s="15"/>
      <c r="C95" s="10" t="str">
        <f>IF($B95="","",IFERROR(IF(ISNUMBER(FIND("[",$B95)),MID($B95,FIND("[",$B95)+1,FIND("]",$B95)-FIND("[",$B95)-1),IF(ISNUMBER($B95),INDEX(Personnes!$B$5:$B$154,MATCH($B95,Personnes!$A$5:$A$154,0)),IFERROR(INDEX(Personnes!$B$5:$B$154,MATCH($B95&amp;"*",Personnes!$C$5:$C$154,0)),INDEX(Personnes!$B$5:$B$154,MATCH($B95&amp;"*",Personnes!$D$5:$D$154,0))))),""))</f>
        <v/>
      </c>
      <c r="D95" s="10" t="str">
        <f>IFERROR(INDEX(Personnes!$C$5:$C$154,MATCH($C95,Personnes!$B$5:$B$154,0))&amp;"","")</f>
        <v/>
      </c>
      <c r="E95" s="10" t="str">
        <f>IFERROR(INDEX(Personnes!$D$5:$D$154,MATCH($C95,Personnes!$B$5:$B$154,0))&amp;"","")</f>
        <v/>
      </c>
      <c r="F95" s="15"/>
      <c r="G95" s="9"/>
      <c r="H95" s="10" t="str">
        <f>IF($B95="","",IF($C95="","apnéiste non reconnu",IF($A95="","séance non renseignée",IF(COUNTIFS($A$5:$A$504,$A95,$C$5:$C$504,$C95)&gt;1,"doublon séance / apnéiste",IF(OR($C95=IFERROR(INDEX('Calendrier'!$K$5:$K$5,MATCH($A95,'Calendrier'!$A$5:$A$5,0)),""),$C95=IFERROR(INDEX('Calendrier'!$O$5:$O$5,MATCH($A95,'Calendrier'!$A$5:$A$5,0)),"")),"encadrant et élève sur la même séance",IF(IFERROR(INDEX(Personnes!$H$5:$H$154,MATCH($C95,Personnes!$B$5:$B$154,0)),"")&lt;&gt;"oui","invité (hors ligne)","ok"))))))</f>
        <v/>
      </c>
    </row>
    <row r="96" spans="1:8" x14ac:dyDescent="0.2">
      <c r="A96" s="15"/>
      <c r="B96" s="15"/>
      <c r="C96" s="10" t="str">
        <f>IF($B96="","",IFERROR(IF(ISNUMBER(FIND("[",$B96)),MID($B96,FIND("[",$B96)+1,FIND("]",$B96)-FIND("[",$B96)-1),IF(ISNUMBER($B96),INDEX(Personnes!$B$5:$B$154,MATCH($B96,Personnes!$A$5:$A$154,0)),IFERROR(INDEX(Personnes!$B$5:$B$154,MATCH($B96&amp;"*",Personnes!$C$5:$C$154,0)),INDEX(Personnes!$B$5:$B$154,MATCH($B96&amp;"*",Personnes!$D$5:$D$154,0))))),""))</f>
        <v/>
      </c>
      <c r="D96" s="10" t="str">
        <f>IFERROR(INDEX(Personnes!$C$5:$C$154,MATCH($C96,Personnes!$B$5:$B$154,0))&amp;"","")</f>
        <v/>
      </c>
      <c r="E96" s="10" t="str">
        <f>IFERROR(INDEX(Personnes!$D$5:$D$154,MATCH($C96,Personnes!$B$5:$B$154,0))&amp;"","")</f>
        <v/>
      </c>
      <c r="F96" s="15"/>
      <c r="G96" s="9"/>
      <c r="H96" s="10" t="str">
        <f>IF($B96="","",IF($C96="","apnéiste non reconnu",IF($A96="","séance non renseignée",IF(COUNTIFS($A$5:$A$504,$A96,$C$5:$C$504,$C96)&gt;1,"doublon séance / apnéiste",IF(OR($C96=IFERROR(INDEX('Calendrier'!$K$5:$K$5,MATCH($A96,'Calendrier'!$A$5:$A$5,0)),""),$C96=IFERROR(INDEX('Calendrier'!$O$5:$O$5,MATCH($A96,'Calendrier'!$A$5:$A$5,0)),"")),"encadrant et élève sur la même séance",IF(IFERROR(INDEX(Personnes!$H$5:$H$154,MATCH($C96,Personnes!$B$5:$B$154,0)),"")&lt;&gt;"oui","invité (hors ligne)","ok"))))))</f>
        <v/>
      </c>
    </row>
    <row r="97" spans="1:8" x14ac:dyDescent="0.2">
      <c r="A97" s="15"/>
      <c r="B97" s="15"/>
      <c r="C97" s="10" t="str">
        <f>IF($B97="","",IFERROR(IF(ISNUMBER(FIND("[",$B97)),MID($B97,FIND("[",$B97)+1,FIND("]",$B97)-FIND("[",$B97)-1),IF(ISNUMBER($B97),INDEX(Personnes!$B$5:$B$154,MATCH($B97,Personnes!$A$5:$A$154,0)),IFERROR(INDEX(Personnes!$B$5:$B$154,MATCH($B97&amp;"*",Personnes!$C$5:$C$154,0)),INDEX(Personnes!$B$5:$B$154,MATCH($B97&amp;"*",Personnes!$D$5:$D$154,0))))),""))</f>
        <v/>
      </c>
      <c r="D97" s="10" t="str">
        <f>IFERROR(INDEX(Personnes!$C$5:$C$154,MATCH($C97,Personnes!$B$5:$B$154,0))&amp;"","")</f>
        <v/>
      </c>
      <c r="E97" s="10" t="str">
        <f>IFERROR(INDEX(Personnes!$D$5:$D$154,MATCH($C97,Personnes!$B$5:$B$154,0))&amp;"","")</f>
        <v/>
      </c>
      <c r="F97" s="15"/>
      <c r="G97" s="9"/>
      <c r="H97" s="10" t="str">
        <f>IF($B97="","",IF($C97="","apnéiste non reconnu",IF($A97="","séance non renseignée",IF(COUNTIFS($A$5:$A$504,$A97,$C$5:$C$504,$C97)&gt;1,"doublon séance / apnéiste",IF(OR($C97=IFERROR(INDEX('Calendrier'!$K$5:$K$5,MATCH($A97,'Calendrier'!$A$5:$A$5,0)),""),$C97=IFERROR(INDEX('Calendrier'!$O$5:$O$5,MATCH($A97,'Calendrier'!$A$5:$A$5,0)),"")),"encadrant et élève sur la même séance",IF(IFERROR(INDEX(Personnes!$H$5:$H$154,MATCH($C97,Personnes!$B$5:$B$154,0)),"")&lt;&gt;"oui","invité (hors ligne)","ok"))))))</f>
        <v/>
      </c>
    </row>
    <row r="98" spans="1:8" x14ac:dyDescent="0.2">
      <c r="A98" s="15"/>
      <c r="B98" s="15"/>
      <c r="C98" s="10" t="str">
        <f>IF($B98="","",IFERROR(IF(ISNUMBER(FIND("[",$B98)),MID($B98,FIND("[",$B98)+1,FIND("]",$B98)-FIND("[",$B98)-1),IF(ISNUMBER($B98),INDEX(Personnes!$B$5:$B$154,MATCH($B98,Personnes!$A$5:$A$154,0)),IFERROR(INDEX(Personnes!$B$5:$B$154,MATCH($B98&amp;"*",Personnes!$C$5:$C$154,0)),INDEX(Personnes!$B$5:$B$154,MATCH($B98&amp;"*",Personnes!$D$5:$D$154,0))))),""))</f>
        <v/>
      </c>
      <c r="D98" s="10" t="str">
        <f>IFERROR(INDEX(Personnes!$C$5:$C$154,MATCH($C98,Personnes!$B$5:$B$154,0))&amp;"","")</f>
        <v/>
      </c>
      <c r="E98" s="10" t="str">
        <f>IFERROR(INDEX(Personnes!$D$5:$D$154,MATCH($C98,Personnes!$B$5:$B$154,0))&amp;"","")</f>
        <v/>
      </c>
      <c r="F98" s="15"/>
      <c r="G98" s="9"/>
      <c r="H98" s="10" t="str">
        <f>IF($B98="","",IF($C98="","apnéiste non reconnu",IF($A98="","séance non renseignée",IF(COUNTIFS($A$5:$A$504,$A98,$C$5:$C$504,$C98)&gt;1,"doublon séance / apnéiste",IF(OR($C98=IFERROR(INDEX('Calendrier'!$K$5:$K$5,MATCH($A98,'Calendrier'!$A$5:$A$5,0)),""),$C98=IFERROR(INDEX('Calendrier'!$O$5:$O$5,MATCH($A98,'Calendrier'!$A$5:$A$5,0)),"")),"encadrant et élève sur la même séance",IF(IFERROR(INDEX(Personnes!$H$5:$H$154,MATCH($C98,Personnes!$B$5:$B$154,0)),"")&lt;&gt;"oui","invité (hors ligne)","ok"))))))</f>
        <v/>
      </c>
    </row>
    <row r="99" spans="1:8" x14ac:dyDescent="0.2">
      <c r="A99" s="15"/>
      <c r="B99" s="15"/>
      <c r="C99" s="10" t="str">
        <f>IF($B99="","",IFERROR(IF(ISNUMBER(FIND("[",$B99)),MID($B99,FIND("[",$B99)+1,FIND("]",$B99)-FIND("[",$B99)-1),IF(ISNUMBER($B99),INDEX(Personnes!$B$5:$B$154,MATCH($B99,Personnes!$A$5:$A$154,0)),IFERROR(INDEX(Personnes!$B$5:$B$154,MATCH($B99&amp;"*",Personnes!$C$5:$C$154,0)),INDEX(Personnes!$B$5:$B$154,MATCH($B99&amp;"*",Personnes!$D$5:$D$154,0))))),""))</f>
        <v/>
      </c>
      <c r="D99" s="10" t="str">
        <f>IFERROR(INDEX(Personnes!$C$5:$C$154,MATCH($C99,Personnes!$B$5:$B$154,0))&amp;"","")</f>
        <v/>
      </c>
      <c r="E99" s="10" t="str">
        <f>IFERROR(INDEX(Personnes!$D$5:$D$154,MATCH($C99,Personnes!$B$5:$B$154,0))&amp;"","")</f>
        <v/>
      </c>
      <c r="F99" s="15"/>
      <c r="G99" s="9"/>
      <c r="H99" s="10" t="str">
        <f>IF($B99="","",IF($C99="","apnéiste non reconnu",IF($A99="","séance non renseignée",IF(COUNTIFS($A$5:$A$504,$A99,$C$5:$C$504,$C99)&gt;1,"doublon séance / apnéiste",IF(OR($C99=IFERROR(INDEX('Calendrier'!$K$5:$K$5,MATCH($A99,'Calendrier'!$A$5:$A$5,0)),""),$C99=IFERROR(INDEX('Calendrier'!$O$5:$O$5,MATCH($A99,'Calendrier'!$A$5:$A$5,0)),"")),"encadrant et élève sur la même séance",IF(IFERROR(INDEX(Personnes!$H$5:$H$154,MATCH($C99,Personnes!$B$5:$B$154,0)),"")&lt;&gt;"oui","invité (hors ligne)","ok"))))))</f>
        <v/>
      </c>
    </row>
    <row r="100" spans="1:8" x14ac:dyDescent="0.2">
      <c r="A100" s="15"/>
      <c r="B100" s="15"/>
      <c r="C100" s="10" t="str">
        <f>IF($B100="","",IFERROR(IF(ISNUMBER(FIND("[",$B100)),MID($B100,FIND("[",$B100)+1,FIND("]",$B100)-FIND("[",$B100)-1),IF(ISNUMBER($B100),INDEX(Personnes!$B$5:$B$154,MATCH($B100,Personnes!$A$5:$A$154,0)),IFERROR(INDEX(Personnes!$B$5:$B$154,MATCH($B100&amp;"*",Personnes!$C$5:$C$154,0)),INDEX(Personnes!$B$5:$B$154,MATCH($B100&amp;"*",Personnes!$D$5:$D$154,0))))),""))</f>
        <v/>
      </c>
      <c r="D100" s="10" t="str">
        <f>IFERROR(INDEX(Personnes!$C$5:$C$154,MATCH($C100,Personnes!$B$5:$B$154,0))&amp;"","")</f>
        <v/>
      </c>
      <c r="E100" s="10" t="str">
        <f>IFERROR(INDEX(Personnes!$D$5:$D$154,MATCH($C100,Personnes!$B$5:$B$154,0))&amp;"","")</f>
        <v/>
      </c>
      <c r="F100" s="15"/>
      <c r="G100" s="9"/>
      <c r="H100" s="10" t="str">
        <f>IF($B100="","",IF($C100="","apnéiste non reconnu",IF($A100="","séance non renseignée",IF(COUNTIFS($A$5:$A$504,$A100,$C$5:$C$504,$C100)&gt;1,"doublon séance / apnéiste",IF(OR($C100=IFERROR(INDEX('Calendrier'!$K$5:$K$5,MATCH($A100,'Calendrier'!$A$5:$A$5,0)),""),$C100=IFERROR(INDEX('Calendrier'!$O$5:$O$5,MATCH($A100,'Calendrier'!$A$5:$A$5,0)),"")),"encadrant et élève sur la même séance",IF(IFERROR(INDEX(Personnes!$H$5:$H$154,MATCH($C100,Personnes!$B$5:$B$154,0)),"")&lt;&gt;"oui","invité (hors ligne)","ok"))))))</f>
        <v/>
      </c>
    </row>
    <row r="101" spans="1:8" x14ac:dyDescent="0.2">
      <c r="A101" s="15"/>
      <c r="B101" s="15"/>
      <c r="C101" s="10" t="str">
        <f>IF($B101="","",IFERROR(IF(ISNUMBER(FIND("[",$B101)),MID($B101,FIND("[",$B101)+1,FIND("]",$B101)-FIND("[",$B101)-1),IF(ISNUMBER($B101),INDEX(Personnes!$B$5:$B$154,MATCH($B101,Personnes!$A$5:$A$154,0)),IFERROR(INDEX(Personnes!$B$5:$B$154,MATCH($B101&amp;"*",Personnes!$C$5:$C$154,0)),INDEX(Personnes!$B$5:$B$154,MATCH($B101&amp;"*",Personnes!$D$5:$D$154,0))))),""))</f>
        <v/>
      </c>
      <c r="D101" s="10" t="str">
        <f>IFERROR(INDEX(Personnes!$C$5:$C$154,MATCH($C101,Personnes!$B$5:$B$154,0))&amp;"","")</f>
        <v/>
      </c>
      <c r="E101" s="10" t="str">
        <f>IFERROR(INDEX(Personnes!$D$5:$D$154,MATCH($C101,Personnes!$B$5:$B$154,0))&amp;"","")</f>
        <v/>
      </c>
      <c r="F101" s="15"/>
      <c r="G101" s="9"/>
      <c r="H101" s="10" t="str">
        <f>IF($B101="","",IF($C101="","apnéiste non reconnu",IF($A101="","séance non renseignée",IF(COUNTIFS($A$5:$A$504,$A101,$C$5:$C$504,$C101)&gt;1,"doublon séance / apnéiste",IF(OR($C101=IFERROR(INDEX('Calendrier'!$K$5:$K$5,MATCH($A101,'Calendrier'!$A$5:$A$5,0)),""),$C101=IFERROR(INDEX('Calendrier'!$O$5:$O$5,MATCH($A101,'Calendrier'!$A$5:$A$5,0)),"")),"encadrant et élève sur la même séance",IF(IFERROR(INDEX(Personnes!$H$5:$H$154,MATCH($C101,Personnes!$B$5:$B$154,0)),"")&lt;&gt;"oui","invité (hors ligne)","ok"))))))</f>
        <v/>
      </c>
    </row>
    <row r="102" spans="1:8" x14ac:dyDescent="0.2">
      <c r="A102" s="15"/>
      <c r="B102" s="15"/>
      <c r="C102" s="10" t="str">
        <f>IF($B102="","",IFERROR(IF(ISNUMBER(FIND("[",$B102)),MID($B102,FIND("[",$B102)+1,FIND("]",$B102)-FIND("[",$B102)-1),IF(ISNUMBER($B102),INDEX(Personnes!$B$5:$B$154,MATCH($B102,Personnes!$A$5:$A$154,0)),IFERROR(INDEX(Personnes!$B$5:$B$154,MATCH($B102&amp;"*",Personnes!$C$5:$C$154,0)),INDEX(Personnes!$B$5:$B$154,MATCH($B102&amp;"*",Personnes!$D$5:$D$154,0))))),""))</f>
        <v/>
      </c>
      <c r="D102" s="10" t="str">
        <f>IFERROR(INDEX(Personnes!$C$5:$C$154,MATCH($C102,Personnes!$B$5:$B$154,0))&amp;"","")</f>
        <v/>
      </c>
      <c r="E102" s="10" t="str">
        <f>IFERROR(INDEX(Personnes!$D$5:$D$154,MATCH($C102,Personnes!$B$5:$B$154,0))&amp;"","")</f>
        <v/>
      </c>
      <c r="F102" s="15"/>
      <c r="G102" s="9"/>
      <c r="H102" s="10" t="str">
        <f>IF($B102="","",IF($C102="","apnéiste non reconnu",IF($A102="","séance non renseignée",IF(COUNTIFS($A$5:$A$504,$A102,$C$5:$C$504,$C102)&gt;1,"doublon séance / apnéiste",IF(OR($C102=IFERROR(INDEX('Calendrier'!$K$5:$K$5,MATCH($A102,'Calendrier'!$A$5:$A$5,0)),""),$C102=IFERROR(INDEX('Calendrier'!$O$5:$O$5,MATCH($A102,'Calendrier'!$A$5:$A$5,0)),"")),"encadrant et élève sur la même séance",IF(IFERROR(INDEX(Personnes!$H$5:$H$154,MATCH($C102,Personnes!$B$5:$B$154,0)),"")&lt;&gt;"oui","invité (hors ligne)","ok"))))))</f>
        <v/>
      </c>
    </row>
    <row r="103" spans="1:8" x14ac:dyDescent="0.2">
      <c r="A103" s="15"/>
      <c r="B103" s="15"/>
      <c r="C103" s="10" t="str">
        <f>IF($B103="","",IFERROR(IF(ISNUMBER(FIND("[",$B103)),MID($B103,FIND("[",$B103)+1,FIND("]",$B103)-FIND("[",$B103)-1),IF(ISNUMBER($B103),INDEX(Personnes!$B$5:$B$154,MATCH($B103,Personnes!$A$5:$A$154,0)),IFERROR(INDEX(Personnes!$B$5:$B$154,MATCH($B103&amp;"*",Personnes!$C$5:$C$154,0)),INDEX(Personnes!$B$5:$B$154,MATCH($B103&amp;"*",Personnes!$D$5:$D$154,0))))),""))</f>
        <v/>
      </c>
      <c r="D103" s="10" t="str">
        <f>IFERROR(INDEX(Personnes!$C$5:$C$154,MATCH($C103,Personnes!$B$5:$B$154,0))&amp;"","")</f>
        <v/>
      </c>
      <c r="E103" s="10" t="str">
        <f>IFERROR(INDEX(Personnes!$D$5:$D$154,MATCH($C103,Personnes!$B$5:$B$154,0))&amp;"","")</f>
        <v/>
      </c>
      <c r="F103" s="15"/>
      <c r="G103" s="9"/>
      <c r="H103" s="10" t="str">
        <f>IF($B103="","",IF($C103="","apnéiste non reconnu",IF($A103="","séance non renseignée",IF(COUNTIFS($A$5:$A$504,$A103,$C$5:$C$504,$C103)&gt;1,"doublon séance / apnéiste",IF(OR($C103=IFERROR(INDEX('Calendrier'!$K$5:$K$5,MATCH($A103,'Calendrier'!$A$5:$A$5,0)),""),$C103=IFERROR(INDEX('Calendrier'!$O$5:$O$5,MATCH($A103,'Calendrier'!$A$5:$A$5,0)),"")),"encadrant et élève sur la même séance",IF(IFERROR(INDEX(Personnes!$H$5:$H$154,MATCH($C103,Personnes!$B$5:$B$154,0)),"")&lt;&gt;"oui","invité (hors ligne)","ok"))))))</f>
        <v/>
      </c>
    </row>
    <row r="104" spans="1:8" x14ac:dyDescent="0.2">
      <c r="A104" s="15"/>
      <c r="B104" s="15"/>
      <c r="C104" s="10" t="str">
        <f>IF($B104="","",IFERROR(IF(ISNUMBER(FIND("[",$B104)),MID($B104,FIND("[",$B104)+1,FIND("]",$B104)-FIND("[",$B104)-1),IF(ISNUMBER($B104),INDEX(Personnes!$B$5:$B$154,MATCH($B104,Personnes!$A$5:$A$154,0)),IFERROR(INDEX(Personnes!$B$5:$B$154,MATCH($B104&amp;"*",Personnes!$C$5:$C$154,0)),INDEX(Personnes!$B$5:$B$154,MATCH($B104&amp;"*",Personnes!$D$5:$D$154,0))))),""))</f>
        <v/>
      </c>
      <c r="D104" s="10" t="str">
        <f>IFERROR(INDEX(Personnes!$C$5:$C$154,MATCH($C104,Personnes!$B$5:$B$154,0))&amp;"","")</f>
        <v/>
      </c>
      <c r="E104" s="10" t="str">
        <f>IFERROR(INDEX(Personnes!$D$5:$D$154,MATCH($C104,Personnes!$B$5:$B$154,0))&amp;"","")</f>
        <v/>
      </c>
      <c r="F104" s="15"/>
      <c r="G104" s="9"/>
      <c r="H104" s="10" t="str">
        <f>IF($B104="","",IF($C104="","apnéiste non reconnu",IF($A104="","séance non renseignée",IF(COUNTIFS($A$5:$A$504,$A104,$C$5:$C$504,$C104)&gt;1,"doublon séance / apnéiste",IF(OR($C104=IFERROR(INDEX('Calendrier'!$K$5:$K$5,MATCH($A104,'Calendrier'!$A$5:$A$5,0)),""),$C104=IFERROR(INDEX('Calendrier'!$O$5:$O$5,MATCH($A104,'Calendrier'!$A$5:$A$5,0)),"")),"encadrant et élève sur la même séance",IF(IFERROR(INDEX(Personnes!$H$5:$H$154,MATCH($C104,Personnes!$B$5:$B$154,0)),"")&lt;&gt;"oui","invité (hors ligne)","ok"))))))</f>
        <v/>
      </c>
    </row>
    <row r="105" spans="1:8" x14ac:dyDescent="0.2">
      <c r="A105" s="15"/>
      <c r="B105" s="15"/>
      <c r="C105" s="10" t="str">
        <f>IF($B105="","",IFERROR(IF(ISNUMBER(FIND("[",$B105)),MID($B105,FIND("[",$B105)+1,FIND("]",$B105)-FIND("[",$B105)-1),IF(ISNUMBER($B105),INDEX(Personnes!$B$5:$B$154,MATCH($B105,Personnes!$A$5:$A$154,0)),IFERROR(INDEX(Personnes!$B$5:$B$154,MATCH($B105&amp;"*",Personnes!$C$5:$C$154,0)),INDEX(Personnes!$B$5:$B$154,MATCH($B105&amp;"*",Personnes!$D$5:$D$154,0))))),""))</f>
        <v/>
      </c>
      <c r="D105" s="10" t="str">
        <f>IFERROR(INDEX(Personnes!$C$5:$C$154,MATCH($C105,Personnes!$B$5:$B$154,0))&amp;"","")</f>
        <v/>
      </c>
      <c r="E105" s="10" t="str">
        <f>IFERROR(INDEX(Personnes!$D$5:$D$154,MATCH($C105,Personnes!$B$5:$B$154,0))&amp;"","")</f>
        <v/>
      </c>
      <c r="F105" s="15"/>
      <c r="G105" s="9"/>
      <c r="H105" s="10" t="str">
        <f>IF($B105="","",IF($C105="","apnéiste non reconnu",IF($A105="","séance non renseignée",IF(COUNTIFS($A$5:$A$504,$A105,$C$5:$C$504,$C105)&gt;1,"doublon séance / apnéiste",IF(OR($C105=IFERROR(INDEX('Calendrier'!$K$5:$K$5,MATCH($A105,'Calendrier'!$A$5:$A$5,0)),""),$C105=IFERROR(INDEX('Calendrier'!$O$5:$O$5,MATCH($A105,'Calendrier'!$A$5:$A$5,0)),"")),"encadrant et élève sur la même séance",IF(IFERROR(INDEX(Personnes!$H$5:$H$154,MATCH($C105,Personnes!$B$5:$B$154,0)),"")&lt;&gt;"oui","invité (hors ligne)","ok"))))))</f>
        <v/>
      </c>
    </row>
    <row r="106" spans="1:8" x14ac:dyDescent="0.2">
      <c r="A106" s="15"/>
      <c r="B106" s="15"/>
      <c r="C106" s="10" t="str">
        <f>IF($B106="","",IFERROR(IF(ISNUMBER(FIND("[",$B106)),MID($B106,FIND("[",$B106)+1,FIND("]",$B106)-FIND("[",$B106)-1),IF(ISNUMBER($B106),INDEX(Personnes!$B$5:$B$154,MATCH($B106,Personnes!$A$5:$A$154,0)),IFERROR(INDEX(Personnes!$B$5:$B$154,MATCH($B106&amp;"*",Personnes!$C$5:$C$154,0)),INDEX(Personnes!$B$5:$B$154,MATCH($B106&amp;"*",Personnes!$D$5:$D$154,0))))),""))</f>
        <v/>
      </c>
      <c r="D106" s="10" t="str">
        <f>IFERROR(INDEX(Personnes!$C$5:$C$154,MATCH($C106,Personnes!$B$5:$B$154,0))&amp;"","")</f>
        <v/>
      </c>
      <c r="E106" s="10" t="str">
        <f>IFERROR(INDEX(Personnes!$D$5:$D$154,MATCH($C106,Personnes!$B$5:$B$154,0))&amp;"","")</f>
        <v/>
      </c>
      <c r="F106" s="15"/>
      <c r="G106" s="9"/>
      <c r="H106" s="10" t="str">
        <f>IF($B106="","",IF($C106="","apnéiste non reconnu",IF($A106="","séance non renseignée",IF(COUNTIFS($A$5:$A$504,$A106,$C$5:$C$504,$C106)&gt;1,"doublon séance / apnéiste",IF(OR($C106=IFERROR(INDEX('Calendrier'!$K$5:$K$5,MATCH($A106,'Calendrier'!$A$5:$A$5,0)),""),$C106=IFERROR(INDEX('Calendrier'!$O$5:$O$5,MATCH($A106,'Calendrier'!$A$5:$A$5,0)),"")),"encadrant et élève sur la même séance",IF(IFERROR(INDEX(Personnes!$H$5:$H$154,MATCH($C106,Personnes!$B$5:$B$154,0)),"")&lt;&gt;"oui","invité (hors ligne)","ok"))))))</f>
        <v/>
      </c>
    </row>
    <row r="107" spans="1:8" x14ac:dyDescent="0.2">
      <c r="A107" s="15"/>
      <c r="B107" s="15"/>
      <c r="C107" s="10" t="str">
        <f>IF($B107="","",IFERROR(IF(ISNUMBER(FIND("[",$B107)),MID($B107,FIND("[",$B107)+1,FIND("]",$B107)-FIND("[",$B107)-1),IF(ISNUMBER($B107),INDEX(Personnes!$B$5:$B$154,MATCH($B107,Personnes!$A$5:$A$154,0)),IFERROR(INDEX(Personnes!$B$5:$B$154,MATCH($B107&amp;"*",Personnes!$C$5:$C$154,0)),INDEX(Personnes!$B$5:$B$154,MATCH($B107&amp;"*",Personnes!$D$5:$D$154,0))))),""))</f>
        <v/>
      </c>
      <c r="D107" s="10" t="str">
        <f>IFERROR(INDEX(Personnes!$C$5:$C$154,MATCH($C107,Personnes!$B$5:$B$154,0))&amp;"","")</f>
        <v/>
      </c>
      <c r="E107" s="10" t="str">
        <f>IFERROR(INDEX(Personnes!$D$5:$D$154,MATCH($C107,Personnes!$B$5:$B$154,0))&amp;"","")</f>
        <v/>
      </c>
      <c r="F107" s="15"/>
      <c r="G107" s="9"/>
      <c r="H107" s="10" t="str">
        <f>IF($B107="","",IF($C107="","apnéiste non reconnu",IF($A107="","séance non renseignée",IF(COUNTIFS($A$5:$A$504,$A107,$C$5:$C$504,$C107)&gt;1,"doublon séance / apnéiste",IF(OR($C107=IFERROR(INDEX('Calendrier'!$K$5:$K$5,MATCH($A107,'Calendrier'!$A$5:$A$5,0)),""),$C107=IFERROR(INDEX('Calendrier'!$O$5:$O$5,MATCH($A107,'Calendrier'!$A$5:$A$5,0)),"")),"encadrant et élève sur la même séance",IF(IFERROR(INDEX(Personnes!$H$5:$H$154,MATCH($C107,Personnes!$B$5:$B$154,0)),"")&lt;&gt;"oui","invité (hors ligne)","ok"))))))</f>
        <v/>
      </c>
    </row>
    <row r="108" spans="1:8" x14ac:dyDescent="0.2">
      <c r="A108" s="15"/>
      <c r="B108" s="15"/>
      <c r="C108" s="10" t="str">
        <f>IF($B108="","",IFERROR(IF(ISNUMBER(FIND("[",$B108)),MID($B108,FIND("[",$B108)+1,FIND("]",$B108)-FIND("[",$B108)-1),IF(ISNUMBER($B108),INDEX(Personnes!$B$5:$B$154,MATCH($B108,Personnes!$A$5:$A$154,0)),IFERROR(INDEX(Personnes!$B$5:$B$154,MATCH($B108&amp;"*",Personnes!$C$5:$C$154,0)),INDEX(Personnes!$B$5:$B$154,MATCH($B108&amp;"*",Personnes!$D$5:$D$154,0))))),""))</f>
        <v/>
      </c>
      <c r="D108" s="10" t="str">
        <f>IFERROR(INDEX(Personnes!$C$5:$C$154,MATCH($C108,Personnes!$B$5:$B$154,0))&amp;"","")</f>
        <v/>
      </c>
      <c r="E108" s="10" t="str">
        <f>IFERROR(INDEX(Personnes!$D$5:$D$154,MATCH($C108,Personnes!$B$5:$B$154,0))&amp;"","")</f>
        <v/>
      </c>
      <c r="F108" s="15"/>
      <c r="G108" s="9"/>
      <c r="H108" s="10" t="str">
        <f>IF($B108="","",IF($C108="","apnéiste non reconnu",IF($A108="","séance non renseignée",IF(COUNTIFS($A$5:$A$504,$A108,$C$5:$C$504,$C108)&gt;1,"doublon séance / apnéiste",IF(OR($C108=IFERROR(INDEX('Calendrier'!$K$5:$K$5,MATCH($A108,'Calendrier'!$A$5:$A$5,0)),""),$C108=IFERROR(INDEX('Calendrier'!$O$5:$O$5,MATCH($A108,'Calendrier'!$A$5:$A$5,0)),"")),"encadrant et élève sur la même séance",IF(IFERROR(INDEX(Personnes!$H$5:$H$154,MATCH($C108,Personnes!$B$5:$B$154,0)),"")&lt;&gt;"oui","invité (hors ligne)","ok"))))))</f>
        <v/>
      </c>
    </row>
    <row r="109" spans="1:8" x14ac:dyDescent="0.2">
      <c r="A109" s="15"/>
      <c r="B109" s="15"/>
      <c r="C109" s="10" t="str">
        <f>IF($B109="","",IFERROR(IF(ISNUMBER(FIND("[",$B109)),MID($B109,FIND("[",$B109)+1,FIND("]",$B109)-FIND("[",$B109)-1),IF(ISNUMBER($B109),INDEX(Personnes!$B$5:$B$154,MATCH($B109,Personnes!$A$5:$A$154,0)),IFERROR(INDEX(Personnes!$B$5:$B$154,MATCH($B109&amp;"*",Personnes!$C$5:$C$154,0)),INDEX(Personnes!$B$5:$B$154,MATCH($B109&amp;"*",Personnes!$D$5:$D$154,0))))),""))</f>
        <v/>
      </c>
      <c r="D109" s="10" t="str">
        <f>IFERROR(INDEX(Personnes!$C$5:$C$154,MATCH($C109,Personnes!$B$5:$B$154,0))&amp;"","")</f>
        <v/>
      </c>
      <c r="E109" s="10" t="str">
        <f>IFERROR(INDEX(Personnes!$D$5:$D$154,MATCH($C109,Personnes!$B$5:$B$154,0))&amp;"","")</f>
        <v/>
      </c>
      <c r="F109" s="15"/>
      <c r="G109" s="9"/>
      <c r="H109" s="10" t="str">
        <f>IF($B109="","",IF($C109="","apnéiste non reconnu",IF($A109="","séance non renseignée",IF(COUNTIFS($A$5:$A$504,$A109,$C$5:$C$504,$C109)&gt;1,"doublon séance / apnéiste",IF(OR($C109=IFERROR(INDEX('Calendrier'!$K$5:$K$5,MATCH($A109,'Calendrier'!$A$5:$A$5,0)),""),$C109=IFERROR(INDEX('Calendrier'!$O$5:$O$5,MATCH($A109,'Calendrier'!$A$5:$A$5,0)),"")),"encadrant et élève sur la même séance",IF(IFERROR(INDEX(Personnes!$H$5:$H$154,MATCH($C109,Personnes!$B$5:$B$154,0)),"")&lt;&gt;"oui","invité (hors ligne)","ok"))))))</f>
        <v/>
      </c>
    </row>
    <row r="110" spans="1:8" x14ac:dyDescent="0.2">
      <c r="A110" s="15"/>
      <c r="B110" s="15"/>
      <c r="C110" s="10" t="str">
        <f>IF($B110="","",IFERROR(IF(ISNUMBER(FIND("[",$B110)),MID($B110,FIND("[",$B110)+1,FIND("]",$B110)-FIND("[",$B110)-1),IF(ISNUMBER($B110),INDEX(Personnes!$B$5:$B$154,MATCH($B110,Personnes!$A$5:$A$154,0)),IFERROR(INDEX(Personnes!$B$5:$B$154,MATCH($B110&amp;"*",Personnes!$C$5:$C$154,0)),INDEX(Personnes!$B$5:$B$154,MATCH($B110&amp;"*",Personnes!$D$5:$D$154,0))))),""))</f>
        <v/>
      </c>
      <c r="D110" s="10" t="str">
        <f>IFERROR(INDEX(Personnes!$C$5:$C$154,MATCH($C110,Personnes!$B$5:$B$154,0))&amp;"","")</f>
        <v/>
      </c>
      <c r="E110" s="10" t="str">
        <f>IFERROR(INDEX(Personnes!$D$5:$D$154,MATCH($C110,Personnes!$B$5:$B$154,0))&amp;"","")</f>
        <v/>
      </c>
      <c r="F110" s="15"/>
      <c r="G110" s="9"/>
      <c r="H110" s="10" t="str">
        <f>IF($B110="","",IF($C110="","apnéiste non reconnu",IF($A110="","séance non renseignée",IF(COUNTIFS($A$5:$A$504,$A110,$C$5:$C$504,$C110)&gt;1,"doublon séance / apnéiste",IF(OR($C110=IFERROR(INDEX('Calendrier'!$K$5:$K$5,MATCH($A110,'Calendrier'!$A$5:$A$5,0)),""),$C110=IFERROR(INDEX('Calendrier'!$O$5:$O$5,MATCH($A110,'Calendrier'!$A$5:$A$5,0)),"")),"encadrant et élève sur la même séance",IF(IFERROR(INDEX(Personnes!$H$5:$H$154,MATCH($C110,Personnes!$B$5:$B$154,0)),"")&lt;&gt;"oui","invité (hors ligne)","ok"))))))</f>
        <v/>
      </c>
    </row>
    <row r="111" spans="1:8" x14ac:dyDescent="0.2">
      <c r="A111" s="15"/>
      <c r="B111" s="15"/>
      <c r="C111" s="10" t="str">
        <f>IF($B111="","",IFERROR(IF(ISNUMBER(FIND("[",$B111)),MID($B111,FIND("[",$B111)+1,FIND("]",$B111)-FIND("[",$B111)-1),IF(ISNUMBER($B111),INDEX(Personnes!$B$5:$B$154,MATCH($B111,Personnes!$A$5:$A$154,0)),IFERROR(INDEX(Personnes!$B$5:$B$154,MATCH($B111&amp;"*",Personnes!$C$5:$C$154,0)),INDEX(Personnes!$B$5:$B$154,MATCH($B111&amp;"*",Personnes!$D$5:$D$154,0))))),""))</f>
        <v/>
      </c>
      <c r="D111" s="10" t="str">
        <f>IFERROR(INDEX(Personnes!$C$5:$C$154,MATCH($C111,Personnes!$B$5:$B$154,0))&amp;"","")</f>
        <v/>
      </c>
      <c r="E111" s="10" t="str">
        <f>IFERROR(INDEX(Personnes!$D$5:$D$154,MATCH($C111,Personnes!$B$5:$B$154,0))&amp;"","")</f>
        <v/>
      </c>
      <c r="F111" s="15"/>
      <c r="G111" s="9"/>
      <c r="H111" s="10" t="str">
        <f>IF($B111="","",IF($C111="","apnéiste non reconnu",IF($A111="","séance non renseignée",IF(COUNTIFS($A$5:$A$504,$A111,$C$5:$C$504,$C111)&gt;1,"doublon séance / apnéiste",IF(OR($C111=IFERROR(INDEX('Calendrier'!$K$5:$K$5,MATCH($A111,'Calendrier'!$A$5:$A$5,0)),""),$C111=IFERROR(INDEX('Calendrier'!$O$5:$O$5,MATCH($A111,'Calendrier'!$A$5:$A$5,0)),"")),"encadrant et élève sur la même séance",IF(IFERROR(INDEX(Personnes!$H$5:$H$154,MATCH($C111,Personnes!$B$5:$B$154,0)),"")&lt;&gt;"oui","invité (hors ligne)","ok"))))))</f>
        <v/>
      </c>
    </row>
    <row r="112" spans="1:8" x14ac:dyDescent="0.2">
      <c r="A112" s="15"/>
      <c r="B112" s="15"/>
      <c r="C112" s="10" t="str">
        <f>IF($B112="","",IFERROR(IF(ISNUMBER(FIND("[",$B112)),MID($B112,FIND("[",$B112)+1,FIND("]",$B112)-FIND("[",$B112)-1),IF(ISNUMBER($B112),INDEX(Personnes!$B$5:$B$154,MATCH($B112,Personnes!$A$5:$A$154,0)),IFERROR(INDEX(Personnes!$B$5:$B$154,MATCH($B112&amp;"*",Personnes!$C$5:$C$154,0)),INDEX(Personnes!$B$5:$B$154,MATCH($B112&amp;"*",Personnes!$D$5:$D$154,0))))),""))</f>
        <v/>
      </c>
      <c r="D112" s="10" t="str">
        <f>IFERROR(INDEX(Personnes!$C$5:$C$154,MATCH($C112,Personnes!$B$5:$B$154,0))&amp;"","")</f>
        <v/>
      </c>
      <c r="E112" s="10" t="str">
        <f>IFERROR(INDEX(Personnes!$D$5:$D$154,MATCH($C112,Personnes!$B$5:$B$154,0))&amp;"","")</f>
        <v/>
      </c>
      <c r="F112" s="15"/>
      <c r="G112" s="9"/>
      <c r="H112" s="10" t="str">
        <f>IF($B112="","",IF($C112="","apnéiste non reconnu",IF($A112="","séance non renseignée",IF(COUNTIFS($A$5:$A$504,$A112,$C$5:$C$504,$C112)&gt;1,"doublon séance / apnéiste",IF(OR($C112=IFERROR(INDEX('Calendrier'!$K$5:$K$5,MATCH($A112,'Calendrier'!$A$5:$A$5,0)),""),$C112=IFERROR(INDEX('Calendrier'!$O$5:$O$5,MATCH($A112,'Calendrier'!$A$5:$A$5,0)),"")),"encadrant et élève sur la même séance",IF(IFERROR(INDEX(Personnes!$H$5:$H$154,MATCH($C112,Personnes!$B$5:$B$154,0)),"")&lt;&gt;"oui","invité (hors ligne)","ok"))))))</f>
        <v/>
      </c>
    </row>
    <row r="113" spans="1:8" x14ac:dyDescent="0.2">
      <c r="A113" s="15"/>
      <c r="B113" s="15"/>
      <c r="C113" s="10" t="str">
        <f>IF($B113="","",IFERROR(IF(ISNUMBER(FIND("[",$B113)),MID($B113,FIND("[",$B113)+1,FIND("]",$B113)-FIND("[",$B113)-1),IF(ISNUMBER($B113),INDEX(Personnes!$B$5:$B$154,MATCH($B113,Personnes!$A$5:$A$154,0)),IFERROR(INDEX(Personnes!$B$5:$B$154,MATCH($B113&amp;"*",Personnes!$C$5:$C$154,0)),INDEX(Personnes!$B$5:$B$154,MATCH($B113&amp;"*",Personnes!$D$5:$D$154,0))))),""))</f>
        <v/>
      </c>
      <c r="D113" s="10" t="str">
        <f>IFERROR(INDEX(Personnes!$C$5:$C$154,MATCH($C113,Personnes!$B$5:$B$154,0))&amp;"","")</f>
        <v/>
      </c>
      <c r="E113" s="10" t="str">
        <f>IFERROR(INDEX(Personnes!$D$5:$D$154,MATCH($C113,Personnes!$B$5:$B$154,0))&amp;"","")</f>
        <v/>
      </c>
      <c r="F113" s="15"/>
      <c r="G113" s="9"/>
      <c r="H113" s="10" t="str">
        <f>IF($B113="","",IF($C113="","apnéiste non reconnu",IF($A113="","séance non renseignée",IF(COUNTIFS($A$5:$A$504,$A113,$C$5:$C$504,$C113)&gt;1,"doublon séance / apnéiste",IF(OR($C113=IFERROR(INDEX('Calendrier'!$K$5:$K$5,MATCH($A113,'Calendrier'!$A$5:$A$5,0)),""),$C113=IFERROR(INDEX('Calendrier'!$O$5:$O$5,MATCH($A113,'Calendrier'!$A$5:$A$5,0)),"")),"encadrant et élève sur la même séance",IF(IFERROR(INDEX(Personnes!$H$5:$H$154,MATCH($C113,Personnes!$B$5:$B$154,0)),"")&lt;&gt;"oui","invité (hors ligne)","ok"))))))</f>
        <v/>
      </c>
    </row>
    <row r="114" spans="1:8" x14ac:dyDescent="0.2">
      <c r="A114" s="15"/>
      <c r="B114" s="15"/>
      <c r="C114" s="10" t="str">
        <f>IF($B114="","",IFERROR(IF(ISNUMBER(FIND("[",$B114)),MID($B114,FIND("[",$B114)+1,FIND("]",$B114)-FIND("[",$B114)-1),IF(ISNUMBER($B114),INDEX(Personnes!$B$5:$B$154,MATCH($B114,Personnes!$A$5:$A$154,0)),IFERROR(INDEX(Personnes!$B$5:$B$154,MATCH($B114&amp;"*",Personnes!$C$5:$C$154,0)),INDEX(Personnes!$B$5:$B$154,MATCH($B114&amp;"*",Personnes!$D$5:$D$154,0))))),""))</f>
        <v/>
      </c>
      <c r="D114" s="10" t="str">
        <f>IFERROR(INDEX(Personnes!$C$5:$C$154,MATCH($C114,Personnes!$B$5:$B$154,0))&amp;"","")</f>
        <v/>
      </c>
      <c r="E114" s="10" t="str">
        <f>IFERROR(INDEX(Personnes!$D$5:$D$154,MATCH($C114,Personnes!$B$5:$B$154,0))&amp;"","")</f>
        <v/>
      </c>
      <c r="F114" s="15"/>
      <c r="G114" s="9"/>
      <c r="H114" s="10" t="str">
        <f>IF($B114="","",IF($C114="","apnéiste non reconnu",IF($A114="","séance non renseignée",IF(COUNTIFS($A$5:$A$504,$A114,$C$5:$C$504,$C114)&gt;1,"doublon séance / apnéiste",IF(OR($C114=IFERROR(INDEX('Calendrier'!$K$5:$K$5,MATCH($A114,'Calendrier'!$A$5:$A$5,0)),""),$C114=IFERROR(INDEX('Calendrier'!$O$5:$O$5,MATCH($A114,'Calendrier'!$A$5:$A$5,0)),"")),"encadrant et élève sur la même séance",IF(IFERROR(INDEX(Personnes!$H$5:$H$154,MATCH($C114,Personnes!$B$5:$B$154,0)),"")&lt;&gt;"oui","invité (hors ligne)","ok"))))))</f>
        <v/>
      </c>
    </row>
    <row r="115" spans="1:8" x14ac:dyDescent="0.2">
      <c r="A115" s="15"/>
      <c r="B115" s="15"/>
      <c r="C115" s="10" t="str">
        <f>IF($B115="","",IFERROR(IF(ISNUMBER(FIND("[",$B115)),MID($B115,FIND("[",$B115)+1,FIND("]",$B115)-FIND("[",$B115)-1),IF(ISNUMBER($B115),INDEX(Personnes!$B$5:$B$154,MATCH($B115,Personnes!$A$5:$A$154,0)),IFERROR(INDEX(Personnes!$B$5:$B$154,MATCH($B115&amp;"*",Personnes!$C$5:$C$154,0)),INDEX(Personnes!$B$5:$B$154,MATCH($B115&amp;"*",Personnes!$D$5:$D$154,0))))),""))</f>
        <v/>
      </c>
      <c r="D115" s="10" t="str">
        <f>IFERROR(INDEX(Personnes!$C$5:$C$154,MATCH($C115,Personnes!$B$5:$B$154,0))&amp;"","")</f>
        <v/>
      </c>
      <c r="E115" s="10" t="str">
        <f>IFERROR(INDEX(Personnes!$D$5:$D$154,MATCH($C115,Personnes!$B$5:$B$154,0))&amp;"","")</f>
        <v/>
      </c>
      <c r="F115" s="15"/>
      <c r="G115" s="9"/>
      <c r="H115" s="10" t="str">
        <f>IF($B115="","",IF($C115="","apnéiste non reconnu",IF($A115="","séance non renseignée",IF(COUNTIFS($A$5:$A$504,$A115,$C$5:$C$504,$C115)&gt;1,"doublon séance / apnéiste",IF(OR($C115=IFERROR(INDEX('Calendrier'!$K$5:$K$5,MATCH($A115,'Calendrier'!$A$5:$A$5,0)),""),$C115=IFERROR(INDEX('Calendrier'!$O$5:$O$5,MATCH($A115,'Calendrier'!$A$5:$A$5,0)),"")),"encadrant et élève sur la même séance",IF(IFERROR(INDEX(Personnes!$H$5:$H$154,MATCH($C115,Personnes!$B$5:$B$154,0)),"")&lt;&gt;"oui","invité (hors ligne)","ok"))))))</f>
        <v/>
      </c>
    </row>
    <row r="116" spans="1:8" x14ac:dyDescent="0.2">
      <c r="A116" s="15"/>
      <c r="B116" s="15"/>
      <c r="C116" s="10" t="str">
        <f>IF($B116="","",IFERROR(IF(ISNUMBER(FIND("[",$B116)),MID($B116,FIND("[",$B116)+1,FIND("]",$B116)-FIND("[",$B116)-1),IF(ISNUMBER($B116),INDEX(Personnes!$B$5:$B$154,MATCH($B116,Personnes!$A$5:$A$154,0)),IFERROR(INDEX(Personnes!$B$5:$B$154,MATCH($B116&amp;"*",Personnes!$C$5:$C$154,0)),INDEX(Personnes!$B$5:$B$154,MATCH($B116&amp;"*",Personnes!$D$5:$D$154,0))))),""))</f>
        <v/>
      </c>
      <c r="D116" s="10" t="str">
        <f>IFERROR(INDEX(Personnes!$C$5:$C$154,MATCH($C116,Personnes!$B$5:$B$154,0))&amp;"","")</f>
        <v/>
      </c>
      <c r="E116" s="10" t="str">
        <f>IFERROR(INDEX(Personnes!$D$5:$D$154,MATCH($C116,Personnes!$B$5:$B$154,0))&amp;"","")</f>
        <v/>
      </c>
      <c r="F116" s="15"/>
      <c r="G116" s="9"/>
      <c r="H116" s="10" t="str">
        <f>IF($B116="","",IF($C116="","apnéiste non reconnu",IF($A116="","séance non renseignée",IF(COUNTIFS($A$5:$A$504,$A116,$C$5:$C$504,$C116)&gt;1,"doublon séance / apnéiste",IF(OR($C116=IFERROR(INDEX('Calendrier'!$K$5:$K$5,MATCH($A116,'Calendrier'!$A$5:$A$5,0)),""),$C116=IFERROR(INDEX('Calendrier'!$O$5:$O$5,MATCH($A116,'Calendrier'!$A$5:$A$5,0)),"")),"encadrant et élève sur la même séance",IF(IFERROR(INDEX(Personnes!$H$5:$H$154,MATCH($C116,Personnes!$B$5:$B$154,0)),"")&lt;&gt;"oui","invité (hors ligne)","ok"))))))</f>
        <v/>
      </c>
    </row>
    <row r="117" spans="1:8" x14ac:dyDescent="0.2">
      <c r="A117" s="15"/>
      <c r="B117" s="15"/>
      <c r="C117" s="10" t="str">
        <f>IF($B117="","",IFERROR(IF(ISNUMBER(FIND("[",$B117)),MID($B117,FIND("[",$B117)+1,FIND("]",$B117)-FIND("[",$B117)-1),IF(ISNUMBER($B117),INDEX(Personnes!$B$5:$B$154,MATCH($B117,Personnes!$A$5:$A$154,0)),IFERROR(INDEX(Personnes!$B$5:$B$154,MATCH($B117&amp;"*",Personnes!$C$5:$C$154,0)),INDEX(Personnes!$B$5:$B$154,MATCH($B117&amp;"*",Personnes!$D$5:$D$154,0))))),""))</f>
        <v/>
      </c>
      <c r="D117" s="10" t="str">
        <f>IFERROR(INDEX(Personnes!$C$5:$C$154,MATCH($C117,Personnes!$B$5:$B$154,0))&amp;"","")</f>
        <v/>
      </c>
      <c r="E117" s="10" t="str">
        <f>IFERROR(INDEX(Personnes!$D$5:$D$154,MATCH($C117,Personnes!$B$5:$B$154,0))&amp;"","")</f>
        <v/>
      </c>
      <c r="F117" s="15"/>
      <c r="G117" s="9"/>
      <c r="H117" s="10" t="str">
        <f>IF($B117="","",IF($C117="","apnéiste non reconnu",IF($A117="","séance non renseignée",IF(COUNTIFS($A$5:$A$504,$A117,$C$5:$C$504,$C117)&gt;1,"doublon séance / apnéiste",IF(OR($C117=IFERROR(INDEX('Calendrier'!$K$5:$K$5,MATCH($A117,'Calendrier'!$A$5:$A$5,0)),""),$C117=IFERROR(INDEX('Calendrier'!$O$5:$O$5,MATCH($A117,'Calendrier'!$A$5:$A$5,0)),"")),"encadrant et élève sur la même séance",IF(IFERROR(INDEX(Personnes!$H$5:$H$154,MATCH($C117,Personnes!$B$5:$B$154,0)),"")&lt;&gt;"oui","invité (hors ligne)","ok"))))))</f>
        <v/>
      </c>
    </row>
    <row r="118" spans="1:8" x14ac:dyDescent="0.2">
      <c r="A118" s="15"/>
      <c r="B118" s="15"/>
      <c r="C118" s="10" t="str">
        <f>IF($B118="","",IFERROR(IF(ISNUMBER(FIND("[",$B118)),MID($B118,FIND("[",$B118)+1,FIND("]",$B118)-FIND("[",$B118)-1),IF(ISNUMBER($B118),INDEX(Personnes!$B$5:$B$154,MATCH($B118,Personnes!$A$5:$A$154,0)),IFERROR(INDEX(Personnes!$B$5:$B$154,MATCH($B118&amp;"*",Personnes!$C$5:$C$154,0)),INDEX(Personnes!$B$5:$B$154,MATCH($B118&amp;"*",Personnes!$D$5:$D$154,0))))),""))</f>
        <v/>
      </c>
      <c r="D118" s="10" t="str">
        <f>IFERROR(INDEX(Personnes!$C$5:$C$154,MATCH($C118,Personnes!$B$5:$B$154,0))&amp;"","")</f>
        <v/>
      </c>
      <c r="E118" s="10" t="str">
        <f>IFERROR(INDEX(Personnes!$D$5:$D$154,MATCH($C118,Personnes!$B$5:$B$154,0))&amp;"","")</f>
        <v/>
      </c>
      <c r="F118" s="15"/>
      <c r="G118" s="9"/>
      <c r="H118" s="10" t="str">
        <f>IF($B118="","",IF($C118="","apnéiste non reconnu",IF($A118="","séance non renseignée",IF(COUNTIFS($A$5:$A$504,$A118,$C$5:$C$504,$C118)&gt;1,"doublon séance / apnéiste",IF(OR($C118=IFERROR(INDEX('Calendrier'!$K$5:$K$5,MATCH($A118,'Calendrier'!$A$5:$A$5,0)),""),$C118=IFERROR(INDEX('Calendrier'!$O$5:$O$5,MATCH($A118,'Calendrier'!$A$5:$A$5,0)),"")),"encadrant et élève sur la même séance",IF(IFERROR(INDEX(Personnes!$H$5:$H$154,MATCH($C118,Personnes!$B$5:$B$154,0)),"")&lt;&gt;"oui","invité (hors ligne)","ok"))))))</f>
        <v/>
      </c>
    </row>
    <row r="119" spans="1:8" x14ac:dyDescent="0.2">
      <c r="A119" s="15"/>
      <c r="B119" s="15"/>
      <c r="C119" s="10" t="str">
        <f>IF($B119="","",IFERROR(IF(ISNUMBER(FIND("[",$B119)),MID($B119,FIND("[",$B119)+1,FIND("]",$B119)-FIND("[",$B119)-1),IF(ISNUMBER($B119),INDEX(Personnes!$B$5:$B$154,MATCH($B119,Personnes!$A$5:$A$154,0)),IFERROR(INDEX(Personnes!$B$5:$B$154,MATCH($B119&amp;"*",Personnes!$C$5:$C$154,0)),INDEX(Personnes!$B$5:$B$154,MATCH($B119&amp;"*",Personnes!$D$5:$D$154,0))))),""))</f>
        <v/>
      </c>
      <c r="D119" s="10" t="str">
        <f>IFERROR(INDEX(Personnes!$C$5:$C$154,MATCH($C119,Personnes!$B$5:$B$154,0))&amp;"","")</f>
        <v/>
      </c>
      <c r="E119" s="10" t="str">
        <f>IFERROR(INDEX(Personnes!$D$5:$D$154,MATCH($C119,Personnes!$B$5:$B$154,0))&amp;"","")</f>
        <v/>
      </c>
      <c r="F119" s="15"/>
      <c r="G119" s="9"/>
      <c r="H119" s="10" t="str">
        <f>IF($B119="","",IF($C119="","apnéiste non reconnu",IF($A119="","séance non renseignée",IF(COUNTIFS($A$5:$A$504,$A119,$C$5:$C$504,$C119)&gt;1,"doublon séance / apnéiste",IF(OR($C119=IFERROR(INDEX('Calendrier'!$K$5:$K$5,MATCH($A119,'Calendrier'!$A$5:$A$5,0)),""),$C119=IFERROR(INDEX('Calendrier'!$O$5:$O$5,MATCH($A119,'Calendrier'!$A$5:$A$5,0)),"")),"encadrant et élève sur la même séance",IF(IFERROR(INDEX(Personnes!$H$5:$H$154,MATCH($C119,Personnes!$B$5:$B$154,0)),"")&lt;&gt;"oui","invité (hors ligne)","ok"))))))</f>
        <v/>
      </c>
    </row>
    <row r="120" spans="1:8" x14ac:dyDescent="0.2">
      <c r="A120" s="15"/>
      <c r="B120" s="15"/>
      <c r="C120" s="10" t="str">
        <f>IF($B120="","",IFERROR(IF(ISNUMBER(FIND("[",$B120)),MID($B120,FIND("[",$B120)+1,FIND("]",$B120)-FIND("[",$B120)-1),IF(ISNUMBER($B120),INDEX(Personnes!$B$5:$B$154,MATCH($B120,Personnes!$A$5:$A$154,0)),IFERROR(INDEX(Personnes!$B$5:$B$154,MATCH($B120&amp;"*",Personnes!$C$5:$C$154,0)),INDEX(Personnes!$B$5:$B$154,MATCH($B120&amp;"*",Personnes!$D$5:$D$154,0))))),""))</f>
        <v/>
      </c>
      <c r="D120" s="10" t="str">
        <f>IFERROR(INDEX(Personnes!$C$5:$C$154,MATCH($C120,Personnes!$B$5:$B$154,0))&amp;"","")</f>
        <v/>
      </c>
      <c r="E120" s="10" t="str">
        <f>IFERROR(INDEX(Personnes!$D$5:$D$154,MATCH($C120,Personnes!$B$5:$B$154,0))&amp;"","")</f>
        <v/>
      </c>
      <c r="F120" s="15"/>
      <c r="G120" s="9"/>
      <c r="H120" s="10" t="str">
        <f>IF($B120="","",IF($C120="","apnéiste non reconnu",IF($A120="","séance non renseignée",IF(COUNTIFS($A$5:$A$504,$A120,$C$5:$C$504,$C120)&gt;1,"doublon séance / apnéiste",IF(OR($C120=IFERROR(INDEX('Calendrier'!$K$5:$K$5,MATCH($A120,'Calendrier'!$A$5:$A$5,0)),""),$C120=IFERROR(INDEX('Calendrier'!$O$5:$O$5,MATCH($A120,'Calendrier'!$A$5:$A$5,0)),"")),"encadrant et élève sur la même séance",IF(IFERROR(INDEX(Personnes!$H$5:$H$154,MATCH($C120,Personnes!$B$5:$B$154,0)),"")&lt;&gt;"oui","invité (hors ligne)","ok"))))))</f>
        <v/>
      </c>
    </row>
    <row r="121" spans="1:8" x14ac:dyDescent="0.2">
      <c r="A121" s="15"/>
      <c r="B121" s="15"/>
      <c r="C121" s="10" t="str">
        <f>IF($B121="","",IFERROR(IF(ISNUMBER(FIND("[",$B121)),MID($B121,FIND("[",$B121)+1,FIND("]",$B121)-FIND("[",$B121)-1),IF(ISNUMBER($B121),INDEX(Personnes!$B$5:$B$154,MATCH($B121,Personnes!$A$5:$A$154,0)),IFERROR(INDEX(Personnes!$B$5:$B$154,MATCH($B121&amp;"*",Personnes!$C$5:$C$154,0)),INDEX(Personnes!$B$5:$B$154,MATCH($B121&amp;"*",Personnes!$D$5:$D$154,0))))),""))</f>
        <v/>
      </c>
      <c r="D121" s="10" t="str">
        <f>IFERROR(INDEX(Personnes!$C$5:$C$154,MATCH($C121,Personnes!$B$5:$B$154,0))&amp;"","")</f>
        <v/>
      </c>
      <c r="E121" s="10" t="str">
        <f>IFERROR(INDEX(Personnes!$D$5:$D$154,MATCH($C121,Personnes!$B$5:$B$154,0))&amp;"","")</f>
        <v/>
      </c>
      <c r="F121" s="15"/>
      <c r="G121" s="9"/>
      <c r="H121" s="10" t="str">
        <f>IF($B121="","",IF($C121="","apnéiste non reconnu",IF($A121="","séance non renseignée",IF(COUNTIFS($A$5:$A$504,$A121,$C$5:$C$504,$C121)&gt;1,"doublon séance / apnéiste",IF(OR($C121=IFERROR(INDEX('Calendrier'!$K$5:$K$5,MATCH($A121,'Calendrier'!$A$5:$A$5,0)),""),$C121=IFERROR(INDEX('Calendrier'!$O$5:$O$5,MATCH($A121,'Calendrier'!$A$5:$A$5,0)),"")),"encadrant et élève sur la même séance",IF(IFERROR(INDEX(Personnes!$H$5:$H$154,MATCH($C121,Personnes!$B$5:$B$154,0)),"")&lt;&gt;"oui","invité (hors ligne)","ok"))))))</f>
        <v/>
      </c>
    </row>
    <row r="122" spans="1:8" x14ac:dyDescent="0.2">
      <c r="A122" s="15"/>
      <c r="B122" s="15"/>
      <c r="C122" s="10" t="str">
        <f>IF($B122="","",IFERROR(IF(ISNUMBER(FIND("[",$B122)),MID($B122,FIND("[",$B122)+1,FIND("]",$B122)-FIND("[",$B122)-1),IF(ISNUMBER($B122),INDEX(Personnes!$B$5:$B$154,MATCH($B122,Personnes!$A$5:$A$154,0)),IFERROR(INDEX(Personnes!$B$5:$B$154,MATCH($B122&amp;"*",Personnes!$C$5:$C$154,0)),INDEX(Personnes!$B$5:$B$154,MATCH($B122&amp;"*",Personnes!$D$5:$D$154,0))))),""))</f>
        <v/>
      </c>
      <c r="D122" s="10" t="str">
        <f>IFERROR(INDEX(Personnes!$C$5:$C$154,MATCH($C122,Personnes!$B$5:$B$154,0))&amp;"","")</f>
        <v/>
      </c>
      <c r="E122" s="10" t="str">
        <f>IFERROR(INDEX(Personnes!$D$5:$D$154,MATCH($C122,Personnes!$B$5:$B$154,0))&amp;"","")</f>
        <v/>
      </c>
      <c r="F122" s="15"/>
      <c r="G122" s="9"/>
      <c r="H122" s="10" t="str">
        <f>IF($B122="","",IF($C122="","apnéiste non reconnu",IF($A122="","séance non renseignée",IF(COUNTIFS($A$5:$A$504,$A122,$C$5:$C$504,$C122)&gt;1,"doublon séance / apnéiste",IF(OR($C122=IFERROR(INDEX('Calendrier'!$K$5:$K$5,MATCH($A122,'Calendrier'!$A$5:$A$5,0)),""),$C122=IFERROR(INDEX('Calendrier'!$O$5:$O$5,MATCH($A122,'Calendrier'!$A$5:$A$5,0)),"")),"encadrant et élève sur la même séance",IF(IFERROR(INDEX(Personnes!$H$5:$H$154,MATCH($C122,Personnes!$B$5:$B$154,0)),"")&lt;&gt;"oui","invité (hors ligne)","ok"))))))</f>
        <v/>
      </c>
    </row>
    <row r="123" spans="1:8" x14ac:dyDescent="0.2">
      <c r="A123" s="15"/>
      <c r="B123" s="15"/>
      <c r="C123" s="10" t="str">
        <f>IF($B123="","",IFERROR(IF(ISNUMBER(FIND("[",$B123)),MID($B123,FIND("[",$B123)+1,FIND("]",$B123)-FIND("[",$B123)-1),IF(ISNUMBER($B123),INDEX(Personnes!$B$5:$B$154,MATCH($B123,Personnes!$A$5:$A$154,0)),IFERROR(INDEX(Personnes!$B$5:$B$154,MATCH($B123&amp;"*",Personnes!$C$5:$C$154,0)),INDEX(Personnes!$B$5:$B$154,MATCH($B123&amp;"*",Personnes!$D$5:$D$154,0))))),""))</f>
        <v/>
      </c>
      <c r="D123" s="10" t="str">
        <f>IFERROR(INDEX(Personnes!$C$5:$C$154,MATCH($C123,Personnes!$B$5:$B$154,0))&amp;"","")</f>
        <v/>
      </c>
      <c r="E123" s="10" t="str">
        <f>IFERROR(INDEX(Personnes!$D$5:$D$154,MATCH($C123,Personnes!$B$5:$B$154,0))&amp;"","")</f>
        <v/>
      </c>
      <c r="F123" s="15"/>
      <c r="G123" s="9"/>
      <c r="H123" s="10" t="str">
        <f>IF($B123="","",IF($C123="","apnéiste non reconnu",IF($A123="","séance non renseignée",IF(COUNTIFS($A$5:$A$504,$A123,$C$5:$C$504,$C123)&gt;1,"doublon séance / apnéiste",IF(OR($C123=IFERROR(INDEX('Calendrier'!$K$5:$K$5,MATCH($A123,'Calendrier'!$A$5:$A$5,0)),""),$C123=IFERROR(INDEX('Calendrier'!$O$5:$O$5,MATCH($A123,'Calendrier'!$A$5:$A$5,0)),"")),"encadrant et élève sur la même séance",IF(IFERROR(INDEX(Personnes!$H$5:$H$154,MATCH($C123,Personnes!$B$5:$B$154,0)),"")&lt;&gt;"oui","invité (hors ligne)","ok"))))))</f>
        <v/>
      </c>
    </row>
    <row r="124" spans="1:8" x14ac:dyDescent="0.2">
      <c r="A124" s="15"/>
      <c r="B124" s="15"/>
      <c r="C124" s="10" t="str">
        <f>IF($B124="","",IFERROR(IF(ISNUMBER(FIND("[",$B124)),MID($B124,FIND("[",$B124)+1,FIND("]",$B124)-FIND("[",$B124)-1),IF(ISNUMBER($B124),INDEX(Personnes!$B$5:$B$154,MATCH($B124,Personnes!$A$5:$A$154,0)),IFERROR(INDEX(Personnes!$B$5:$B$154,MATCH($B124&amp;"*",Personnes!$C$5:$C$154,0)),INDEX(Personnes!$B$5:$B$154,MATCH($B124&amp;"*",Personnes!$D$5:$D$154,0))))),""))</f>
        <v/>
      </c>
      <c r="D124" s="10" t="str">
        <f>IFERROR(INDEX(Personnes!$C$5:$C$154,MATCH($C124,Personnes!$B$5:$B$154,0))&amp;"","")</f>
        <v/>
      </c>
      <c r="E124" s="10" t="str">
        <f>IFERROR(INDEX(Personnes!$D$5:$D$154,MATCH($C124,Personnes!$B$5:$B$154,0))&amp;"","")</f>
        <v/>
      </c>
      <c r="F124" s="15"/>
      <c r="G124" s="9"/>
      <c r="H124" s="10" t="str">
        <f>IF($B124="","",IF($C124="","apnéiste non reconnu",IF($A124="","séance non renseignée",IF(COUNTIFS($A$5:$A$504,$A124,$C$5:$C$504,$C124)&gt;1,"doublon séance / apnéiste",IF(OR($C124=IFERROR(INDEX('Calendrier'!$K$5:$K$5,MATCH($A124,'Calendrier'!$A$5:$A$5,0)),""),$C124=IFERROR(INDEX('Calendrier'!$O$5:$O$5,MATCH($A124,'Calendrier'!$A$5:$A$5,0)),"")),"encadrant et élève sur la même séance",IF(IFERROR(INDEX(Personnes!$H$5:$H$154,MATCH($C124,Personnes!$B$5:$B$154,0)),"")&lt;&gt;"oui","invité (hors ligne)","ok"))))))</f>
        <v/>
      </c>
    </row>
    <row r="125" spans="1:8" x14ac:dyDescent="0.2">
      <c r="A125" s="15"/>
      <c r="B125" s="15"/>
      <c r="C125" s="10" t="str">
        <f>IF($B125="","",IFERROR(IF(ISNUMBER(FIND("[",$B125)),MID($B125,FIND("[",$B125)+1,FIND("]",$B125)-FIND("[",$B125)-1),IF(ISNUMBER($B125),INDEX(Personnes!$B$5:$B$154,MATCH($B125,Personnes!$A$5:$A$154,0)),IFERROR(INDEX(Personnes!$B$5:$B$154,MATCH($B125&amp;"*",Personnes!$C$5:$C$154,0)),INDEX(Personnes!$B$5:$B$154,MATCH($B125&amp;"*",Personnes!$D$5:$D$154,0))))),""))</f>
        <v/>
      </c>
      <c r="D125" s="10" t="str">
        <f>IFERROR(INDEX(Personnes!$C$5:$C$154,MATCH($C125,Personnes!$B$5:$B$154,0))&amp;"","")</f>
        <v/>
      </c>
      <c r="E125" s="10" t="str">
        <f>IFERROR(INDEX(Personnes!$D$5:$D$154,MATCH($C125,Personnes!$B$5:$B$154,0))&amp;"","")</f>
        <v/>
      </c>
      <c r="F125" s="15"/>
      <c r="G125" s="9"/>
      <c r="H125" s="10" t="str">
        <f>IF($B125="","",IF($C125="","apnéiste non reconnu",IF($A125="","séance non renseignée",IF(COUNTIFS($A$5:$A$504,$A125,$C$5:$C$504,$C125)&gt;1,"doublon séance / apnéiste",IF(OR($C125=IFERROR(INDEX('Calendrier'!$K$5:$K$5,MATCH($A125,'Calendrier'!$A$5:$A$5,0)),""),$C125=IFERROR(INDEX('Calendrier'!$O$5:$O$5,MATCH($A125,'Calendrier'!$A$5:$A$5,0)),"")),"encadrant et élève sur la même séance",IF(IFERROR(INDEX(Personnes!$H$5:$H$154,MATCH($C125,Personnes!$B$5:$B$154,0)),"")&lt;&gt;"oui","invité (hors ligne)","ok"))))))</f>
        <v/>
      </c>
    </row>
    <row r="126" spans="1:8" x14ac:dyDescent="0.2">
      <c r="A126" s="15"/>
      <c r="B126" s="15"/>
      <c r="C126" s="10" t="str">
        <f>IF($B126="","",IFERROR(IF(ISNUMBER(FIND("[",$B126)),MID($B126,FIND("[",$B126)+1,FIND("]",$B126)-FIND("[",$B126)-1),IF(ISNUMBER($B126),INDEX(Personnes!$B$5:$B$154,MATCH($B126,Personnes!$A$5:$A$154,0)),IFERROR(INDEX(Personnes!$B$5:$B$154,MATCH($B126&amp;"*",Personnes!$C$5:$C$154,0)),INDEX(Personnes!$B$5:$B$154,MATCH($B126&amp;"*",Personnes!$D$5:$D$154,0))))),""))</f>
        <v/>
      </c>
      <c r="D126" s="10" t="str">
        <f>IFERROR(INDEX(Personnes!$C$5:$C$154,MATCH($C126,Personnes!$B$5:$B$154,0))&amp;"","")</f>
        <v/>
      </c>
      <c r="E126" s="10" t="str">
        <f>IFERROR(INDEX(Personnes!$D$5:$D$154,MATCH($C126,Personnes!$B$5:$B$154,0))&amp;"","")</f>
        <v/>
      </c>
      <c r="F126" s="15"/>
      <c r="G126" s="9"/>
      <c r="H126" s="10" t="str">
        <f>IF($B126="","",IF($C126="","apnéiste non reconnu",IF($A126="","séance non renseignée",IF(COUNTIFS($A$5:$A$504,$A126,$C$5:$C$504,$C126)&gt;1,"doublon séance / apnéiste",IF(OR($C126=IFERROR(INDEX('Calendrier'!$K$5:$K$5,MATCH($A126,'Calendrier'!$A$5:$A$5,0)),""),$C126=IFERROR(INDEX('Calendrier'!$O$5:$O$5,MATCH($A126,'Calendrier'!$A$5:$A$5,0)),"")),"encadrant et élève sur la même séance",IF(IFERROR(INDEX(Personnes!$H$5:$H$154,MATCH($C126,Personnes!$B$5:$B$154,0)),"")&lt;&gt;"oui","invité (hors ligne)","ok"))))))</f>
        <v/>
      </c>
    </row>
    <row r="127" spans="1:8" x14ac:dyDescent="0.2">
      <c r="A127" s="15"/>
      <c r="B127" s="15"/>
      <c r="C127" s="10" t="str">
        <f>IF($B127="","",IFERROR(IF(ISNUMBER(FIND("[",$B127)),MID($B127,FIND("[",$B127)+1,FIND("]",$B127)-FIND("[",$B127)-1),IF(ISNUMBER($B127),INDEX(Personnes!$B$5:$B$154,MATCH($B127,Personnes!$A$5:$A$154,0)),IFERROR(INDEX(Personnes!$B$5:$B$154,MATCH($B127&amp;"*",Personnes!$C$5:$C$154,0)),INDEX(Personnes!$B$5:$B$154,MATCH($B127&amp;"*",Personnes!$D$5:$D$154,0))))),""))</f>
        <v/>
      </c>
      <c r="D127" s="10" t="str">
        <f>IFERROR(INDEX(Personnes!$C$5:$C$154,MATCH($C127,Personnes!$B$5:$B$154,0))&amp;"","")</f>
        <v/>
      </c>
      <c r="E127" s="10" t="str">
        <f>IFERROR(INDEX(Personnes!$D$5:$D$154,MATCH($C127,Personnes!$B$5:$B$154,0))&amp;"","")</f>
        <v/>
      </c>
      <c r="F127" s="15"/>
      <c r="G127" s="9"/>
      <c r="H127" s="10" t="str">
        <f>IF($B127="","",IF($C127="","apnéiste non reconnu",IF($A127="","séance non renseignée",IF(COUNTIFS($A$5:$A$504,$A127,$C$5:$C$504,$C127)&gt;1,"doublon séance / apnéiste",IF(OR($C127=IFERROR(INDEX('Calendrier'!$K$5:$K$5,MATCH($A127,'Calendrier'!$A$5:$A$5,0)),""),$C127=IFERROR(INDEX('Calendrier'!$O$5:$O$5,MATCH($A127,'Calendrier'!$A$5:$A$5,0)),"")),"encadrant et élève sur la même séance",IF(IFERROR(INDEX(Personnes!$H$5:$H$154,MATCH($C127,Personnes!$B$5:$B$154,0)),"")&lt;&gt;"oui","invité (hors ligne)","ok"))))))</f>
        <v/>
      </c>
    </row>
    <row r="128" spans="1:8" x14ac:dyDescent="0.2">
      <c r="A128" s="15"/>
      <c r="B128" s="15"/>
      <c r="C128" s="10" t="str">
        <f>IF($B128="","",IFERROR(IF(ISNUMBER(FIND("[",$B128)),MID($B128,FIND("[",$B128)+1,FIND("]",$B128)-FIND("[",$B128)-1),IF(ISNUMBER($B128),INDEX(Personnes!$B$5:$B$154,MATCH($B128,Personnes!$A$5:$A$154,0)),IFERROR(INDEX(Personnes!$B$5:$B$154,MATCH($B128&amp;"*",Personnes!$C$5:$C$154,0)),INDEX(Personnes!$B$5:$B$154,MATCH($B128&amp;"*",Personnes!$D$5:$D$154,0))))),""))</f>
        <v/>
      </c>
      <c r="D128" s="10" t="str">
        <f>IFERROR(INDEX(Personnes!$C$5:$C$154,MATCH($C128,Personnes!$B$5:$B$154,0))&amp;"","")</f>
        <v/>
      </c>
      <c r="E128" s="10" t="str">
        <f>IFERROR(INDEX(Personnes!$D$5:$D$154,MATCH($C128,Personnes!$B$5:$B$154,0))&amp;"","")</f>
        <v/>
      </c>
      <c r="F128" s="15"/>
      <c r="G128" s="9"/>
      <c r="H128" s="10" t="str">
        <f>IF($B128="","",IF($C128="","apnéiste non reconnu",IF($A128="","séance non renseignée",IF(COUNTIFS($A$5:$A$504,$A128,$C$5:$C$504,$C128)&gt;1,"doublon séance / apnéiste",IF(OR($C128=IFERROR(INDEX('Calendrier'!$K$5:$K$5,MATCH($A128,'Calendrier'!$A$5:$A$5,0)),""),$C128=IFERROR(INDEX('Calendrier'!$O$5:$O$5,MATCH($A128,'Calendrier'!$A$5:$A$5,0)),"")),"encadrant et élève sur la même séance",IF(IFERROR(INDEX(Personnes!$H$5:$H$154,MATCH($C128,Personnes!$B$5:$B$154,0)),"")&lt;&gt;"oui","invité (hors ligne)","ok"))))))</f>
        <v/>
      </c>
    </row>
    <row r="129" spans="1:8" x14ac:dyDescent="0.2">
      <c r="A129" s="15"/>
      <c r="B129" s="15"/>
      <c r="C129" s="10" t="str">
        <f>IF($B129="","",IFERROR(IF(ISNUMBER(FIND("[",$B129)),MID($B129,FIND("[",$B129)+1,FIND("]",$B129)-FIND("[",$B129)-1),IF(ISNUMBER($B129),INDEX(Personnes!$B$5:$B$154,MATCH($B129,Personnes!$A$5:$A$154,0)),IFERROR(INDEX(Personnes!$B$5:$B$154,MATCH($B129&amp;"*",Personnes!$C$5:$C$154,0)),INDEX(Personnes!$B$5:$B$154,MATCH($B129&amp;"*",Personnes!$D$5:$D$154,0))))),""))</f>
        <v/>
      </c>
      <c r="D129" s="10" t="str">
        <f>IFERROR(INDEX(Personnes!$C$5:$C$154,MATCH($C129,Personnes!$B$5:$B$154,0))&amp;"","")</f>
        <v/>
      </c>
      <c r="E129" s="10" t="str">
        <f>IFERROR(INDEX(Personnes!$D$5:$D$154,MATCH($C129,Personnes!$B$5:$B$154,0))&amp;"","")</f>
        <v/>
      </c>
      <c r="F129" s="15"/>
      <c r="G129" s="9"/>
      <c r="H129" s="10" t="str">
        <f>IF($B129="","",IF($C129="","apnéiste non reconnu",IF($A129="","séance non renseignée",IF(COUNTIFS($A$5:$A$504,$A129,$C$5:$C$504,$C129)&gt;1,"doublon séance / apnéiste",IF(OR($C129=IFERROR(INDEX('Calendrier'!$K$5:$K$5,MATCH($A129,'Calendrier'!$A$5:$A$5,0)),""),$C129=IFERROR(INDEX('Calendrier'!$O$5:$O$5,MATCH($A129,'Calendrier'!$A$5:$A$5,0)),"")),"encadrant et élève sur la même séance",IF(IFERROR(INDEX(Personnes!$H$5:$H$154,MATCH($C129,Personnes!$B$5:$B$154,0)),"")&lt;&gt;"oui","invité (hors ligne)","ok"))))))</f>
        <v/>
      </c>
    </row>
    <row r="130" spans="1:8" x14ac:dyDescent="0.2">
      <c r="A130" s="15"/>
      <c r="B130" s="15"/>
      <c r="C130" s="10" t="str">
        <f>IF($B130="","",IFERROR(IF(ISNUMBER(FIND("[",$B130)),MID($B130,FIND("[",$B130)+1,FIND("]",$B130)-FIND("[",$B130)-1),IF(ISNUMBER($B130),INDEX(Personnes!$B$5:$B$154,MATCH($B130,Personnes!$A$5:$A$154,0)),IFERROR(INDEX(Personnes!$B$5:$B$154,MATCH($B130&amp;"*",Personnes!$C$5:$C$154,0)),INDEX(Personnes!$B$5:$B$154,MATCH($B130&amp;"*",Personnes!$D$5:$D$154,0))))),""))</f>
        <v/>
      </c>
      <c r="D130" s="10" t="str">
        <f>IFERROR(INDEX(Personnes!$C$5:$C$154,MATCH($C130,Personnes!$B$5:$B$154,0))&amp;"","")</f>
        <v/>
      </c>
      <c r="E130" s="10" t="str">
        <f>IFERROR(INDEX(Personnes!$D$5:$D$154,MATCH($C130,Personnes!$B$5:$B$154,0))&amp;"","")</f>
        <v/>
      </c>
      <c r="F130" s="15"/>
      <c r="G130" s="9"/>
      <c r="H130" s="10" t="str">
        <f>IF($B130="","",IF($C130="","apnéiste non reconnu",IF($A130="","séance non renseignée",IF(COUNTIFS($A$5:$A$504,$A130,$C$5:$C$504,$C130)&gt;1,"doublon séance / apnéiste",IF(OR($C130=IFERROR(INDEX('Calendrier'!$K$5:$K$5,MATCH($A130,'Calendrier'!$A$5:$A$5,0)),""),$C130=IFERROR(INDEX('Calendrier'!$O$5:$O$5,MATCH($A130,'Calendrier'!$A$5:$A$5,0)),"")),"encadrant et élève sur la même séance",IF(IFERROR(INDEX(Personnes!$H$5:$H$154,MATCH($C130,Personnes!$B$5:$B$154,0)),"")&lt;&gt;"oui","invité (hors ligne)","ok"))))))</f>
        <v/>
      </c>
    </row>
    <row r="131" spans="1:8" x14ac:dyDescent="0.2">
      <c r="A131" s="15"/>
      <c r="B131" s="15"/>
      <c r="C131" s="10" t="str">
        <f>IF($B131="","",IFERROR(IF(ISNUMBER(FIND("[",$B131)),MID($B131,FIND("[",$B131)+1,FIND("]",$B131)-FIND("[",$B131)-1),IF(ISNUMBER($B131),INDEX(Personnes!$B$5:$B$154,MATCH($B131,Personnes!$A$5:$A$154,0)),IFERROR(INDEX(Personnes!$B$5:$B$154,MATCH($B131&amp;"*",Personnes!$C$5:$C$154,0)),INDEX(Personnes!$B$5:$B$154,MATCH($B131&amp;"*",Personnes!$D$5:$D$154,0))))),""))</f>
        <v/>
      </c>
      <c r="D131" s="10" t="str">
        <f>IFERROR(INDEX(Personnes!$C$5:$C$154,MATCH($C131,Personnes!$B$5:$B$154,0))&amp;"","")</f>
        <v/>
      </c>
      <c r="E131" s="10" t="str">
        <f>IFERROR(INDEX(Personnes!$D$5:$D$154,MATCH($C131,Personnes!$B$5:$B$154,0))&amp;"","")</f>
        <v/>
      </c>
      <c r="F131" s="15"/>
      <c r="G131" s="9"/>
      <c r="H131" s="10" t="str">
        <f>IF($B131="","",IF($C131="","apnéiste non reconnu",IF($A131="","séance non renseignée",IF(COUNTIFS($A$5:$A$504,$A131,$C$5:$C$504,$C131)&gt;1,"doublon séance / apnéiste",IF(OR($C131=IFERROR(INDEX('Calendrier'!$K$5:$K$5,MATCH($A131,'Calendrier'!$A$5:$A$5,0)),""),$C131=IFERROR(INDEX('Calendrier'!$O$5:$O$5,MATCH($A131,'Calendrier'!$A$5:$A$5,0)),"")),"encadrant et élève sur la même séance",IF(IFERROR(INDEX(Personnes!$H$5:$H$154,MATCH($C131,Personnes!$B$5:$B$154,0)),"")&lt;&gt;"oui","invité (hors ligne)","ok"))))))</f>
        <v/>
      </c>
    </row>
    <row r="132" spans="1:8" x14ac:dyDescent="0.2">
      <c r="A132" s="15"/>
      <c r="B132" s="15"/>
      <c r="C132" s="10" t="str">
        <f>IF($B132="","",IFERROR(IF(ISNUMBER(FIND("[",$B132)),MID($B132,FIND("[",$B132)+1,FIND("]",$B132)-FIND("[",$B132)-1),IF(ISNUMBER($B132),INDEX(Personnes!$B$5:$B$154,MATCH($B132,Personnes!$A$5:$A$154,0)),IFERROR(INDEX(Personnes!$B$5:$B$154,MATCH($B132&amp;"*",Personnes!$C$5:$C$154,0)),INDEX(Personnes!$B$5:$B$154,MATCH($B132&amp;"*",Personnes!$D$5:$D$154,0))))),""))</f>
        <v/>
      </c>
      <c r="D132" s="10" t="str">
        <f>IFERROR(INDEX(Personnes!$C$5:$C$154,MATCH($C132,Personnes!$B$5:$B$154,0))&amp;"","")</f>
        <v/>
      </c>
      <c r="E132" s="10" t="str">
        <f>IFERROR(INDEX(Personnes!$D$5:$D$154,MATCH($C132,Personnes!$B$5:$B$154,0))&amp;"","")</f>
        <v/>
      </c>
      <c r="F132" s="15"/>
      <c r="G132" s="9"/>
      <c r="H132" s="10" t="str">
        <f>IF($B132="","",IF($C132="","apnéiste non reconnu",IF($A132="","séance non renseignée",IF(COUNTIFS($A$5:$A$504,$A132,$C$5:$C$504,$C132)&gt;1,"doublon séance / apnéiste",IF(OR($C132=IFERROR(INDEX('Calendrier'!$K$5:$K$5,MATCH($A132,'Calendrier'!$A$5:$A$5,0)),""),$C132=IFERROR(INDEX('Calendrier'!$O$5:$O$5,MATCH($A132,'Calendrier'!$A$5:$A$5,0)),"")),"encadrant et élève sur la même séance",IF(IFERROR(INDEX(Personnes!$H$5:$H$154,MATCH($C132,Personnes!$B$5:$B$154,0)),"")&lt;&gt;"oui","invité (hors ligne)","ok"))))))</f>
        <v/>
      </c>
    </row>
    <row r="133" spans="1:8" x14ac:dyDescent="0.2">
      <c r="A133" s="15"/>
      <c r="B133" s="15"/>
      <c r="C133" s="10" t="str">
        <f>IF($B133="","",IFERROR(IF(ISNUMBER(FIND("[",$B133)),MID($B133,FIND("[",$B133)+1,FIND("]",$B133)-FIND("[",$B133)-1),IF(ISNUMBER($B133),INDEX(Personnes!$B$5:$B$154,MATCH($B133,Personnes!$A$5:$A$154,0)),IFERROR(INDEX(Personnes!$B$5:$B$154,MATCH($B133&amp;"*",Personnes!$C$5:$C$154,0)),INDEX(Personnes!$B$5:$B$154,MATCH($B133&amp;"*",Personnes!$D$5:$D$154,0))))),""))</f>
        <v/>
      </c>
      <c r="D133" s="10" t="str">
        <f>IFERROR(INDEX(Personnes!$C$5:$C$154,MATCH($C133,Personnes!$B$5:$B$154,0))&amp;"","")</f>
        <v/>
      </c>
      <c r="E133" s="10" t="str">
        <f>IFERROR(INDEX(Personnes!$D$5:$D$154,MATCH($C133,Personnes!$B$5:$B$154,0))&amp;"","")</f>
        <v/>
      </c>
      <c r="F133" s="15"/>
      <c r="G133" s="9"/>
      <c r="H133" s="10" t="str">
        <f>IF($B133="","",IF($C133="","apnéiste non reconnu",IF($A133="","séance non renseignée",IF(COUNTIFS($A$5:$A$504,$A133,$C$5:$C$504,$C133)&gt;1,"doublon séance / apnéiste",IF(OR($C133=IFERROR(INDEX('Calendrier'!$K$5:$K$5,MATCH($A133,'Calendrier'!$A$5:$A$5,0)),""),$C133=IFERROR(INDEX('Calendrier'!$O$5:$O$5,MATCH($A133,'Calendrier'!$A$5:$A$5,0)),"")),"encadrant et élève sur la même séance",IF(IFERROR(INDEX(Personnes!$H$5:$H$154,MATCH($C133,Personnes!$B$5:$B$154,0)),"")&lt;&gt;"oui","invité (hors ligne)","ok"))))))</f>
        <v/>
      </c>
    </row>
    <row r="134" spans="1:8" x14ac:dyDescent="0.2">
      <c r="A134" s="15"/>
      <c r="B134" s="15"/>
      <c r="C134" s="10" t="str">
        <f>IF($B134="","",IFERROR(IF(ISNUMBER(FIND("[",$B134)),MID($B134,FIND("[",$B134)+1,FIND("]",$B134)-FIND("[",$B134)-1),IF(ISNUMBER($B134),INDEX(Personnes!$B$5:$B$154,MATCH($B134,Personnes!$A$5:$A$154,0)),IFERROR(INDEX(Personnes!$B$5:$B$154,MATCH($B134&amp;"*",Personnes!$C$5:$C$154,0)),INDEX(Personnes!$B$5:$B$154,MATCH($B134&amp;"*",Personnes!$D$5:$D$154,0))))),""))</f>
        <v/>
      </c>
      <c r="D134" s="10" t="str">
        <f>IFERROR(INDEX(Personnes!$C$5:$C$154,MATCH($C134,Personnes!$B$5:$B$154,0))&amp;"","")</f>
        <v/>
      </c>
      <c r="E134" s="10" t="str">
        <f>IFERROR(INDEX(Personnes!$D$5:$D$154,MATCH($C134,Personnes!$B$5:$B$154,0))&amp;"","")</f>
        <v/>
      </c>
      <c r="F134" s="15"/>
      <c r="G134" s="9"/>
      <c r="H134" s="10" t="str">
        <f>IF($B134="","",IF($C134="","apnéiste non reconnu",IF($A134="","séance non renseignée",IF(COUNTIFS($A$5:$A$504,$A134,$C$5:$C$504,$C134)&gt;1,"doublon séance / apnéiste",IF(OR($C134=IFERROR(INDEX('Calendrier'!$K$5:$K$5,MATCH($A134,'Calendrier'!$A$5:$A$5,0)),""),$C134=IFERROR(INDEX('Calendrier'!$O$5:$O$5,MATCH($A134,'Calendrier'!$A$5:$A$5,0)),"")),"encadrant et élève sur la même séance",IF(IFERROR(INDEX(Personnes!$H$5:$H$154,MATCH($C134,Personnes!$B$5:$B$154,0)),"")&lt;&gt;"oui","invité (hors ligne)","ok"))))))</f>
        <v/>
      </c>
    </row>
    <row r="135" spans="1:8" x14ac:dyDescent="0.2">
      <c r="A135" s="15"/>
      <c r="B135" s="15"/>
      <c r="C135" s="10" t="str">
        <f>IF($B135="","",IFERROR(IF(ISNUMBER(FIND("[",$B135)),MID($B135,FIND("[",$B135)+1,FIND("]",$B135)-FIND("[",$B135)-1),IF(ISNUMBER($B135),INDEX(Personnes!$B$5:$B$154,MATCH($B135,Personnes!$A$5:$A$154,0)),IFERROR(INDEX(Personnes!$B$5:$B$154,MATCH($B135&amp;"*",Personnes!$C$5:$C$154,0)),INDEX(Personnes!$B$5:$B$154,MATCH($B135&amp;"*",Personnes!$D$5:$D$154,0))))),""))</f>
        <v/>
      </c>
      <c r="D135" s="10" t="str">
        <f>IFERROR(INDEX(Personnes!$C$5:$C$154,MATCH($C135,Personnes!$B$5:$B$154,0))&amp;"","")</f>
        <v/>
      </c>
      <c r="E135" s="10" t="str">
        <f>IFERROR(INDEX(Personnes!$D$5:$D$154,MATCH($C135,Personnes!$B$5:$B$154,0))&amp;"","")</f>
        <v/>
      </c>
      <c r="F135" s="15"/>
      <c r="G135" s="9"/>
      <c r="H135" s="10" t="str">
        <f>IF($B135="","",IF($C135="","apnéiste non reconnu",IF($A135="","séance non renseignée",IF(COUNTIFS($A$5:$A$504,$A135,$C$5:$C$504,$C135)&gt;1,"doublon séance / apnéiste",IF(OR($C135=IFERROR(INDEX('Calendrier'!$K$5:$K$5,MATCH($A135,'Calendrier'!$A$5:$A$5,0)),""),$C135=IFERROR(INDEX('Calendrier'!$O$5:$O$5,MATCH($A135,'Calendrier'!$A$5:$A$5,0)),"")),"encadrant et élève sur la même séance",IF(IFERROR(INDEX(Personnes!$H$5:$H$154,MATCH($C135,Personnes!$B$5:$B$154,0)),"")&lt;&gt;"oui","invité (hors ligne)","ok"))))))</f>
        <v/>
      </c>
    </row>
    <row r="136" spans="1:8" x14ac:dyDescent="0.2">
      <c r="A136" s="15"/>
      <c r="B136" s="15"/>
      <c r="C136" s="10" t="str">
        <f>IF($B136="","",IFERROR(IF(ISNUMBER(FIND("[",$B136)),MID($B136,FIND("[",$B136)+1,FIND("]",$B136)-FIND("[",$B136)-1),IF(ISNUMBER($B136),INDEX(Personnes!$B$5:$B$154,MATCH($B136,Personnes!$A$5:$A$154,0)),IFERROR(INDEX(Personnes!$B$5:$B$154,MATCH($B136&amp;"*",Personnes!$C$5:$C$154,0)),INDEX(Personnes!$B$5:$B$154,MATCH($B136&amp;"*",Personnes!$D$5:$D$154,0))))),""))</f>
        <v/>
      </c>
      <c r="D136" s="10" t="str">
        <f>IFERROR(INDEX(Personnes!$C$5:$C$154,MATCH($C136,Personnes!$B$5:$B$154,0))&amp;"","")</f>
        <v/>
      </c>
      <c r="E136" s="10" t="str">
        <f>IFERROR(INDEX(Personnes!$D$5:$D$154,MATCH($C136,Personnes!$B$5:$B$154,0))&amp;"","")</f>
        <v/>
      </c>
      <c r="F136" s="15"/>
      <c r="G136" s="9"/>
      <c r="H136" s="10" t="str">
        <f>IF($B136="","",IF($C136="","apnéiste non reconnu",IF($A136="","séance non renseignée",IF(COUNTIFS($A$5:$A$504,$A136,$C$5:$C$504,$C136)&gt;1,"doublon séance / apnéiste",IF(OR($C136=IFERROR(INDEX('Calendrier'!$K$5:$K$5,MATCH($A136,'Calendrier'!$A$5:$A$5,0)),""),$C136=IFERROR(INDEX('Calendrier'!$O$5:$O$5,MATCH($A136,'Calendrier'!$A$5:$A$5,0)),"")),"encadrant et élève sur la même séance",IF(IFERROR(INDEX(Personnes!$H$5:$H$154,MATCH($C136,Personnes!$B$5:$B$154,0)),"")&lt;&gt;"oui","invité (hors ligne)","ok"))))))</f>
        <v/>
      </c>
    </row>
    <row r="137" spans="1:8" x14ac:dyDescent="0.2">
      <c r="A137" s="15"/>
      <c r="B137" s="15"/>
      <c r="C137" s="10" t="str">
        <f>IF($B137="","",IFERROR(IF(ISNUMBER(FIND("[",$B137)),MID($B137,FIND("[",$B137)+1,FIND("]",$B137)-FIND("[",$B137)-1),IF(ISNUMBER($B137),INDEX(Personnes!$B$5:$B$154,MATCH($B137,Personnes!$A$5:$A$154,0)),IFERROR(INDEX(Personnes!$B$5:$B$154,MATCH($B137&amp;"*",Personnes!$C$5:$C$154,0)),INDEX(Personnes!$B$5:$B$154,MATCH($B137&amp;"*",Personnes!$D$5:$D$154,0))))),""))</f>
        <v/>
      </c>
      <c r="D137" s="10" t="str">
        <f>IFERROR(INDEX(Personnes!$C$5:$C$154,MATCH($C137,Personnes!$B$5:$B$154,0))&amp;"","")</f>
        <v/>
      </c>
      <c r="E137" s="10" t="str">
        <f>IFERROR(INDEX(Personnes!$D$5:$D$154,MATCH($C137,Personnes!$B$5:$B$154,0))&amp;"","")</f>
        <v/>
      </c>
      <c r="F137" s="15"/>
      <c r="G137" s="9"/>
      <c r="H137" s="10" t="str">
        <f>IF($B137="","",IF($C137="","apnéiste non reconnu",IF($A137="","séance non renseignée",IF(COUNTIFS($A$5:$A$504,$A137,$C$5:$C$504,$C137)&gt;1,"doublon séance / apnéiste",IF(OR($C137=IFERROR(INDEX('Calendrier'!$K$5:$K$5,MATCH($A137,'Calendrier'!$A$5:$A$5,0)),""),$C137=IFERROR(INDEX('Calendrier'!$O$5:$O$5,MATCH($A137,'Calendrier'!$A$5:$A$5,0)),"")),"encadrant et élève sur la même séance",IF(IFERROR(INDEX(Personnes!$H$5:$H$154,MATCH($C137,Personnes!$B$5:$B$154,0)),"")&lt;&gt;"oui","invité (hors ligne)","ok"))))))</f>
        <v/>
      </c>
    </row>
    <row r="138" spans="1:8" x14ac:dyDescent="0.2">
      <c r="A138" s="15"/>
      <c r="B138" s="15"/>
      <c r="C138" s="10" t="str">
        <f>IF($B138="","",IFERROR(IF(ISNUMBER(FIND("[",$B138)),MID($B138,FIND("[",$B138)+1,FIND("]",$B138)-FIND("[",$B138)-1),IF(ISNUMBER($B138),INDEX(Personnes!$B$5:$B$154,MATCH($B138,Personnes!$A$5:$A$154,0)),IFERROR(INDEX(Personnes!$B$5:$B$154,MATCH($B138&amp;"*",Personnes!$C$5:$C$154,0)),INDEX(Personnes!$B$5:$B$154,MATCH($B138&amp;"*",Personnes!$D$5:$D$154,0))))),""))</f>
        <v/>
      </c>
      <c r="D138" s="10" t="str">
        <f>IFERROR(INDEX(Personnes!$C$5:$C$154,MATCH($C138,Personnes!$B$5:$B$154,0))&amp;"","")</f>
        <v/>
      </c>
      <c r="E138" s="10" t="str">
        <f>IFERROR(INDEX(Personnes!$D$5:$D$154,MATCH($C138,Personnes!$B$5:$B$154,0))&amp;"","")</f>
        <v/>
      </c>
      <c r="F138" s="15"/>
      <c r="G138" s="9"/>
      <c r="H138" s="10" t="str">
        <f>IF($B138="","",IF($C138="","apnéiste non reconnu",IF($A138="","séance non renseignée",IF(COUNTIFS($A$5:$A$504,$A138,$C$5:$C$504,$C138)&gt;1,"doublon séance / apnéiste",IF(OR($C138=IFERROR(INDEX('Calendrier'!$K$5:$K$5,MATCH($A138,'Calendrier'!$A$5:$A$5,0)),""),$C138=IFERROR(INDEX('Calendrier'!$O$5:$O$5,MATCH($A138,'Calendrier'!$A$5:$A$5,0)),"")),"encadrant et élève sur la même séance",IF(IFERROR(INDEX(Personnes!$H$5:$H$154,MATCH($C138,Personnes!$B$5:$B$154,0)),"")&lt;&gt;"oui","invité (hors ligne)","ok"))))))</f>
        <v/>
      </c>
    </row>
    <row r="139" spans="1:8" x14ac:dyDescent="0.2">
      <c r="A139" s="15"/>
      <c r="B139" s="15"/>
      <c r="C139" s="10" t="str">
        <f>IF($B139="","",IFERROR(IF(ISNUMBER(FIND("[",$B139)),MID($B139,FIND("[",$B139)+1,FIND("]",$B139)-FIND("[",$B139)-1),IF(ISNUMBER($B139),INDEX(Personnes!$B$5:$B$154,MATCH($B139,Personnes!$A$5:$A$154,0)),IFERROR(INDEX(Personnes!$B$5:$B$154,MATCH($B139&amp;"*",Personnes!$C$5:$C$154,0)),INDEX(Personnes!$B$5:$B$154,MATCH($B139&amp;"*",Personnes!$D$5:$D$154,0))))),""))</f>
        <v/>
      </c>
      <c r="D139" s="10" t="str">
        <f>IFERROR(INDEX(Personnes!$C$5:$C$154,MATCH($C139,Personnes!$B$5:$B$154,0))&amp;"","")</f>
        <v/>
      </c>
      <c r="E139" s="10" t="str">
        <f>IFERROR(INDEX(Personnes!$D$5:$D$154,MATCH($C139,Personnes!$B$5:$B$154,0))&amp;"","")</f>
        <v/>
      </c>
      <c r="F139" s="15"/>
      <c r="G139" s="9"/>
      <c r="H139" s="10" t="str">
        <f>IF($B139="","",IF($C139="","apnéiste non reconnu",IF($A139="","séance non renseignée",IF(COUNTIFS($A$5:$A$504,$A139,$C$5:$C$504,$C139)&gt;1,"doublon séance / apnéiste",IF(OR($C139=IFERROR(INDEX('Calendrier'!$K$5:$K$5,MATCH($A139,'Calendrier'!$A$5:$A$5,0)),""),$C139=IFERROR(INDEX('Calendrier'!$O$5:$O$5,MATCH($A139,'Calendrier'!$A$5:$A$5,0)),"")),"encadrant et élève sur la même séance",IF(IFERROR(INDEX(Personnes!$H$5:$H$154,MATCH($C139,Personnes!$B$5:$B$154,0)),"")&lt;&gt;"oui","invité (hors ligne)","ok"))))))</f>
        <v/>
      </c>
    </row>
    <row r="140" spans="1:8" x14ac:dyDescent="0.2">
      <c r="A140" s="15"/>
      <c r="B140" s="15"/>
      <c r="C140" s="10" t="str">
        <f>IF($B140="","",IFERROR(IF(ISNUMBER(FIND("[",$B140)),MID($B140,FIND("[",$B140)+1,FIND("]",$B140)-FIND("[",$B140)-1),IF(ISNUMBER($B140),INDEX(Personnes!$B$5:$B$154,MATCH($B140,Personnes!$A$5:$A$154,0)),IFERROR(INDEX(Personnes!$B$5:$B$154,MATCH($B140&amp;"*",Personnes!$C$5:$C$154,0)),INDEX(Personnes!$B$5:$B$154,MATCH($B140&amp;"*",Personnes!$D$5:$D$154,0))))),""))</f>
        <v/>
      </c>
      <c r="D140" s="10" t="str">
        <f>IFERROR(INDEX(Personnes!$C$5:$C$154,MATCH($C140,Personnes!$B$5:$B$154,0))&amp;"","")</f>
        <v/>
      </c>
      <c r="E140" s="10" t="str">
        <f>IFERROR(INDEX(Personnes!$D$5:$D$154,MATCH($C140,Personnes!$B$5:$B$154,0))&amp;"","")</f>
        <v/>
      </c>
      <c r="F140" s="15"/>
      <c r="G140" s="9"/>
      <c r="H140" s="10" t="str">
        <f>IF($B140="","",IF($C140="","apnéiste non reconnu",IF($A140="","séance non renseignée",IF(COUNTIFS($A$5:$A$504,$A140,$C$5:$C$504,$C140)&gt;1,"doublon séance / apnéiste",IF(OR($C140=IFERROR(INDEX('Calendrier'!$K$5:$K$5,MATCH($A140,'Calendrier'!$A$5:$A$5,0)),""),$C140=IFERROR(INDEX('Calendrier'!$O$5:$O$5,MATCH($A140,'Calendrier'!$A$5:$A$5,0)),"")),"encadrant et élève sur la même séance",IF(IFERROR(INDEX(Personnes!$H$5:$H$154,MATCH($C140,Personnes!$B$5:$B$154,0)),"")&lt;&gt;"oui","invité (hors ligne)","ok"))))))</f>
        <v/>
      </c>
    </row>
    <row r="141" spans="1:8" x14ac:dyDescent="0.2">
      <c r="A141" s="15"/>
      <c r="B141" s="15"/>
      <c r="C141" s="10" t="str">
        <f>IF($B141="","",IFERROR(IF(ISNUMBER(FIND("[",$B141)),MID($B141,FIND("[",$B141)+1,FIND("]",$B141)-FIND("[",$B141)-1),IF(ISNUMBER($B141),INDEX(Personnes!$B$5:$B$154,MATCH($B141,Personnes!$A$5:$A$154,0)),IFERROR(INDEX(Personnes!$B$5:$B$154,MATCH($B141&amp;"*",Personnes!$C$5:$C$154,0)),INDEX(Personnes!$B$5:$B$154,MATCH($B141&amp;"*",Personnes!$D$5:$D$154,0))))),""))</f>
        <v/>
      </c>
      <c r="D141" s="10" t="str">
        <f>IFERROR(INDEX(Personnes!$C$5:$C$154,MATCH($C141,Personnes!$B$5:$B$154,0))&amp;"","")</f>
        <v/>
      </c>
      <c r="E141" s="10" t="str">
        <f>IFERROR(INDEX(Personnes!$D$5:$D$154,MATCH($C141,Personnes!$B$5:$B$154,0))&amp;"","")</f>
        <v/>
      </c>
      <c r="F141" s="15"/>
      <c r="G141" s="9"/>
      <c r="H141" s="10" t="str">
        <f>IF($B141="","",IF($C141="","apnéiste non reconnu",IF($A141="","séance non renseignée",IF(COUNTIFS($A$5:$A$504,$A141,$C$5:$C$504,$C141)&gt;1,"doublon séance / apnéiste",IF(OR($C141=IFERROR(INDEX('Calendrier'!$K$5:$K$5,MATCH($A141,'Calendrier'!$A$5:$A$5,0)),""),$C141=IFERROR(INDEX('Calendrier'!$O$5:$O$5,MATCH($A141,'Calendrier'!$A$5:$A$5,0)),"")),"encadrant et élève sur la même séance",IF(IFERROR(INDEX(Personnes!$H$5:$H$154,MATCH($C141,Personnes!$B$5:$B$154,0)),"")&lt;&gt;"oui","invité (hors ligne)","ok"))))))</f>
        <v/>
      </c>
    </row>
    <row r="142" spans="1:8" x14ac:dyDescent="0.2">
      <c r="A142" s="15"/>
      <c r="B142" s="15"/>
      <c r="C142" s="10" t="str">
        <f>IF($B142="","",IFERROR(IF(ISNUMBER(FIND("[",$B142)),MID($B142,FIND("[",$B142)+1,FIND("]",$B142)-FIND("[",$B142)-1),IF(ISNUMBER($B142),INDEX(Personnes!$B$5:$B$154,MATCH($B142,Personnes!$A$5:$A$154,0)),IFERROR(INDEX(Personnes!$B$5:$B$154,MATCH($B142&amp;"*",Personnes!$C$5:$C$154,0)),INDEX(Personnes!$B$5:$B$154,MATCH($B142&amp;"*",Personnes!$D$5:$D$154,0))))),""))</f>
        <v/>
      </c>
      <c r="D142" s="10" t="str">
        <f>IFERROR(INDEX(Personnes!$C$5:$C$154,MATCH($C142,Personnes!$B$5:$B$154,0))&amp;"","")</f>
        <v/>
      </c>
      <c r="E142" s="10" t="str">
        <f>IFERROR(INDEX(Personnes!$D$5:$D$154,MATCH($C142,Personnes!$B$5:$B$154,0))&amp;"","")</f>
        <v/>
      </c>
      <c r="F142" s="15"/>
      <c r="G142" s="9"/>
      <c r="H142" s="10" t="str">
        <f>IF($B142="","",IF($C142="","apnéiste non reconnu",IF($A142="","séance non renseignée",IF(COUNTIFS($A$5:$A$504,$A142,$C$5:$C$504,$C142)&gt;1,"doublon séance / apnéiste",IF(OR($C142=IFERROR(INDEX('Calendrier'!$K$5:$K$5,MATCH($A142,'Calendrier'!$A$5:$A$5,0)),""),$C142=IFERROR(INDEX('Calendrier'!$O$5:$O$5,MATCH($A142,'Calendrier'!$A$5:$A$5,0)),"")),"encadrant et élève sur la même séance",IF(IFERROR(INDEX(Personnes!$H$5:$H$154,MATCH($C142,Personnes!$B$5:$B$154,0)),"")&lt;&gt;"oui","invité (hors ligne)","ok"))))))</f>
        <v/>
      </c>
    </row>
    <row r="143" spans="1:8" x14ac:dyDescent="0.2">
      <c r="A143" s="15"/>
      <c r="B143" s="15"/>
      <c r="C143" s="10" t="str">
        <f>IF($B143="","",IFERROR(IF(ISNUMBER(FIND("[",$B143)),MID($B143,FIND("[",$B143)+1,FIND("]",$B143)-FIND("[",$B143)-1),IF(ISNUMBER($B143),INDEX(Personnes!$B$5:$B$154,MATCH($B143,Personnes!$A$5:$A$154,0)),IFERROR(INDEX(Personnes!$B$5:$B$154,MATCH($B143&amp;"*",Personnes!$C$5:$C$154,0)),INDEX(Personnes!$B$5:$B$154,MATCH($B143&amp;"*",Personnes!$D$5:$D$154,0))))),""))</f>
        <v/>
      </c>
      <c r="D143" s="10" t="str">
        <f>IFERROR(INDEX(Personnes!$C$5:$C$154,MATCH($C143,Personnes!$B$5:$B$154,0))&amp;"","")</f>
        <v/>
      </c>
      <c r="E143" s="10" t="str">
        <f>IFERROR(INDEX(Personnes!$D$5:$D$154,MATCH($C143,Personnes!$B$5:$B$154,0))&amp;"","")</f>
        <v/>
      </c>
      <c r="F143" s="15"/>
      <c r="G143" s="9"/>
      <c r="H143" s="10" t="str">
        <f>IF($B143="","",IF($C143="","apnéiste non reconnu",IF($A143="","séance non renseignée",IF(COUNTIFS($A$5:$A$504,$A143,$C$5:$C$504,$C143)&gt;1,"doublon séance / apnéiste",IF(OR($C143=IFERROR(INDEX('Calendrier'!$K$5:$K$5,MATCH($A143,'Calendrier'!$A$5:$A$5,0)),""),$C143=IFERROR(INDEX('Calendrier'!$O$5:$O$5,MATCH($A143,'Calendrier'!$A$5:$A$5,0)),"")),"encadrant et élève sur la même séance",IF(IFERROR(INDEX(Personnes!$H$5:$H$154,MATCH($C143,Personnes!$B$5:$B$154,0)),"")&lt;&gt;"oui","invité (hors ligne)","ok"))))))</f>
        <v/>
      </c>
    </row>
    <row r="144" spans="1:8" x14ac:dyDescent="0.2">
      <c r="A144" s="15"/>
      <c r="B144" s="15"/>
      <c r="C144" s="10" t="str">
        <f>IF($B144="","",IFERROR(IF(ISNUMBER(FIND("[",$B144)),MID($B144,FIND("[",$B144)+1,FIND("]",$B144)-FIND("[",$B144)-1),IF(ISNUMBER($B144),INDEX(Personnes!$B$5:$B$154,MATCH($B144,Personnes!$A$5:$A$154,0)),IFERROR(INDEX(Personnes!$B$5:$B$154,MATCH($B144&amp;"*",Personnes!$C$5:$C$154,0)),INDEX(Personnes!$B$5:$B$154,MATCH($B144&amp;"*",Personnes!$D$5:$D$154,0))))),""))</f>
        <v/>
      </c>
      <c r="D144" s="10" t="str">
        <f>IFERROR(INDEX(Personnes!$C$5:$C$154,MATCH($C144,Personnes!$B$5:$B$154,0))&amp;"","")</f>
        <v/>
      </c>
      <c r="E144" s="10" t="str">
        <f>IFERROR(INDEX(Personnes!$D$5:$D$154,MATCH($C144,Personnes!$B$5:$B$154,0))&amp;"","")</f>
        <v/>
      </c>
      <c r="F144" s="15"/>
      <c r="G144" s="9"/>
      <c r="H144" s="10" t="str">
        <f>IF($B144="","",IF($C144="","apnéiste non reconnu",IF($A144="","séance non renseignée",IF(COUNTIFS($A$5:$A$504,$A144,$C$5:$C$504,$C144)&gt;1,"doublon séance / apnéiste",IF(OR($C144=IFERROR(INDEX('Calendrier'!$K$5:$K$5,MATCH($A144,'Calendrier'!$A$5:$A$5,0)),""),$C144=IFERROR(INDEX('Calendrier'!$O$5:$O$5,MATCH($A144,'Calendrier'!$A$5:$A$5,0)),"")),"encadrant et élève sur la même séance",IF(IFERROR(INDEX(Personnes!$H$5:$H$154,MATCH($C144,Personnes!$B$5:$B$154,0)),"")&lt;&gt;"oui","invité (hors ligne)","ok"))))))</f>
        <v/>
      </c>
    </row>
    <row r="145" spans="1:8" x14ac:dyDescent="0.2">
      <c r="A145" s="15"/>
      <c r="B145" s="15"/>
      <c r="C145" s="10" t="str">
        <f>IF($B145="","",IFERROR(IF(ISNUMBER(FIND("[",$B145)),MID($B145,FIND("[",$B145)+1,FIND("]",$B145)-FIND("[",$B145)-1),IF(ISNUMBER($B145),INDEX(Personnes!$B$5:$B$154,MATCH($B145,Personnes!$A$5:$A$154,0)),IFERROR(INDEX(Personnes!$B$5:$B$154,MATCH($B145&amp;"*",Personnes!$C$5:$C$154,0)),INDEX(Personnes!$B$5:$B$154,MATCH($B145&amp;"*",Personnes!$D$5:$D$154,0))))),""))</f>
        <v/>
      </c>
      <c r="D145" s="10" t="str">
        <f>IFERROR(INDEX(Personnes!$C$5:$C$154,MATCH($C145,Personnes!$B$5:$B$154,0))&amp;"","")</f>
        <v/>
      </c>
      <c r="E145" s="10" t="str">
        <f>IFERROR(INDEX(Personnes!$D$5:$D$154,MATCH($C145,Personnes!$B$5:$B$154,0))&amp;"","")</f>
        <v/>
      </c>
      <c r="F145" s="15"/>
      <c r="G145" s="9"/>
      <c r="H145" s="10" t="str">
        <f>IF($B145="","",IF($C145="","apnéiste non reconnu",IF($A145="","séance non renseignée",IF(COUNTIFS($A$5:$A$504,$A145,$C$5:$C$504,$C145)&gt;1,"doublon séance / apnéiste",IF(OR($C145=IFERROR(INDEX('Calendrier'!$K$5:$K$5,MATCH($A145,'Calendrier'!$A$5:$A$5,0)),""),$C145=IFERROR(INDEX('Calendrier'!$O$5:$O$5,MATCH($A145,'Calendrier'!$A$5:$A$5,0)),"")),"encadrant et élève sur la même séance",IF(IFERROR(INDEX(Personnes!$H$5:$H$154,MATCH($C145,Personnes!$B$5:$B$154,0)),"")&lt;&gt;"oui","invité (hors ligne)","ok"))))))</f>
        <v/>
      </c>
    </row>
    <row r="146" spans="1:8" x14ac:dyDescent="0.2">
      <c r="A146" s="15"/>
      <c r="B146" s="15"/>
      <c r="C146" s="10" t="str">
        <f>IF($B146="","",IFERROR(IF(ISNUMBER(FIND("[",$B146)),MID($B146,FIND("[",$B146)+1,FIND("]",$B146)-FIND("[",$B146)-1),IF(ISNUMBER($B146),INDEX(Personnes!$B$5:$B$154,MATCH($B146,Personnes!$A$5:$A$154,0)),IFERROR(INDEX(Personnes!$B$5:$B$154,MATCH($B146&amp;"*",Personnes!$C$5:$C$154,0)),INDEX(Personnes!$B$5:$B$154,MATCH($B146&amp;"*",Personnes!$D$5:$D$154,0))))),""))</f>
        <v/>
      </c>
      <c r="D146" s="10" t="str">
        <f>IFERROR(INDEX(Personnes!$C$5:$C$154,MATCH($C146,Personnes!$B$5:$B$154,0))&amp;"","")</f>
        <v/>
      </c>
      <c r="E146" s="10" t="str">
        <f>IFERROR(INDEX(Personnes!$D$5:$D$154,MATCH($C146,Personnes!$B$5:$B$154,0))&amp;"","")</f>
        <v/>
      </c>
      <c r="F146" s="15"/>
      <c r="G146" s="9"/>
      <c r="H146" s="10" t="str">
        <f>IF($B146="","",IF($C146="","apnéiste non reconnu",IF($A146="","séance non renseignée",IF(COUNTIFS($A$5:$A$504,$A146,$C$5:$C$504,$C146)&gt;1,"doublon séance / apnéiste",IF(OR($C146=IFERROR(INDEX('Calendrier'!$K$5:$K$5,MATCH($A146,'Calendrier'!$A$5:$A$5,0)),""),$C146=IFERROR(INDEX('Calendrier'!$O$5:$O$5,MATCH($A146,'Calendrier'!$A$5:$A$5,0)),"")),"encadrant et élève sur la même séance",IF(IFERROR(INDEX(Personnes!$H$5:$H$154,MATCH($C146,Personnes!$B$5:$B$154,0)),"")&lt;&gt;"oui","invité (hors ligne)","ok"))))))</f>
        <v/>
      </c>
    </row>
    <row r="147" spans="1:8" x14ac:dyDescent="0.2">
      <c r="A147" s="15"/>
      <c r="B147" s="15"/>
      <c r="C147" s="10" t="str">
        <f>IF($B147="","",IFERROR(IF(ISNUMBER(FIND("[",$B147)),MID($B147,FIND("[",$B147)+1,FIND("]",$B147)-FIND("[",$B147)-1),IF(ISNUMBER($B147),INDEX(Personnes!$B$5:$B$154,MATCH($B147,Personnes!$A$5:$A$154,0)),IFERROR(INDEX(Personnes!$B$5:$B$154,MATCH($B147&amp;"*",Personnes!$C$5:$C$154,0)),INDEX(Personnes!$B$5:$B$154,MATCH($B147&amp;"*",Personnes!$D$5:$D$154,0))))),""))</f>
        <v/>
      </c>
      <c r="D147" s="10" t="str">
        <f>IFERROR(INDEX(Personnes!$C$5:$C$154,MATCH($C147,Personnes!$B$5:$B$154,0))&amp;"","")</f>
        <v/>
      </c>
      <c r="E147" s="10" t="str">
        <f>IFERROR(INDEX(Personnes!$D$5:$D$154,MATCH($C147,Personnes!$B$5:$B$154,0))&amp;"","")</f>
        <v/>
      </c>
      <c r="F147" s="15"/>
      <c r="G147" s="9"/>
      <c r="H147" s="10" t="str">
        <f>IF($B147="","",IF($C147="","apnéiste non reconnu",IF($A147="","séance non renseignée",IF(COUNTIFS($A$5:$A$504,$A147,$C$5:$C$504,$C147)&gt;1,"doublon séance / apnéiste",IF(OR($C147=IFERROR(INDEX('Calendrier'!$K$5:$K$5,MATCH($A147,'Calendrier'!$A$5:$A$5,0)),""),$C147=IFERROR(INDEX('Calendrier'!$O$5:$O$5,MATCH($A147,'Calendrier'!$A$5:$A$5,0)),"")),"encadrant et élève sur la même séance",IF(IFERROR(INDEX(Personnes!$H$5:$H$154,MATCH($C147,Personnes!$B$5:$B$154,0)),"")&lt;&gt;"oui","invité (hors ligne)","ok"))))))</f>
        <v/>
      </c>
    </row>
    <row r="148" spans="1:8" x14ac:dyDescent="0.2">
      <c r="A148" s="15"/>
      <c r="B148" s="15"/>
      <c r="C148" s="10" t="str">
        <f>IF($B148="","",IFERROR(IF(ISNUMBER(FIND("[",$B148)),MID($B148,FIND("[",$B148)+1,FIND("]",$B148)-FIND("[",$B148)-1),IF(ISNUMBER($B148),INDEX(Personnes!$B$5:$B$154,MATCH($B148,Personnes!$A$5:$A$154,0)),IFERROR(INDEX(Personnes!$B$5:$B$154,MATCH($B148&amp;"*",Personnes!$C$5:$C$154,0)),INDEX(Personnes!$B$5:$B$154,MATCH($B148&amp;"*",Personnes!$D$5:$D$154,0))))),""))</f>
        <v/>
      </c>
      <c r="D148" s="10" t="str">
        <f>IFERROR(INDEX(Personnes!$C$5:$C$154,MATCH($C148,Personnes!$B$5:$B$154,0))&amp;"","")</f>
        <v/>
      </c>
      <c r="E148" s="10" t="str">
        <f>IFERROR(INDEX(Personnes!$D$5:$D$154,MATCH($C148,Personnes!$B$5:$B$154,0))&amp;"","")</f>
        <v/>
      </c>
      <c r="F148" s="15"/>
      <c r="G148" s="9"/>
      <c r="H148" s="10" t="str">
        <f>IF($B148="","",IF($C148="","apnéiste non reconnu",IF($A148="","séance non renseignée",IF(COUNTIFS($A$5:$A$504,$A148,$C$5:$C$504,$C148)&gt;1,"doublon séance / apnéiste",IF(OR($C148=IFERROR(INDEX('Calendrier'!$K$5:$K$5,MATCH($A148,'Calendrier'!$A$5:$A$5,0)),""),$C148=IFERROR(INDEX('Calendrier'!$O$5:$O$5,MATCH($A148,'Calendrier'!$A$5:$A$5,0)),"")),"encadrant et élève sur la même séance",IF(IFERROR(INDEX(Personnes!$H$5:$H$154,MATCH($C148,Personnes!$B$5:$B$154,0)),"")&lt;&gt;"oui","invité (hors ligne)","ok"))))))</f>
        <v/>
      </c>
    </row>
    <row r="149" spans="1:8" x14ac:dyDescent="0.2">
      <c r="A149" s="15"/>
      <c r="B149" s="15"/>
      <c r="C149" s="10" t="str">
        <f>IF($B149="","",IFERROR(IF(ISNUMBER(FIND("[",$B149)),MID($B149,FIND("[",$B149)+1,FIND("]",$B149)-FIND("[",$B149)-1),IF(ISNUMBER($B149),INDEX(Personnes!$B$5:$B$154,MATCH($B149,Personnes!$A$5:$A$154,0)),IFERROR(INDEX(Personnes!$B$5:$B$154,MATCH($B149&amp;"*",Personnes!$C$5:$C$154,0)),INDEX(Personnes!$B$5:$B$154,MATCH($B149&amp;"*",Personnes!$D$5:$D$154,0))))),""))</f>
        <v/>
      </c>
      <c r="D149" s="10" t="str">
        <f>IFERROR(INDEX(Personnes!$C$5:$C$154,MATCH($C149,Personnes!$B$5:$B$154,0))&amp;"","")</f>
        <v/>
      </c>
      <c r="E149" s="10" t="str">
        <f>IFERROR(INDEX(Personnes!$D$5:$D$154,MATCH($C149,Personnes!$B$5:$B$154,0))&amp;"","")</f>
        <v/>
      </c>
      <c r="F149" s="15"/>
      <c r="G149" s="9"/>
      <c r="H149" s="10" t="str">
        <f>IF($B149="","",IF($C149="","apnéiste non reconnu",IF($A149="","séance non renseignée",IF(COUNTIFS($A$5:$A$504,$A149,$C$5:$C$504,$C149)&gt;1,"doublon séance / apnéiste",IF(OR($C149=IFERROR(INDEX('Calendrier'!$K$5:$K$5,MATCH($A149,'Calendrier'!$A$5:$A$5,0)),""),$C149=IFERROR(INDEX('Calendrier'!$O$5:$O$5,MATCH($A149,'Calendrier'!$A$5:$A$5,0)),"")),"encadrant et élève sur la même séance",IF(IFERROR(INDEX(Personnes!$H$5:$H$154,MATCH($C149,Personnes!$B$5:$B$154,0)),"")&lt;&gt;"oui","invité (hors ligne)","ok"))))))</f>
        <v/>
      </c>
    </row>
    <row r="150" spans="1:8" x14ac:dyDescent="0.2">
      <c r="A150" s="15"/>
      <c r="B150" s="15"/>
      <c r="C150" s="10" t="str">
        <f>IF($B150="","",IFERROR(IF(ISNUMBER(FIND("[",$B150)),MID($B150,FIND("[",$B150)+1,FIND("]",$B150)-FIND("[",$B150)-1),IF(ISNUMBER($B150),INDEX(Personnes!$B$5:$B$154,MATCH($B150,Personnes!$A$5:$A$154,0)),IFERROR(INDEX(Personnes!$B$5:$B$154,MATCH($B150&amp;"*",Personnes!$C$5:$C$154,0)),INDEX(Personnes!$B$5:$B$154,MATCH($B150&amp;"*",Personnes!$D$5:$D$154,0))))),""))</f>
        <v/>
      </c>
      <c r="D150" s="10" t="str">
        <f>IFERROR(INDEX(Personnes!$C$5:$C$154,MATCH($C150,Personnes!$B$5:$B$154,0))&amp;"","")</f>
        <v/>
      </c>
      <c r="E150" s="10" t="str">
        <f>IFERROR(INDEX(Personnes!$D$5:$D$154,MATCH($C150,Personnes!$B$5:$B$154,0))&amp;"","")</f>
        <v/>
      </c>
      <c r="F150" s="15"/>
      <c r="G150" s="9"/>
      <c r="H150" s="10" t="str">
        <f>IF($B150="","",IF($C150="","apnéiste non reconnu",IF($A150="","séance non renseignée",IF(COUNTIFS($A$5:$A$504,$A150,$C$5:$C$504,$C150)&gt;1,"doublon séance / apnéiste",IF(OR($C150=IFERROR(INDEX('Calendrier'!$K$5:$K$5,MATCH($A150,'Calendrier'!$A$5:$A$5,0)),""),$C150=IFERROR(INDEX('Calendrier'!$O$5:$O$5,MATCH($A150,'Calendrier'!$A$5:$A$5,0)),"")),"encadrant et élève sur la même séance",IF(IFERROR(INDEX(Personnes!$H$5:$H$154,MATCH($C150,Personnes!$B$5:$B$154,0)),"")&lt;&gt;"oui","invité (hors ligne)","ok"))))))</f>
        <v/>
      </c>
    </row>
    <row r="151" spans="1:8" x14ac:dyDescent="0.2">
      <c r="A151" s="15"/>
      <c r="B151" s="15"/>
      <c r="C151" s="10" t="str">
        <f>IF($B151="","",IFERROR(IF(ISNUMBER(FIND("[",$B151)),MID($B151,FIND("[",$B151)+1,FIND("]",$B151)-FIND("[",$B151)-1),IF(ISNUMBER($B151),INDEX(Personnes!$B$5:$B$154,MATCH($B151,Personnes!$A$5:$A$154,0)),IFERROR(INDEX(Personnes!$B$5:$B$154,MATCH($B151&amp;"*",Personnes!$C$5:$C$154,0)),INDEX(Personnes!$B$5:$B$154,MATCH($B151&amp;"*",Personnes!$D$5:$D$154,0))))),""))</f>
        <v/>
      </c>
      <c r="D151" s="10" t="str">
        <f>IFERROR(INDEX(Personnes!$C$5:$C$154,MATCH($C151,Personnes!$B$5:$B$154,0))&amp;"","")</f>
        <v/>
      </c>
      <c r="E151" s="10" t="str">
        <f>IFERROR(INDEX(Personnes!$D$5:$D$154,MATCH($C151,Personnes!$B$5:$B$154,0))&amp;"","")</f>
        <v/>
      </c>
      <c r="F151" s="15"/>
      <c r="G151" s="9"/>
      <c r="H151" s="10" t="str">
        <f>IF($B151="","",IF($C151="","apnéiste non reconnu",IF($A151="","séance non renseignée",IF(COUNTIFS($A$5:$A$504,$A151,$C$5:$C$504,$C151)&gt;1,"doublon séance / apnéiste",IF(OR($C151=IFERROR(INDEX('Calendrier'!$K$5:$K$5,MATCH($A151,'Calendrier'!$A$5:$A$5,0)),""),$C151=IFERROR(INDEX('Calendrier'!$O$5:$O$5,MATCH($A151,'Calendrier'!$A$5:$A$5,0)),"")),"encadrant et élève sur la même séance",IF(IFERROR(INDEX(Personnes!$H$5:$H$154,MATCH($C151,Personnes!$B$5:$B$154,0)),"")&lt;&gt;"oui","invité (hors ligne)","ok"))))))</f>
        <v/>
      </c>
    </row>
    <row r="152" spans="1:8" x14ac:dyDescent="0.2">
      <c r="A152" s="15"/>
      <c r="B152" s="15"/>
      <c r="C152" s="10" t="str">
        <f>IF($B152="","",IFERROR(IF(ISNUMBER(FIND("[",$B152)),MID($B152,FIND("[",$B152)+1,FIND("]",$B152)-FIND("[",$B152)-1),IF(ISNUMBER($B152),INDEX(Personnes!$B$5:$B$154,MATCH($B152,Personnes!$A$5:$A$154,0)),IFERROR(INDEX(Personnes!$B$5:$B$154,MATCH($B152&amp;"*",Personnes!$C$5:$C$154,0)),INDEX(Personnes!$B$5:$B$154,MATCH($B152&amp;"*",Personnes!$D$5:$D$154,0))))),""))</f>
        <v/>
      </c>
      <c r="D152" s="10" t="str">
        <f>IFERROR(INDEX(Personnes!$C$5:$C$154,MATCH($C152,Personnes!$B$5:$B$154,0))&amp;"","")</f>
        <v/>
      </c>
      <c r="E152" s="10" t="str">
        <f>IFERROR(INDEX(Personnes!$D$5:$D$154,MATCH($C152,Personnes!$B$5:$B$154,0))&amp;"","")</f>
        <v/>
      </c>
      <c r="F152" s="15"/>
      <c r="G152" s="9"/>
      <c r="H152" s="10" t="str">
        <f>IF($B152="","",IF($C152="","apnéiste non reconnu",IF($A152="","séance non renseignée",IF(COUNTIFS($A$5:$A$504,$A152,$C$5:$C$504,$C152)&gt;1,"doublon séance / apnéiste",IF(OR($C152=IFERROR(INDEX('Calendrier'!$K$5:$K$5,MATCH($A152,'Calendrier'!$A$5:$A$5,0)),""),$C152=IFERROR(INDEX('Calendrier'!$O$5:$O$5,MATCH($A152,'Calendrier'!$A$5:$A$5,0)),"")),"encadrant et élève sur la même séance",IF(IFERROR(INDEX(Personnes!$H$5:$H$154,MATCH($C152,Personnes!$B$5:$B$154,0)),"")&lt;&gt;"oui","invité (hors ligne)","ok"))))))</f>
        <v/>
      </c>
    </row>
    <row r="153" spans="1:8" x14ac:dyDescent="0.2">
      <c r="A153" s="15"/>
      <c r="B153" s="15"/>
      <c r="C153" s="10" t="str">
        <f>IF($B153="","",IFERROR(IF(ISNUMBER(FIND("[",$B153)),MID($B153,FIND("[",$B153)+1,FIND("]",$B153)-FIND("[",$B153)-1),IF(ISNUMBER($B153),INDEX(Personnes!$B$5:$B$154,MATCH($B153,Personnes!$A$5:$A$154,0)),IFERROR(INDEX(Personnes!$B$5:$B$154,MATCH($B153&amp;"*",Personnes!$C$5:$C$154,0)),INDEX(Personnes!$B$5:$B$154,MATCH($B153&amp;"*",Personnes!$D$5:$D$154,0))))),""))</f>
        <v/>
      </c>
      <c r="D153" s="10" t="str">
        <f>IFERROR(INDEX(Personnes!$C$5:$C$154,MATCH($C153,Personnes!$B$5:$B$154,0))&amp;"","")</f>
        <v/>
      </c>
      <c r="E153" s="10" t="str">
        <f>IFERROR(INDEX(Personnes!$D$5:$D$154,MATCH($C153,Personnes!$B$5:$B$154,0))&amp;"","")</f>
        <v/>
      </c>
      <c r="F153" s="15"/>
      <c r="G153" s="9"/>
      <c r="H153" s="10" t="str">
        <f>IF($B153="","",IF($C153="","apnéiste non reconnu",IF($A153="","séance non renseignée",IF(COUNTIFS($A$5:$A$504,$A153,$C$5:$C$504,$C153)&gt;1,"doublon séance / apnéiste",IF(OR($C153=IFERROR(INDEX('Calendrier'!$K$5:$K$5,MATCH($A153,'Calendrier'!$A$5:$A$5,0)),""),$C153=IFERROR(INDEX('Calendrier'!$O$5:$O$5,MATCH($A153,'Calendrier'!$A$5:$A$5,0)),"")),"encadrant et élève sur la même séance",IF(IFERROR(INDEX(Personnes!$H$5:$H$154,MATCH($C153,Personnes!$B$5:$B$154,0)),"")&lt;&gt;"oui","invité (hors ligne)","ok"))))))</f>
        <v/>
      </c>
    </row>
    <row r="154" spans="1:8" x14ac:dyDescent="0.2">
      <c r="A154" s="15"/>
      <c r="B154" s="15"/>
      <c r="C154" s="10" t="str">
        <f>IF($B154="","",IFERROR(IF(ISNUMBER(FIND("[",$B154)),MID($B154,FIND("[",$B154)+1,FIND("]",$B154)-FIND("[",$B154)-1),IF(ISNUMBER($B154),INDEX(Personnes!$B$5:$B$154,MATCH($B154,Personnes!$A$5:$A$154,0)),IFERROR(INDEX(Personnes!$B$5:$B$154,MATCH($B154&amp;"*",Personnes!$C$5:$C$154,0)),INDEX(Personnes!$B$5:$B$154,MATCH($B154&amp;"*",Personnes!$D$5:$D$154,0))))),""))</f>
        <v/>
      </c>
      <c r="D154" s="10" t="str">
        <f>IFERROR(INDEX(Personnes!$C$5:$C$154,MATCH($C154,Personnes!$B$5:$B$154,0))&amp;"","")</f>
        <v/>
      </c>
      <c r="E154" s="10" t="str">
        <f>IFERROR(INDEX(Personnes!$D$5:$D$154,MATCH($C154,Personnes!$B$5:$B$154,0))&amp;"","")</f>
        <v/>
      </c>
      <c r="F154" s="15"/>
      <c r="G154" s="9"/>
      <c r="H154" s="10" t="str">
        <f>IF($B154="","",IF($C154="","apnéiste non reconnu",IF($A154="","séance non renseignée",IF(COUNTIFS($A$5:$A$504,$A154,$C$5:$C$504,$C154)&gt;1,"doublon séance / apnéiste",IF(OR($C154=IFERROR(INDEX('Calendrier'!$K$5:$K$5,MATCH($A154,'Calendrier'!$A$5:$A$5,0)),""),$C154=IFERROR(INDEX('Calendrier'!$O$5:$O$5,MATCH($A154,'Calendrier'!$A$5:$A$5,0)),"")),"encadrant et élève sur la même séance",IF(IFERROR(INDEX(Personnes!$H$5:$H$154,MATCH($C154,Personnes!$B$5:$B$154,0)),"")&lt;&gt;"oui","invité (hors ligne)","ok"))))))</f>
        <v/>
      </c>
    </row>
    <row r="155" spans="1:8" x14ac:dyDescent="0.2">
      <c r="A155" s="15"/>
      <c r="B155" s="15"/>
      <c r="C155" s="10" t="str">
        <f>IF($B155="","",IFERROR(IF(ISNUMBER(FIND("[",$B155)),MID($B155,FIND("[",$B155)+1,FIND("]",$B155)-FIND("[",$B155)-1),IF(ISNUMBER($B155),INDEX(Personnes!$B$5:$B$154,MATCH($B155,Personnes!$A$5:$A$154,0)),IFERROR(INDEX(Personnes!$B$5:$B$154,MATCH($B155&amp;"*",Personnes!$C$5:$C$154,0)),INDEX(Personnes!$B$5:$B$154,MATCH($B155&amp;"*",Personnes!$D$5:$D$154,0))))),""))</f>
        <v/>
      </c>
      <c r="D155" s="10" t="str">
        <f>IFERROR(INDEX(Personnes!$C$5:$C$154,MATCH($C155,Personnes!$B$5:$B$154,0))&amp;"","")</f>
        <v/>
      </c>
      <c r="E155" s="10" t="str">
        <f>IFERROR(INDEX(Personnes!$D$5:$D$154,MATCH($C155,Personnes!$B$5:$B$154,0))&amp;"","")</f>
        <v/>
      </c>
      <c r="F155" s="15"/>
      <c r="G155" s="9"/>
      <c r="H155" s="10" t="str">
        <f>IF($B155="","",IF($C155="","apnéiste non reconnu",IF($A155="","séance non renseignée",IF(COUNTIFS($A$5:$A$504,$A155,$C$5:$C$504,$C155)&gt;1,"doublon séance / apnéiste",IF(OR($C155=IFERROR(INDEX('Calendrier'!$K$5:$K$5,MATCH($A155,'Calendrier'!$A$5:$A$5,0)),""),$C155=IFERROR(INDEX('Calendrier'!$O$5:$O$5,MATCH($A155,'Calendrier'!$A$5:$A$5,0)),"")),"encadrant et élève sur la même séance",IF(IFERROR(INDEX(Personnes!$H$5:$H$154,MATCH($C155,Personnes!$B$5:$B$154,0)),"")&lt;&gt;"oui","invité (hors ligne)","ok"))))))</f>
        <v/>
      </c>
    </row>
    <row r="156" spans="1:8" x14ac:dyDescent="0.2">
      <c r="A156" s="15"/>
      <c r="B156" s="15"/>
      <c r="C156" s="10" t="str">
        <f>IF($B156="","",IFERROR(IF(ISNUMBER(FIND("[",$B156)),MID($B156,FIND("[",$B156)+1,FIND("]",$B156)-FIND("[",$B156)-1),IF(ISNUMBER($B156),INDEX(Personnes!$B$5:$B$154,MATCH($B156,Personnes!$A$5:$A$154,0)),IFERROR(INDEX(Personnes!$B$5:$B$154,MATCH($B156&amp;"*",Personnes!$C$5:$C$154,0)),INDEX(Personnes!$B$5:$B$154,MATCH($B156&amp;"*",Personnes!$D$5:$D$154,0))))),""))</f>
        <v/>
      </c>
      <c r="D156" s="10" t="str">
        <f>IFERROR(INDEX(Personnes!$C$5:$C$154,MATCH($C156,Personnes!$B$5:$B$154,0))&amp;"","")</f>
        <v/>
      </c>
      <c r="E156" s="10" t="str">
        <f>IFERROR(INDEX(Personnes!$D$5:$D$154,MATCH($C156,Personnes!$B$5:$B$154,0))&amp;"","")</f>
        <v/>
      </c>
      <c r="F156" s="15"/>
      <c r="G156" s="9"/>
      <c r="H156" s="10" t="str">
        <f>IF($B156="","",IF($C156="","apnéiste non reconnu",IF($A156="","séance non renseignée",IF(COUNTIFS($A$5:$A$504,$A156,$C$5:$C$504,$C156)&gt;1,"doublon séance / apnéiste",IF(OR($C156=IFERROR(INDEX('Calendrier'!$K$5:$K$5,MATCH($A156,'Calendrier'!$A$5:$A$5,0)),""),$C156=IFERROR(INDEX('Calendrier'!$O$5:$O$5,MATCH($A156,'Calendrier'!$A$5:$A$5,0)),"")),"encadrant et élève sur la même séance",IF(IFERROR(INDEX(Personnes!$H$5:$H$154,MATCH($C156,Personnes!$B$5:$B$154,0)),"")&lt;&gt;"oui","invité (hors ligne)","ok"))))))</f>
        <v/>
      </c>
    </row>
    <row r="157" spans="1:8" x14ac:dyDescent="0.2">
      <c r="A157" s="15"/>
      <c r="B157" s="15"/>
      <c r="C157" s="10" t="str">
        <f>IF($B157="","",IFERROR(IF(ISNUMBER(FIND("[",$B157)),MID($B157,FIND("[",$B157)+1,FIND("]",$B157)-FIND("[",$B157)-1),IF(ISNUMBER($B157),INDEX(Personnes!$B$5:$B$154,MATCH($B157,Personnes!$A$5:$A$154,0)),IFERROR(INDEX(Personnes!$B$5:$B$154,MATCH($B157&amp;"*",Personnes!$C$5:$C$154,0)),INDEX(Personnes!$B$5:$B$154,MATCH($B157&amp;"*",Personnes!$D$5:$D$154,0))))),""))</f>
        <v/>
      </c>
      <c r="D157" s="10" t="str">
        <f>IFERROR(INDEX(Personnes!$C$5:$C$154,MATCH($C157,Personnes!$B$5:$B$154,0))&amp;"","")</f>
        <v/>
      </c>
      <c r="E157" s="10" t="str">
        <f>IFERROR(INDEX(Personnes!$D$5:$D$154,MATCH($C157,Personnes!$B$5:$B$154,0))&amp;"","")</f>
        <v/>
      </c>
      <c r="F157" s="15"/>
      <c r="G157" s="9"/>
      <c r="H157" s="10" t="str">
        <f>IF($B157="","",IF($C157="","apnéiste non reconnu",IF($A157="","séance non renseignée",IF(COUNTIFS($A$5:$A$504,$A157,$C$5:$C$504,$C157)&gt;1,"doublon séance / apnéiste",IF(OR($C157=IFERROR(INDEX('Calendrier'!$K$5:$K$5,MATCH($A157,'Calendrier'!$A$5:$A$5,0)),""),$C157=IFERROR(INDEX('Calendrier'!$O$5:$O$5,MATCH($A157,'Calendrier'!$A$5:$A$5,0)),"")),"encadrant et élève sur la même séance",IF(IFERROR(INDEX(Personnes!$H$5:$H$154,MATCH($C157,Personnes!$B$5:$B$154,0)),"")&lt;&gt;"oui","invité (hors ligne)","ok"))))))</f>
        <v/>
      </c>
    </row>
    <row r="158" spans="1:8" x14ac:dyDescent="0.2">
      <c r="A158" s="15"/>
      <c r="B158" s="15"/>
      <c r="C158" s="10" t="str">
        <f>IF($B158="","",IFERROR(IF(ISNUMBER(FIND("[",$B158)),MID($B158,FIND("[",$B158)+1,FIND("]",$B158)-FIND("[",$B158)-1),IF(ISNUMBER($B158),INDEX(Personnes!$B$5:$B$154,MATCH($B158,Personnes!$A$5:$A$154,0)),IFERROR(INDEX(Personnes!$B$5:$B$154,MATCH($B158&amp;"*",Personnes!$C$5:$C$154,0)),INDEX(Personnes!$B$5:$B$154,MATCH($B158&amp;"*",Personnes!$D$5:$D$154,0))))),""))</f>
        <v/>
      </c>
      <c r="D158" s="10" t="str">
        <f>IFERROR(INDEX(Personnes!$C$5:$C$154,MATCH($C158,Personnes!$B$5:$B$154,0))&amp;"","")</f>
        <v/>
      </c>
      <c r="E158" s="10" t="str">
        <f>IFERROR(INDEX(Personnes!$D$5:$D$154,MATCH($C158,Personnes!$B$5:$B$154,0))&amp;"","")</f>
        <v/>
      </c>
      <c r="F158" s="15"/>
      <c r="G158" s="9"/>
      <c r="H158" s="10" t="str">
        <f>IF($B158="","",IF($C158="","apnéiste non reconnu",IF($A158="","séance non renseignée",IF(COUNTIFS($A$5:$A$504,$A158,$C$5:$C$504,$C158)&gt;1,"doublon séance / apnéiste",IF(OR($C158=IFERROR(INDEX('Calendrier'!$K$5:$K$5,MATCH($A158,'Calendrier'!$A$5:$A$5,0)),""),$C158=IFERROR(INDEX('Calendrier'!$O$5:$O$5,MATCH($A158,'Calendrier'!$A$5:$A$5,0)),"")),"encadrant et élève sur la même séance",IF(IFERROR(INDEX(Personnes!$H$5:$H$154,MATCH($C158,Personnes!$B$5:$B$154,0)),"")&lt;&gt;"oui","invité (hors ligne)","ok"))))))</f>
        <v/>
      </c>
    </row>
    <row r="159" spans="1:8" x14ac:dyDescent="0.2">
      <c r="A159" s="15"/>
      <c r="B159" s="15"/>
      <c r="C159" s="10" t="str">
        <f>IF($B159="","",IFERROR(IF(ISNUMBER(FIND("[",$B159)),MID($B159,FIND("[",$B159)+1,FIND("]",$B159)-FIND("[",$B159)-1),IF(ISNUMBER($B159),INDEX(Personnes!$B$5:$B$154,MATCH($B159,Personnes!$A$5:$A$154,0)),IFERROR(INDEX(Personnes!$B$5:$B$154,MATCH($B159&amp;"*",Personnes!$C$5:$C$154,0)),INDEX(Personnes!$B$5:$B$154,MATCH($B159&amp;"*",Personnes!$D$5:$D$154,0))))),""))</f>
        <v/>
      </c>
      <c r="D159" s="10" t="str">
        <f>IFERROR(INDEX(Personnes!$C$5:$C$154,MATCH($C159,Personnes!$B$5:$B$154,0))&amp;"","")</f>
        <v/>
      </c>
      <c r="E159" s="10" t="str">
        <f>IFERROR(INDEX(Personnes!$D$5:$D$154,MATCH($C159,Personnes!$B$5:$B$154,0))&amp;"","")</f>
        <v/>
      </c>
      <c r="F159" s="15"/>
      <c r="G159" s="9"/>
      <c r="H159" s="10" t="str">
        <f>IF($B159="","",IF($C159="","apnéiste non reconnu",IF($A159="","séance non renseignée",IF(COUNTIFS($A$5:$A$504,$A159,$C$5:$C$504,$C159)&gt;1,"doublon séance / apnéiste",IF(OR($C159=IFERROR(INDEX('Calendrier'!$K$5:$K$5,MATCH($A159,'Calendrier'!$A$5:$A$5,0)),""),$C159=IFERROR(INDEX('Calendrier'!$O$5:$O$5,MATCH($A159,'Calendrier'!$A$5:$A$5,0)),"")),"encadrant et élève sur la même séance",IF(IFERROR(INDEX(Personnes!$H$5:$H$154,MATCH($C159,Personnes!$B$5:$B$154,0)),"")&lt;&gt;"oui","invité (hors ligne)","ok"))))))</f>
        <v/>
      </c>
    </row>
    <row r="160" spans="1:8" x14ac:dyDescent="0.2">
      <c r="A160" s="15"/>
      <c r="B160" s="15"/>
      <c r="C160" s="10" t="str">
        <f>IF($B160="","",IFERROR(IF(ISNUMBER(FIND("[",$B160)),MID($B160,FIND("[",$B160)+1,FIND("]",$B160)-FIND("[",$B160)-1),IF(ISNUMBER($B160),INDEX(Personnes!$B$5:$B$154,MATCH($B160,Personnes!$A$5:$A$154,0)),IFERROR(INDEX(Personnes!$B$5:$B$154,MATCH($B160&amp;"*",Personnes!$C$5:$C$154,0)),INDEX(Personnes!$B$5:$B$154,MATCH($B160&amp;"*",Personnes!$D$5:$D$154,0))))),""))</f>
        <v/>
      </c>
      <c r="D160" s="10" t="str">
        <f>IFERROR(INDEX(Personnes!$C$5:$C$154,MATCH($C160,Personnes!$B$5:$B$154,0))&amp;"","")</f>
        <v/>
      </c>
      <c r="E160" s="10" t="str">
        <f>IFERROR(INDEX(Personnes!$D$5:$D$154,MATCH($C160,Personnes!$B$5:$B$154,0))&amp;"","")</f>
        <v/>
      </c>
      <c r="F160" s="15"/>
      <c r="G160" s="9"/>
      <c r="H160" s="10" t="str">
        <f>IF($B160="","",IF($C160="","apnéiste non reconnu",IF($A160="","séance non renseignée",IF(COUNTIFS($A$5:$A$504,$A160,$C$5:$C$504,$C160)&gt;1,"doublon séance / apnéiste",IF(OR($C160=IFERROR(INDEX('Calendrier'!$K$5:$K$5,MATCH($A160,'Calendrier'!$A$5:$A$5,0)),""),$C160=IFERROR(INDEX('Calendrier'!$O$5:$O$5,MATCH($A160,'Calendrier'!$A$5:$A$5,0)),"")),"encadrant et élève sur la même séance",IF(IFERROR(INDEX(Personnes!$H$5:$H$154,MATCH($C160,Personnes!$B$5:$B$154,0)),"")&lt;&gt;"oui","invité (hors ligne)","ok"))))))</f>
        <v/>
      </c>
    </row>
    <row r="161" spans="1:8" x14ac:dyDescent="0.2">
      <c r="A161" s="15"/>
      <c r="B161" s="15"/>
      <c r="C161" s="10" t="str">
        <f>IF($B161="","",IFERROR(IF(ISNUMBER(FIND("[",$B161)),MID($B161,FIND("[",$B161)+1,FIND("]",$B161)-FIND("[",$B161)-1),IF(ISNUMBER($B161),INDEX(Personnes!$B$5:$B$154,MATCH($B161,Personnes!$A$5:$A$154,0)),IFERROR(INDEX(Personnes!$B$5:$B$154,MATCH($B161&amp;"*",Personnes!$C$5:$C$154,0)),INDEX(Personnes!$B$5:$B$154,MATCH($B161&amp;"*",Personnes!$D$5:$D$154,0))))),""))</f>
        <v/>
      </c>
      <c r="D161" s="10" t="str">
        <f>IFERROR(INDEX(Personnes!$C$5:$C$154,MATCH($C161,Personnes!$B$5:$B$154,0))&amp;"","")</f>
        <v/>
      </c>
      <c r="E161" s="10" t="str">
        <f>IFERROR(INDEX(Personnes!$D$5:$D$154,MATCH($C161,Personnes!$B$5:$B$154,0))&amp;"","")</f>
        <v/>
      </c>
      <c r="F161" s="15"/>
      <c r="G161" s="9"/>
      <c r="H161" s="10" t="str">
        <f>IF($B161="","",IF($C161="","apnéiste non reconnu",IF($A161="","séance non renseignée",IF(COUNTIFS($A$5:$A$504,$A161,$C$5:$C$504,$C161)&gt;1,"doublon séance / apnéiste",IF(OR($C161=IFERROR(INDEX('Calendrier'!$K$5:$K$5,MATCH($A161,'Calendrier'!$A$5:$A$5,0)),""),$C161=IFERROR(INDEX('Calendrier'!$O$5:$O$5,MATCH($A161,'Calendrier'!$A$5:$A$5,0)),"")),"encadrant et élève sur la même séance",IF(IFERROR(INDEX(Personnes!$H$5:$H$154,MATCH($C161,Personnes!$B$5:$B$154,0)),"")&lt;&gt;"oui","invité (hors ligne)","ok"))))))</f>
        <v/>
      </c>
    </row>
    <row r="162" spans="1:8" x14ac:dyDescent="0.2">
      <c r="A162" s="15"/>
      <c r="B162" s="15"/>
      <c r="C162" s="10" t="str">
        <f>IF($B162="","",IFERROR(IF(ISNUMBER(FIND("[",$B162)),MID($B162,FIND("[",$B162)+1,FIND("]",$B162)-FIND("[",$B162)-1),IF(ISNUMBER($B162),INDEX(Personnes!$B$5:$B$154,MATCH($B162,Personnes!$A$5:$A$154,0)),IFERROR(INDEX(Personnes!$B$5:$B$154,MATCH($B162&amp;"*",Personnes!$C$5:$C$154,0)),INDEX(Personnes!$B$5:$B$154,MATCH($B162&amp;"*",Personnes!$D$5:$D$154,0))))),""))</f>
        <v/>
      </c>
      <c r="D162" s="10" t="str">
        <f>IFERROR(INDEX(Personnes!$C$5:$C$154,MATCH($C162,Personnes!$B$5:$B$154,0))&amp;"","")</f>
        <v/>
      </c>
      <c r="E162" s="10" t="str">
        <f>IFERROR(INDEX(Personnes!$D$5:$D$154,MATCH($C162,Personnes!$B$5:$B$154,0))&amp;"","")</f>
        <v/>
      </c>
      <c r="F162" s="15"/>
      <c r="G162" s="9"/>
      <c r="H162" s="10" t="str">
        <f>IF($B162="","",IF($C162="","apnéiste non reconnu",IF($A162="","séance non renseignée",IF(COUNTIFS($A$5:$A$504,$A162,$C$5:$C$504,$C162)&gt;1,"doublon séance / apnéiste",IF(OR($C162=IFERROR(INDEX('Calendrier'!$K$5:$K$5,MATCH($A162,'Calendrier'!$A$5:$A$5,0)),""),$C162=IFERROR(INDEX('Calendrier'!$O$5:$O$5,MATCH($A162,'Calendrier'!$A$5:$A$5,0)),"")),"encadrant et élève sur la même séance",IF(IFERROR(INDEX(Personnes!$H$5:$H$154,MATCH($C162,Personnes!$B$5:$B$154,0)),"")&lt;&gt;"oui","invité (hors ligne)","ok"))))))</f>
        <v/>
      </c>
    </row>
    <row r="163" spans="1:8" x14ac:dyDescent="0.2">
      <c r="A163" s="15"/>
      <c r="B163" s="15"/>
      <c r="C163" s="10" t="str">
        <f>IF($B163="","",IFERROR(IF(ISNUMBER(FIND("[",$B163)),MID($B163,FIND("[",$B163)+1,FIND("]",$B163)-FIND("[",$B163)-1),IF(ISNUMBER($B163),INDEX(Personnes!$B$5:$B$154,MATCH($B163,Personnes!$A$5:$A$154,0)),IFERROR(INDEX(Personnes!$B$5:$B$154,MATCH($B163&amp;"*",Personnes!$C$5:$C$154,0)),INDEX(Personnes!$B$5:$B$154,MATCH($B163&amp;"*",Personnes!$D$5:$D$154,0))))),""))</f>
        <v/>
      </c>
      <c r="D163" s="10" t="str">
        <f>IFERROR(INDEX(Personnes!$C$5:$C$154,MATCH($C163,Personnes!$B$5:$B$154,0))&amp;"","")</f>
        <v/>
      </c>
      <c r="E163" s="10" t="str">
        <f>IFERROR(INDEX(Personnes!$D$5:$D$154,MATCH($C163,Personnes!$B$5:$B$154,0))&amp;"","")</f>
        <v/>
      </c>
      <c r="F163" s="15"/>
      <c r="G163" s="9"/>
      <c r="H163" s="10" t="str">
        <f>IF($B163="","",IF($C163="","apnéiste non reconnu",IF($A163="","séance non renseignée",IF(COUNTIFS($A$5:$A$504,$A163,$C$5:$C$504,$C163)&gt;1,"doublon séance / apnéiste",IF(OR($C163=IFERROR(INDEX('Calendrier'!$K$5:$K$5,MATCH($A163,'Calendrier'!$A$5:$A$5,0)),""),$C163=IFERROR(INDEX('Calendrier'!$O$5:$O$5,MATCH($A163,'Calendrier'!$A$5:$A$5,0)),"")),"encadrant et élève sur la même séance",IF(IFERROR(INDEX(Personnes!$H$5:$H$154,MATCH($C163,Personnes!$B$5:$B$154,0)),"")&lt;&gt;"oui","invité (hors ligne)","ok"))))))</f>
        <v/>
      </c>
    </row>
    <row r="164" spans="1:8" x14ac:dyDescent="0.2">
      <c r="A164" s="15"/>
      <c r="B164" s="15"/>
      <c r="C164" s="10" t="str">
        <f>IF($B164="","",IFERROR(IF(ISNUMBER(FIND("[",$B164)),MID($B164,FIND("[",$B164)+1,FIND("]",$B164)-FIND("[",$B164)-1),IF(ISNUMBER($B164),INDEX(Personnes!$B$5:$B$154,MATCH($B164,Personnes!$A$5:$A$154,0)),IFERROR(INDEX(Personnes!$B$5:$B$154,MATCH($B164&amp;"*",Personnes!$C$5:$C$154,0)),INDEX(Personnes!$B$5:$B$154,MATCH($B164&amp;"*",Personnes!$D$5:$D$154,0))))),""))</f>
        <v/>
      </c>
      <c r="D164" s="10" t="str">
        <f>IFERROR(INDEX(Personnes!$C$5:$C$154,MATCH($C164,Personnes!$B$5:$B$154,0))&amp;"","")</f>
        <v/>
      </c>
      <c r="E164" s="10" t="str">
        <f>IFERROR(INDEX(Personnes!$D$5:$D$154,MATCH($C164,Personnes!$B$5:$B$154,0))&amp;"","")</f>
        <v/>
      </c>
      <c r="F164" s="15"/>
      <c r="G164" s="9"/>
      <c r="H164" s="10" t="str">
        <f>IF($B164="","",IF($C164="","apnéiste non reconnu",IF($A164="","séance non renseignée",IF(COUNTIFS($A$5:$A$504,$A164,$C$5:$C$504,$C164)&gt;1,"doublon séance / apnéiste",IF(OR($C164=IFERROR(INDEX('Calendrier'!$K$5:$K$5,MATCH($A164,'Calendrier'!$A$5:$A$5,0)),""),$C164=IFERROR(INDEX('Calendrier'!$O$5:$O$5,MATCH($A164,'Calendrier'!$A$5:$A$5,0)),"")),"encadrant et élève sur la même séance",IF(IFERROR(INDEX(Personnes!$H$5:$H$154,MATCH($C164,Personnes!$B$5:$B$154,0)),"")&lt;&gt;"oui","invité (hors ligne)","ok"))))))</f>
        <v/>
      </c>
    </row>
    <row r="165" spans="1:8" x14ac:dyDescent="0.2">
      <c r="A165" s="15"/>
      <c r="B165" s="15"/>
      <c r="C165" s="10" t="str">
        <f>IF($B165="","",IFERROR(IF(ISNUMBER(FIND("[",$B165)),MID($B165,FIND("[",$B165)+1,FIND("]",$B165)-FIND("[",$B165)-1),IF(ISNUMBER($B165),INDEX(Personnes!$B$5:$B$154,MATCH($B165,Personnes!$A$5:$A$154,0)),IFERROR(INDEX(Personnes!$B$5:$B$154,MATCH($B165&amp;"*",Personnes!$C$5:$C$154,0)),INDEX(Personnes!$B$5:$B$154,MATCH($B165&amp;"*",Personnes!$D$5:$D$154,0))))),""))</f>
        <v/>
      </c>
      <c r="D165" s="10" t="str">
        <f>IFERROR(INDEX(Personnes!$C$5:$C$154,MATCH($C165,Personnes!$B$5:$B$154,0))&amp;"","")</f>
        <v/>
      </c>
      <c r="E165" s="10" t="str">
        <f>IFERROR(INDEX(Personnes!$D$5:$D$154,MATCH($C165,Personnes!$B$5:$B$154,0))&amp;"","")</f>
        <v/>
      </c>
      <c r="F165" s="15"/>
      <c r="G165" s="9"/>
      <c r="H165" s="10" t="str">
        <f>IF($B165="","",IF($C165="","apnéiste non reconnu",IF($A165="","séance non renseignée",IF(COUNTIFS($A$5:$A$504,$A165,$C$5:$C$504,$C165)&gt;1,"doublon séance / apnéiste",IF(OR($C165=IFERROR(INDEX('Calendrier'!$K$5:$K$5,MATCH($A165,'Calendrier'!$A$5:$A$5,0)),""),$C165=IFERROR(INDEX('Calendrier'!$O$5:$O$5,MATCH($A165,'Calendrier'!$A$5:$A$5,0)),"")),"encadrant et élève sur la même séance",IF(IFERROR(INDEX(Personnes!$H$5:$H$154,MATCH($C165,Personnes!$B$5:$B$154,0)),"")&lt;&gt;"oui","invité (hors ligne)","ok"))))))</f>
        <v/>
      </c>
    </row>
    <row r="166" spans="1:8" x14ac:dyDescent="0.2">
      <c r="A166" s="15"/>
      <c r="B166" s="15"/>
      <c r="C166" s="10" t="str">
        <f>IF($B166="","",IFERROR(IF(ISNUMBER(FIND("[",$B166)),MID($B166,FIND("[",$B166)+1,FIND("]",$B166)-FIND("[",$B166)-1),IF(ISNUMBER($B166),INDEX(Personnes!$B$5:$B$154,MATCH($B166,Personnes!$A$5:$A$154,0)),IFERROR(INDEX(Personnes!$B$5:$B$154,MATCH($B166&amp;"*",Personnes!$C$5:$C$154,0)),INDEX(Personnes!$B$5:$B$154,MATCH($B166&amp;"*",Personnes!$D$5:$D$154,0))))),""))</f>
        <v/>
      </c>
      <c r="D166" s="10" t="str">
        <f>IFERROR(INDEX(Personnes!$C$5:$C$154,MATCH($C166,Personnes!$B$5:$B$154,0))&amp;"","")</f>
        <v/>
      </c>
      <c r="E166" s="10" t="str">
        <f>IFERROR(INDEX(Personnes!$D$5:$D$154,MATCH($C166,Personnes!$B$5:$B$154,0))&amp;"","")</f>
        <v/>
      </c>
      <c r="F166" s="15"/>
      <c r="G166" s="9"/>
      <c r="H166" s="10" t="str">
        <f>IF($B166="","",IF($C166="","apnéiste non reconnu",IF($A166="","séance non renseignée",IF(COUNTIFS($A$5:$A$504,$A166,$C$5:$C$504,$C166)&gt;1,"doublon séance / apnéiste",IF(OR($C166=IFERROR(INDEX('Calendrier'!$K$5:$K$5,MATCH($A166,'Calendrier'!$A$5:$A$5,0)),""),$C166=IFERROR(INDEX('Calendrier'!$O$5:$O$5,MATCH($A166,'Calendrier'!$A$5:$A$5,0)),"")),"encadrant et élève sur la même séance",IF(IFERROR(INDEX(Personnes!$H$5:$H$154,MATCH($C166,Personnes!$B$5:$B$154,0)),"")&lt;&gt;"oui","invité (hors ligne)","ok"))))))</f>
        <v/>
      </c>
    </row>
    <row r="167" spans="1:8" x14ac:dyDescent="0.2">
      <c r="A167" s="15"/>
      <c r="B167" s="15"/>
      <c r="C167" s="10" t="str">
        <f>IF($B167="","",IFERROR(IF(ISNUMBER(FIND("[",$B167)),MID($B167,FIND("[",$B167)+1,FIND("]",$B167)-FIND("[",$B167)-1),IF(ISNUMBER($B167),INDEX(Personnes!$B$5:$B$154,MATCH($B167,Personnes!$A$5:$A$154,0)),IFERROR(INDEX(Personnes!$B$5:$B$154,MATCH($B167&amp;"*",Personnes!$C$5:$C$154,0)),INDEX(Personnes!$B$5:$B$154,MATCH($B167&amp;"*",Personnes!$D$5:$D$154,0))))),""))</f>
        <v/>
      </c>
      <c r="D167" s="10" t="str">
        <f>IFERROR(INDEX(Personnes!$C$5:$C$154,MATCH($C167,Personnes!$B$5:$B$154,0))&amp;"","")</f>
        <v/>
      </c>
      <c r="E167" s="10" t="str">
        <f>IFERROR(INDEX(Personnes!$D$5:$D$154,MATCH($C167,Personnes!$B$5:$B$154,0))&amp;"","")</f>
        <v/>
      </c>
      <c r="F167" s="15"/>
      <c r="G167" s="9"/>
      <c r="H167" s="10" t="str">
        <f>IF($B167="","",IF($C167="","apnéiste non reconnu",IF($A167="","séance non renseignée",IF(COUNTIFS($A$5:$A$504,$A167,$C$5:$C$504,$C167)&gt;1,"doublon séance / apnéiste",IF(OR($C167=IFERROR(INDEX('Calendrier'!$K$5:$K$5,MATCH($A167,'Calendrier'!$A$5:$A$5,0)),""),$C167=IFERROR(INDEX('Calendrier'!$O$5:$O$5,MATCH($A167,'Calendrier'!$A$5:$A$5,0)),"")),"encadrant et élève sur la même séance",IF(IFERROR(INDEX(Personnes!$H$5:$H$154,MATCH($C167,Personnes!$B$5:$B$154,0)),"")&lt;&gt;"oui","invité (hors ligne)","ok"))))))</f>
        <v/>
      </c>
    </row>
    <row r="168" spans="1:8" x14ac:dyDescent="0.2">
      <c r="A168" s="15"/>
      <c r="B168" s="15"/>
      <c r="C168" s="10" t="str">
        <f>IF($B168="","",IFERROR(IF(ISNUMBER(FIND("[",$B168)),MID($B168,FIND("[",$B168)+1,FIND("]",$B168)-FIND("[",$B168)-1),IF(ISNUMBER($B168),INDEX(Personnes!$B$5:$B$154,MATCH($B168,Personnes!$A$5:$A$154,0)),IFERROR(INDEX(Personnes!$B$5:$B$154,MATCH($B168&amp;"*",Personnes!$C$5:$C$154,0)),INDEX(Personnes!$B$5:$B$154,MATCH($B168&amp;"*",Personnes!$D$5:$D$154,0))))),""))</f>
        <v/>
      </c>
      <c r="D168" s="10" t="str">
        <f>IFERROR(INDEX(Personnes!$C$5:$C$154,MATCH($C168,Personnes!$B$5:$B$154,0))&amp;"","")</f>
        <v/>
      </c>
      <c r="E168" s="10" t="str">
        <f>IFERROR(INDEX(Personnes!$D$5:$D$154,MATCH($C168,Personnes!$B$5:$B$154,0))&amp;"","")</f>
        <v/>
      </c>
      <c r="F168" s="15"/>
      <c r="G168" s="9"/>
      <c r="H168" s="10" t="str">
        <f>IF($B168="","",IF($C168="","apnéiste non reconnu",IF($A168="","séance non renseignée",IF(COUNTIFS($A$5:$A$504,$A168,$C$5:$C$504,$C168)&gt;1,"doublon séance / apnéiste",IF(OR($C168=IFERROR(INDEX('Calendrier'!$K$5:$K$5,MATCH($A168,'Calendrier'!$A$5:$A$5,0)),""),$C168=IFERROR(INDEX('Calendrier'!$O$5:$O$5,MATCH($A168,'Calendrier'!$A$5:$A$5,0)),"")),"encadrant et élève sur la même séance",IF(IFERROR(INDEX(Personnes!$H$5:$H$154,MATCH($C168,Personnes!$B$5:$B$154,0)),"")&lt;&gt;"oui","invité (hors ligne)","ok"))))))</f>
        <v/>
      </c>
    </row>
    <row r="169" spans="1:8" x14ac:dyDescent="0.2">
      <c r="A169" s="15"/>
      <c r="B169" s="15"/>
      <c r="C169" s="10" t="str">
        <f>IF($B169="","",IFERROR(IF(ISNUMBER(FIND("[",$B169)),MID($B169,FIND("[",$B169)+1,FIND("]",$B169)-FIND("[",$B169)-1),IF(ISNUMBER($B169),INDEX(Personnes!$B$5:$B$154,MATCH($B169,Personnes!$A$5:$A$154,0)),IFERROR(INDEX(Personnes!$B$5:$B$154,MATCH($B169&amp;"*",Personnes!$C$5:$C$154,0)),INDEX(Personnes!$B$5:$B$154,MATCH($B169&amp;"*",Personnes!$D$5:$D$154,0))))),""))</f>
        <v/>
      </c>
      <c r="D169" s="10" t="str">
        <f>IFERROR(INDEX(Personnes!$C$5:$C$154,MATCH($C169,Personnes!$B$5:$B$154,0))&amp;"","")</f>
        <v/>
      </c>
      <c r="E169" s="10" t="str">
        <f>IFERROR(INDEX(Personnes!$D$5:$D$154,MATCH($C169,Personnes!$B$5:$B$154,0))&amp;"","")</f>
        <v/>
      </c>
      <c r="F169" s="15"/>
      <c r="G169" s="9"/>
      <c r="H169" s="10" t="str">
        <f>IF($B169="","",IF($C169="","apnéiste non reconnu",IF($A169="","séance non renseignée",IF(COUNTIFS($A$5:$A$504,$A169,$C$5:$C$504,$C169)&gt;1,"doublon séance / apnéiste",IF(OR($C169=IFERROR(INDEX('Calendrier'!$K$5:$K$5,MATCH($A169,'Calendrier'!$A$5:$A$5,0)),""),$C169=IFERROR(INDEX('Calendrier'!$O$5:$O$5,MATCH($A169,'Calendrier'!$A$5:$A$5,0)),"")),"encadrant et élève sur la même séance",IF(IFERROR(INDEX(Personnes!$H$5:$H$154,MATCH($C169,Personnes!$B$5:$B$154,0)),"")&lt;&gt;"oui","invité (hors ligne)","ok"))))))</f>
        <v/>
      </c>
    </row>
    <row r="170" spans="1:8" x14ac:dyDescent="0.2">
      <c r="A170" s="15"/>
      <c r="B170" s="15"/>
      <c r="C170" s="10" t="str">
        <f>IF($B170="","",IFERROR(IF(ISNUMBER(FIND("[",$B170)),MID($B170,FIND("[",$B170)+1,FIND("]",$B170)-FIND("[",$B170)-1),IF(ISNUMBER($B170),INDEX(Personnes!$B$5:$B$154,MATCH($B170,Personnes!$A$5:$A$154,0)),IFERROR(INDEX(Personnes!$B$5:$B$154,MATCH($B170&amp;"*",Personnes!$C$5:$C$154,0)),INDEX(Personnes!$B$5:$B$154,MATCH($B170&amp;"*",Personnes!$D$5:$D$154,0))))),""))</f>
        <v/>
      </c>
      <c r="D170" s="10" t="str">
        <f>IFERROR(INDEX(Personnes!$C$5:$C$154,MATCH($C170,Personnes!$B$5:$B$154,0))&amp;"","")</f>
        <v/>
      </c>
      <c r="E170" s="10" t="str">
        <f>IFERROR(INDEX(Personnes!$D$5:$D$154,MATCH($C170,Personnes!$B$5:$B$154,0))&amp;"","")</f>
        <v/>
      </c>
      <c r="F170" s="15"/>
      <c r="G170" s="9"/>
      <c r="H170" s="10" t="str">
        <f>IF($B170="","",IF($C170="","apnéiste non reconnu",IF($A170="","séance non renseignée",IF(COUNTIFS($A$5:$A$504,$A170,$C$5:$C$504,$C170)&gt;1,"doublon séance / apnéiste",IF(OR($C170=IFERROR(INDEX('Calendrier'!$K$5:$K$5,MATCH($A170,'Calendrier'!$A$5:$A$5,0)),""),$C170=IFERROR(INDEX('Calendrier'!$O$5:$O$5,MATCH($A170,'Calendrier'!$A$5:$A$5,0)),"")),"encadrant et élève sur la même séance",IF(IFERROR(INDEX(Personnes!$H$5:$H$154,MATCH($C170,Personnes!$B$5:$B$154,0)),"")&lt;&gt;"oui","invité (hors ligne)","ok"))))))</f>
        <v/>
      </c>
    </row>
    <row r="171" spans="1:8" x14ac:dyDescent="0.2">
      <c r="A171" s="15"/>
      <c r="B171" s="15"/>
      <c r="C171" s="10" t="str">
        <f>IF($B171="","",IFERROR(IF(ISNUMBER(FIND("[",$B171)),MID($B171,FIND("[",$B171)+1,FIND("]",$B171)-FIND("[",$B171)-1),IF(ISNUMBER($B171),INDEX(Personnes!$B$5:$B$154,MATCH($B171,Personnes!$A$5:$A$154,0)),IFERROR(INDEX(Personnes!$B$5:$B$154,MATCH($B171&amp;"*",Personnes!$C$5:$C$154,0)),INDEX(Personnes!$B$5:$B$154,MATCH($B171&amp;"*",Personnes!$D$5:$D$154,0))))),""))</f>
        <v/>
      </c>
      <c r="D171" s="10" t="str">
        <f>IFERROR(INDEX(Personnes!$C$5:$C$154,MATCH($C171,Personnes!$B$5:$B$154,0))&amp;"","")</f>
        <v/>
      </c>
      <c r="E171" s="10" t="str">
        <f>IFERROR(INDEX(Personnes!$D$5:$D$154,MATCH($C171,Personnes!$B$5:$B$154,0))&amp;"","")</f>
        <v/>
      </c>
      <c r="F171" s="15"/>
      <c r="G171" s="9"/>
      <c r="H171" s="10" t="str">
        <f>IF($B171="","",IF($C171="","apnéiste non reconnu",IF($A171="","séance non renseignée",IF(COUNTIFS($A$5:$A$504,$A171,$C$5:$C$504,$C171)&gt;1,"doublon séance / apnéiste",IF(OR($C171=IFERROR(INDEX('Calendrier'!$K$5:$K$5,MATCH($A171,'Calendrier'!$A$5:$A$5,0)),""),$C171=IFERROR(INDEX('Calendrier'!$O$5:$O$5,MATCH($A171,'Calendrier'!$A$5:$A$5,0)),"")),"encadrant et élève sur la même séance",IF(IFERROR(INDEX(Personnes!$H$5:$H$154,MATCH($C171,Personnes!$B$5:$B$154,0)),"")&lt;&gt;"oui","invité (hors ligne)","ok"))))))</f>
        <v/>
      </c>
    </row>
    <row r="172" spans="1:8" x14ac:dyDescent="0.2">
      <c r="A172" s="15"/>
      <c r="B172" s="15"/>
      <c r="C172" s="10" t="str">
        <f>IF($B172="","",IFERROR(IF(ISNUMBER(FIND("[",$B172)),MID($B172,FIND("[",$B172)+1,FIND("]",$B172)-FIND("[",$B172)-1),IF(ISNUMBER($B172),INDEX(Personnes!$B$5:$B$154,MATCH($B172,Personnes!$A$5:$A$154,0)),IFERROR(INDEX(Personnes!$B$5:$B$154,MATCH($B172&amp;"*",Personnes!$C$5:$C$154,0)),INDEX(Personnes!$B$5:$B$154,MATCH($B172&amp;"*",Personnes!$D$5:$D$154,0))))),""))</f>
        <v/>
      </c>
      <c r="D172" s="10" t="str">
        <f>IFERROR(INDEX(Personnes!$C$5:$C$154,MATCH($C172,Personnes!$B$5:$B$154,0))&amp;"","")</f>
        <v/>
      </c>
      <c r="E172" s="10" t="str">
        <f>IFERROR(INDEX(Personnes!$D$5:$D$154,MATCH($C172,Personnes!$B$5:$B$154,0))&amp;"","")</f>
        <v/>
      </c>
      <c r="F172" s="15"/>
      <c r="G172" s="9"/>
      <c r="H172" s="10" t="str">
        <f>IF($B172="","",IF($C172="","apnéiste non reconnu",IF($A172="","séance non renseignée",IF(COUNTIFS($A$5:$A$504,$A172,$C$5:$C$504,$C172)&gt;1,"doublon séance / apnéiste",IF(OR($C172=IFERROR(INDEX('Calendrier'!$K$5:$K$5,MATCH($A172,'Calendrier'!$A$5:$A$5,0)),""),$C172=IFERROR(INDEX('Calendrier'!$O$5:$O$5,MATCH($A172,'Calendrier'!$A$5:$A$5,0)),"")),"encadrant et élève sur la même séance",IF(IFERROR(INDEX(Personnes!$H$5:$H$154,MATCH($C172,Personnes!$B$5:$B$154,0)),"")&lt;&gt;"oui","invité (hors ligne)","ok"))))))</f>
        <v/>
      </c>
    </row>
    <row r="173" spans="1:8" x14ac:dyDescent="0.2">
      <c r="A173" s="15"/>
      <c r="B173" s="15"/>
      <c r="C173" s="10" t="str">
        <f>IF($B173="","",IFERROR(IF(ISNUMBER(FIND("[",$B173)),MID($B173,FIND("[",$B173)+1,FIND("]",$B173)-FIND("[",$B173)-1),IF(ISNUMBER($B173),INDEX(Personnes!$B$5:$B$154,MATCH($B173,Personnes!$A$5:$A$154,0)),IFERROR(INDEX(Personnes!$B$5:$B$154,MATCH($B173&amp;"*",Personnes!$C$5:$C$154,0)),INDEX(Personnes!$B$5:$B$154,MATCH($B173&amp;"*",Personnes!$D$5:$D$154,0))))),""))</f>
        <v/>
      </c>
      <c r="D173" s="10" t="str">
        <f>IFERROR(INDEX(Personnes!$C$5:$C$154,MATCH($C173,Personnes!$B$5:$B$154,0))&amp;"","")</f>
        <v/>
      </c>
      <c r="E173" s="10" t="str">
        <f>IFERROR(INDEX(Personnes!$D$5:$D$154,MATCH($C173,Personnes!$B$5:$B$154,0))&amp;"","")</f>
        <v/>
      </c>
      <c r="F173" s="15"/>
      <c r="G173" s="9"/>
      <c r="H173" s="10" t="str">
        <f>IF($B173="","",IF($C173="","apnéiste non reconnu",IF($A173="","séance non renseignée",IF(COUNTIFS($A$5:$A$504,$A173,$C$5:$C$504,$C173)&gt;1,"doublon séance / apnéiste",IF(OR($C173=IFERROR(INDEX('Calendrier'!$K$5:$K$5,MATCH($A173,'Calendrier'!$A$5:$A$5,0)),""),$C173=IFERROR(INDEX('Calendrier'!$O$5:$O$5,MATCH($A173,'Calendrier'!$A$5:$A$5,0)),"")),"encadrant et élève sur la même séance",IF(IFERROR(INDEX(Personnes!$H$5:$H$154,MATCH($C173,Personnes!$B$5:$B$154,0)),"")&lt;&gt;"oui","invité (hors ligne)","ok"))))))</f>
        <v/>
      </c>
    </row>
    <row r="174" spans="1:8" x14ac:dyDescent="0.2">
      <c r="A174" s="15"/>
      <c r="B174" s="15"/>
      <c r="C174" s="10" t="str">
        <f>IF($B174="","",IFERROR(IF(ISNUMBER(FIND("[",$B174)),MID($B174,FIND("[",$B174)+1,FIND("]",$B174)-FIND("[",$B174)-1),IF(ISNUMBER($B174),INDEX(Personnes!$B$5:$B$154,MATCH($B174,Personnes!$A$5:$A$154,0)),IFERROR(INDEX(Personnes!$B$5:$B$154,MATCH($B174&amp;"*",Personnes!$C$5:$C$154,0)),INDEX(Personnes!$B$5:$B$154,MATCH($B174&amp;"*",Personnes!$D$5:$D$154,0))))),""))</f>
        <v/>
      </c>
      <c r="D174" s="10" t="str">
        <f>IFERROR(INDEX(Personnes!$C$5:$C$154,MATCH($C174,Personnes!$B$5:$B$154,0))&amp;"","")</f>
        <v/>
      </c>
      <c r="E174" s="10" t="str">
        <f>IFERROR(INDEX(Personnes!$D$5:$D$154,MATCH($C174,Personnes!$B$5:$B$154,0))&amp;"","")</f>
        <v/>
      </c>
      <c r="F174" s="15"/>
      <c r="G174" s="9"/>
      <c r="H174" s="10" t="str">
        <f>IF($B174="","",IF($C174="","apnéiste non reconnu",IF($A174="","séance non renseignée",IF(COUNTIFS($A$5:$A$504,$A174,$C$5:$C$504,$C174)&gt;1,"doublon séance / apnéiste",IF(OR($C174=IFERROR(INDEX('Calendrier'!$K$5:$K$5,MATCH($A174,'Calendrier'!$A$5:$A$5,0)),""),$C174=IFERROR(INDEX('Calendrier'!$O$5:$O$5,MATCH($A174,'Calendrier'!$A$5:$A$5,0)),"")),"encadrant et élève sur la même séance",IF(IFERROR(INDEX(Personnes!$H$5:$H$154,MATCH($C174,Personnes!$B$5:$B$154,0)),"")&lt;&gt;"oui","invité (hors ligne)","ok"))))))</f>
        <v/>
      </c>
    </row>
    <row r="175" spans="1:8" x14ac:dyDescent="0.2">
      <c r="A175" s="15"/>
      <c r="B175" s="15"/>
      <c r="C175" s="10" t="str">
        <f>IF($B175="","",IFERROR(IF(ISNUMBER(FIND("[",$B175)),MID($B175,FIND("[",$B175)+1,FIND("]",$B175)-FIND("[",$B175)-1),IF(ISNUMBER($B175),INDEX(Personnes!$B$5:$B$154,MATCH($B175,Personnes!$A$5:$A$154,0)),IFERROR(INDEX(Personnes!$B$5:$B$154,MATCH($B175&amp;"*",Personnes!$C$5:$C$154,0)),INDEX(Personnes!$B$5:$B$154,MATCH($B175&amp;"*",Personnes!$D$5:$D$154,0))))),""))</f>
        <v/>
      </c>
      <c r="D175" s="10" t="str">
        <f>IFERROR(INDEX(Personnes!$C$5:$C$154,MATCH($C175,Personnes!$B$5:$B$154,0))&amp;"","")</f>
        <v/>
      </c>
      <c r="E175" s="10" t="str">
        <f>IFERROR(INDEX(Personnes!$D$5:$D$154,MATCH($C175,Personnes!$B$5:$B$154,0))&amp;"","")</f>
        <v/>
      </c>
      <c r="F175" s="15"/>
      <c r="G175" s="9"/>
      <c r="H175" s="10" t="str">
        <f>IF($B175="","",IF($C175="","apnéiste non reconnu",IF($A175="","séance non renseignée",IF(COUNTIFS($A$5:$A$504,$A175,$C$5:$C$504,$C175)&gt;1,"doublon séance / apnéiste",IF(OR($C175=IFERROR(INDEX('Calendrier'!$K$5:$K$5,MATCH($A175,'Calendrier'!$A$5:$A$5,0)),""),$C175=IFERROR(INDEX('Calendrier'!$O$5:$O$5,MATCH($A175,'Calendrier'!$A$5:$A$5,0)),"")),"encadrant et élève sur la même séance",IF(IFERROR(INDEX(Personnes!$H$5:$H$154,MATCH($C175,Personnes!$B$5:$B$154,0)),"")&lt;&gt;"oui","invité (hors ligne)","ok"))))))</f>
        <v/>
      </c>
    </row>
    <row r="176" spans="1:8" x14ac:dyDescent="0.2">
      <c r="A176" s="15"/>
      <c r="B176" s="15"/>
      <c r="C176" s="10" t="str">
        <f>IF($B176="","",IFERROR(IF(ISNUMBER(FIND("[",$B176)),MID($B176,FIND("[",$B176)+1,FIND("]",$B176)-FIND("[",$B176)-1),IF(ISNUMBER($B176),INDEX(Personnes!$B$5:$B$154,MATCH($B176,Personnes!$A$5:$A$154,0)),IFERROR(INDEX(Personnes!$B$5:$B$154,MATCH($B176&amp;"*",Personnes!$C$5:$C$154,0)),INDEX(Personnes!$B$5:$B$154,MATCH($B176&amp;"*",Personnes!$D$5:$D$154,0))))),""))</f>
        <v/>
      </c>
      <c r="D176" s="10" t="str">
        <f>IFERROR(INDEX(Personnes!$C$5:$C$154,MATCH($C176,Personnes!$B$5:$B$154,0))&amp;"","")</f>
        <v/>
      </c>
      <c r="E176" s="10" t="str">
        <f>IFERROR(INDEX(Personnes!$D$5:$D$154,MATCH($C176,Personnes!$B$5:$B$154,0))&amp;"","")</f>
        <v/>
      </c>
      <c r="F176" s="15"/>
      <c r="G176" s="9"/>
      <c r="H176" s="10" t="str">
        <f>IF($B176="","",IF($C176="","apnéiste non reconnu",IF($A176="","séance non renseignée",IF(COUNTIFS($A$5:$A$504,$A176,$C$5:$C$504,$C176)&gt;1,"doublon séance / apnéiste",IF(OR($C176=IFERROR(INDEX('Calendrier'!$K$5:$K$5,MATCH($A176,'Calendrier'!$A$5:$A$5,0)),""),$C176=IFERROR(INDEX('Calendrier'!$O$5:$O$5,MATCH($A176,'Calendrier'!$A$5:$A$5,0)),"")),"encadrant et élève sur la même séance",IF(IFERROR(INDEX(Personnes!$H$5:$H$154,MATCH($C176,Personnes!$B$5:$B$154,0)),"")&lt;&gt;"oui","invité (hors ligne)","ok"))))))</f>
        <v/>
      </c>
    </row>
    <row r="177" spans="1:8" x14ac:dyDescent="0.2">
      <c r="A177" s="15"/>
      <c r="B177" s="15"/>
      <c r="C177" s="10" t="str">
        <f>IF($B177="","",IFERROR(IF(ISNUMBER(FIND("[",$B177)),MID($B177,FIND("[",$B177)+1,FIND("]",$B177)-FIND("[",$B177)-1),IF(ISNUMBER($B177),INDEX(Personnes!$B$5:$B$154,MATCH($B177,Personnes!$A$5:$A$154,0)),IFERROR(INDEX(Personnes!$B$5:$B$154,MATCH($B177&amp;"*",Personnes!$C$5:$C$154,0)),INDEX(Personnes!$B$5:$B$154,MATCH($B177&amp;"*",Personnes!$D$5:$D$154,0))))),""))</f>
        <v/>
      </c>
      <c r="D177" s="10" t="str">
        <f>IFERROR(INDEX(Personnes!$C$5:$C$154,MATCH($C177,Personnes!$B$5:$B$154,0))&amp;"","")</f>
        <v/>
      </c>
      <c r="E177" s="10" t="str">
        <f>IFERROR(INDEX(Personnes!$D$5:$D$154,MATCH($C177,Personnes!$B$5:$B$154,0))&amp;"","")</f>
        <v/>
      </c>
      <c r="F177" s="15"/>
      <c r="G177" s="9"/>
      <c r="H177" s="10" t="str">
        <f>IF($B177="","",IF($C177="","apnéiste non reconnu",IF($A177="","séance non renseignée",IF(COUNTIFS($A$5:$A$504,$A177,$C$5:$C$504,$C177)&gt;1,"doublon séance / apnéiste",IF(OR($C177=IFERROR(INDEX('Calendrier'!$K$5:$K$5,MATCH($A177,'Calendrier'!$A$5:$A$5,0)),""),$C177=IFERROR(INDEX('Calendrier'!$O$5:$O$5,MATCH($A177,'Calendrier'!$A$5:$A$5,0)),"")),"encadrant et élève sur la même séance",IF(IFERROR(INDEX(Personnes!$H$5:$H$154,MATCH($C177,Personnes!$B$5:$B$154,0)),"")&lt;&gt;"oui","invité (hors ligne)","ok"))))))</f>
        <v/>
      </c>
    </row>
    <row r="178" spans="1:8" x14ac:dyDescent="0.2">
      <c r="A178" s="15"/>
      <c r="B178" s="15"/>
      <c r="C178" s="10" t="str">
        <f>IF($B178="","",IFERROR(IF(ISNUMBER(FIND("[",$B178)),MID($B178,FIND("[",$B178)+1,FIND("]",$B178)-FIND("[",$B178)-1),IF(ISNUMBER($B178),INDEX(Personnes!$B$5:$B$154,MATCH($B178,Personnes!$A$5:$A$154,0)),IFERROR(INDEX(Personnes!$B$5:$B$154,MATCH($B178&amp;"*",Personnes!$C$5:$C$154,0)),INDEX(Personnes!$B$5:$B$154,MATCH($B178&amp;"*",Personnes!$D$5:$D$154,0))))),""))</f>
        <v/>
      </c>
      <c r="D178" s="10" t="str">
        <f>IFERROR(INDEX(Personnes!$C$5:$C$154,MATCH($C178,Personnes!$B$5:$B$154,0))&amp;"","")</f>
        <v/>
      </c>
      <c r="E178" s="10" t="str">
        <f>IFERROR(INDEX(Personnes!$D$5:$D$154,MATCH($C178,Personnes!$B$5:$B$154,0))&amp;"","")</f>
        <v/>
      </c>
      <c r="F178" s="15"/>
      <c r="G178" s="9"/>
      <c r="H178" s="10" t="str">
        <f>IF($B178="","",IF($C178="","apnéiste non reconnu",IF($A178="","séance non renseignée",IF(COUNTIFS($A$5:$A$504,$A178,$C$5:$C$504,$C178)&gt;1,"doublon séance / apnéiste",IF(OR($C178=IFERROR(INDEX('Calendrier'!$K$5:$K$5,MATCH($A178,'Calendrier'!$A$5:$A$5,0)),""),$C178=IFERROR(INDEX('Calendrier'!$O$5:$O$5,MATCH($A178,'Calendrier'!$A$5:$A$5,0)),"")),"encadrant et élève sur la même séance",IF(IFERROR(INDEX(Personnes!$H$5:$H$154,MATCH($C178,Personnes!$B$5:$B$154,0)),"")&lt;&gt;"oui","invité (hors ligne)","ok"))))))</f>
        <v/>
      </c>
    </row>
    <row r="179" spans="1:8" x14ac:dyDescent="0.2">
      <c r="A179" s="15"/>
      <c r="B179" s="15"/>
      <c r="C179" s="10" t="str">
        <f>IF($B179="","",IFERROR(IF(ISNUMBER(FIND("[",$B179)),MID($B179,FIND("[",$B179)+1,FIND("]",$B179)-FIND("[",$B179)-1),IF(ISNUMBER($B179),INDEX(Personnes!$B$5:$B$154,MATCH($B179,Personnes!$A$5:$A$154,0)),IFERROR(INDEX(Personnes!$B$5:$B$154,MATCH($B179&amp;"*",Personnes!$C$5:$C$154,0)),INDEX(Personnes!$B$5:$B$154,MATCH($B179&amp;"*",Personnes!$D$5:$D$154,0))))),""))</f>
        <v/>
      </c>
      <c r="D179" s="10" t="str">
        <f>IFERROR(INDEX(Personnes!$C$5:$C$154,MATCH($C179,Personnes!$B$5:$B$154,0))&amp;"","")</f>
        <v/>
      </c>
      <c r="E179" s="10" t="str">
        <f>IFERROR(INDEX(Personnes!$D$5:$D$154,MATCH($C179,Personnes!$B$5:$B$154,0))&amp;"","")</f>
        <v/>
      </c>
      <c r="F179" s="15"/>
      <c r="G179" s="9"/>
      <c r="H179" s="10" t="str">
        <f>IF($B179="","",IF($C179="","apnéiste non reconnu",IF($A179="","séance non renseignée",IF(COUNTIFS($A$5:$A$504,$A179,$C$5:$C$504,$C179)&gt;1,"doublon séance / apnéiste",IF(OR($C179=IFERROR(INDEX('Calendrier'!$K$5:$K$5,MATCH($A179,'Calendrier'!$A$5:$A$5,0)),""),$C179=IFERROR(INDEX('Calendrier'!$O$5:$O$5,MATCH($A179,'Calendrier'!$A$5:$A$5,0)),"")),"encadrant et élève sur la même séance",IF(IFERROR(INDEX(Personnes!$H$5:$H$154,MATCH($C179,Personnes!$B$5:$B$154,0)),"")&lt;&gt;"oui","invité (hors ligne)","ok"))))))</f>
        <v/>
      </c>
    </row>
    <row r="180" spans="1:8" x14ac:dyDescent="0.2">
      <c r="A180" s="15"/>
      <c r="B180" s="15"/>
      <c r="C180" s="10" t="str">
        <f>IF($B180="","",IFERROR(IF(ISNUMBER(FIND("[",$B180)),MID($B180,FIND("[",$B180)+1,FIND("]",$B180)-FIND("[",$B180)-1),IF(ISNUMBER($B180),INDEX(Personnes!$B$5:$B$154,MATCH($B180,Personnes!$A$5:$A$154,0)),IFERROR(INDEX(Personnes!$B$5:$B$154,MATCH($B180&amp;"*",Personnes!$C$5:$C$154,0)),INDEX(Personnes!$B$5:$B$154,MATCH($B180&amp;"*",Personnes!$D$5:$D$154,0))))),""))</f>
        <v/>
      </c>
      <c r="D180" s="10" t="str">
        <f>IFERROR(INDEX(Personnes!$C$5:$C$154,MATCH($C180,Personnes!$B$5:$B$154,0))&amp;"","")</f>
        <v/>
      </c>
      <c r="E180" s="10" t="str">
        <f>IFERROR(INDEX(Personnes!$D$5:$D$154,MATCH($C180,Personnes!$B$5:$B$154,0))&amp;"","")</f>
        <v/>
      </c>
      <c r="F180" s="15"/>
      <c r="G180" s="9"/>
      <c r="H180" s="10" t="str">
        <f>IF($B180="","",IF($C180="","apnéiste non reconnu",IF($A180="","séance non renseignée",IF(COUNTIFS($A$5:$A$504,$A180,$C$5:$C$504,$C180)&gt;1,"doublon séance / apnéiste",IF(OR($C180=IFERROR(INDEX('Calendrier'!$K$5:$K$5,MATCH($A180,'Calendrier'!$A$5:$A$5,0)),""),$C180=IFERROR(INDEX('Calendrier'!$O$5:$O$5,MATCH($A180,'Calendrier'!$A$5:$A$5,0)),"")),"encadrant et élève sur la même séance",IF(IFERROR(INDEX(Personnes!$H$5:$H$154,MATCH($C180,Personnes!$B$5:$B$154,0)),"")&lt;&gt;"oui","invité (hors ligne)","ok"))))))</f>
        <v/>
      </c>
    </row>
    <row r="181" spans="1:8" x14ac:dyDescent="0.2">
      <c r="A181" s="15"/>
      <c r="B181" s="15"/>
      <c r="C181" s="10" t="str">
        <f>IF($B181="","",IFERROR(IF(ISNUMBER(FIND("[",$B181)),MID($B181,FIND("[",$B181)+1,FIND("]",$B181)-FIND("[",$B181)-1),IF(ISNUMBER($B181),INDEX(Personnes!$B$5:$B$154,MATCH($B181,Personnes!$A$5:$A$154,0)),IFERROR(INDEX(Personnes!$B$5:$B$154,MATCH($B181&amp;"*",Personnes!$C$5:$C$154,0)),INDEX(Personnes!$B$5:$B$154,MATCH($B181&amp;"*",Personnes!$D$5:$D$154,0))))),""))</f>
        <v/>
      </c>
      <c r="D181" s="10" t="str">
        <f>IFERROR(INDEX(Personnes!$C$5:$C$154,MATCH($C181,Personnes!$B$5:$B$154,0))&amp;"","")</f>
        <v/>
      </c>
      <c r="E181" s="10" t="str">
        <f>IFERROR(INDEX(Personnes!$D$5:$D$154,MATCH($C181,Personnes!$B$5:$B$154,0))&amp;"","")</f>
        <v/>
      </c>
      <c r="F181" s="15"/>
      <c r="G181" s="9"/>
      <c r="H181" s="10" t="str">
        <f>IF($B181="","",IF($C181="","apnéiste non reconnu",IF($A181="","séance non renseignée",IF(COUNTIFS($A$5:$A$504,$A181,$C$5:$C$504,$C181)&gt;1,"doublon séance / apnéiste",IF(OR($C181=IFERROR(INDEX('Calendrier'!$K$5:$K$5,MATCH($A181,'Calendrier'!$A$5:$A$5,0)),""),$C181=IFERROR(INDEX('Calendrier'!$O$5:$O$5,MATCH($A181,'Calendrier'!$A$5:$A$5,0)),"")),"encadrant et élève sur la même séance",IF(IFERROR(INDEX(Personnes!$H$5:$H$154,MATCH($C181,Personnes!$B$5:$B$154,0)),"")&lt;&gt;"oui","invité (hors ligne)","ok"))))))</f>
        <v/>
      </c>
    </row>
    <row r="182" spans="1:8" x14ac:dyDescent="0.2">
      <c r="A182" s="15"/>
      <c r="B182" s="15"/>
      <c r="C182" s="10" t="str">
        <f>IF($B182="","",IFERROR(IF(ISNUMBER(FIND("[",$B182)),MID($B182,FIND("[",$B182)+1,FIND("]",$B182)-FIND("[",$B182)-1),IF(ISNUMBER($B182),INDEX(Personnes!$B$5:$B$154,MATCH($B182,Personnes!$A$5:$A$154,0)),IFERROR(INDEX(Personnes!$B$5:$B$154,MATCH($B182&amp;"*",Personnes!$C$5:$C$154,0)),INDEX(Personnes!$B$5:$B$154,MATCH($B182&amp;"*",Personnes!$D$5:$D$154,0))))),""))</f>
        <v/>
      </c>
      <c r="D182" s="10" t="str">
        <f>IFERROR(INDEX(Personnes!$C$5:$C$154,MATCH($C182,Personnes!$B$5:$B$154,0))&amp;"","")</f>
        <v/>
      </c>
      <c r="E182" s="10" t="str">
        <f>IFERROR(INDEX(Personnes!$D$5:$D$154,MATCH($C182,Personnes!$B$5:$B$154,0))&amp;"","")</f>
        <v/>
      </c>
      <c r="F182" s="15"/>
      <c r="G182" s="9"/>
      <c r="H182" s="10" t="str">
        <f>IF($B182="","",IF($C182="","apnéiste non reconnu",IF($A182="","séance non renseignée",IF(COUNTIFS($A$5:$A$504,$A182,$C$5:$C$504,$C182)&gt;1,"doublon séance / apnéiste",IF(OR($C182=IFERROR(INDEX('Calendrier'!$K$5:$K$5,MATCH($A182,'Calendrier'!$A$5:$A$5,0)),""),$C182=IFERROR(INDEX('Calendrier'!$O$5:$O$5,MATCH($A182,'Calendrier'!$A$5:$A$5,0)),"")),"encadrant et élève sur la même séance",IF(IFERROR(INDEX(Personnes!$H$5:$H$154,MATCH($C182,Personnes!$B$5:$B$154,0)),"")&lt;&gt;"oui","invité (hors ligne)","ok"))))))</f>
        <v/>
      </c>
    </row>
    <row r="183" spans="1:8" x14ac:dyDescent="0.2">
      <c r="A183" s="15"/>
      <c r="B183" s="15"/>
      <c r="C183" s="10" t="str">
        <f>IF($B183="","",IFERROR(IF(ISNUMBER(FIND("[",$B183)),MID($B183,FIND("[",$B183)+1,FIND("]",$B183)-FIND("[",$B183)-1),IF(ISNUMBER($B183),INDEX(Personnes!$B$5:$B$154,MATCH($B183,Personnes!$A$5:$A$154,0)),IFERROR(INDEX(Personnes!$B$5:$B$154,MATCH($B183&amp;"*",Personnes!$C$5:$C$154,0)),INDEX(Personnes!$B$5:$B$154,MATCH($B183&amp;"*",Personnes!$D$5:$D$154,0))))),""))</f>
        <v/>
      </c>
      <c r="D183" s="10" t="str">
        <f>IFERROR(INDEX(Personnes!$C$5:$C$154,MATCH($C183,Personnes!$B$5:$B$154,0))&amp;"","")</f>
        <v/>
      </c>
      <c r="E183" s="10" t="str">
        <f>IFERROR(INDEX(Personnes!$D$5:$D$154,MATCH($C183,Personnes!$B$5:$B$154,0))&amp;"","")</f>
        <v/>
      </c>
      <c r="F183" s="15"/>
      <c r="G183" s="9"/>
      <c r="H183" s="10" t="str">
        <f>IF($B183="","",IF($C183="","apnéiste non reconnu",IF($A183="","séance non renseignée",IF(COUNTIFS($A$5:$A$504,$A183,$C$5:$C$504,$C183)&gt;1,"doublon séance / apnéiste",IF(OR($C183=IFERROR(INDEX('Calendrier'!$K$5:$K$5,MATCH($A183,'Calendrier'!$A$5:$A$5,0)),""),$C183=IFERROR(INDEX('Calendrier'!$O$5:$O$5,MATCH($A183,'Calendrier'!$A$5:$A$5,0)),"")),"encadrant et élève sur la même séance",IF(IFERROR(INDEX(Personnes!$H$5:$H$154,MATCH($C183,Personnes!$B$5:$B$154,0)),"")&lt;&gt;"oui","invité (hors ligne)","ok"))))))</f>
        <v/>
      </c>
    </row>
    <row r="184" spans="1:8" x14ac:dyDescent="0.2">
      <c r="A184" s="15"/>
      <c r="B184" s="15"/>
      <c r="C184" s="10" t="str">
        <f>IF($B184="","",IFERROR(IF(ISNUMBER(FIND("[",$B184)),MID($B184,FIND("[",$B184)+1,FIND("]",$B184)-FIND("[",$B184)-1),IF(ISNUMBER($B184),INDEX(Personnes!$B$5:$B$154,MATCH($B184,Personnes!$A$5:$A$154,0)),IFERROR(INDEX(Personnes!$B$5:$B$154,MATCH($B184&amp;"*",Personnes!$C$5:$C$154,0)),INDEX(Personnes!$B$5:$B$154,MATCH($B184&amp;"*",Personnes!$D$5:$D$154,0))))),""))</f>
        <v/>
      </c>
      <c r="D184" s="10" t="str">
        <f>IFERROR(INDEX(Personnes!$C$5:$C$154,MATCH($C184,Personnes!$B$5:$B$154,0))&amp;"","")</f>
        <v/>
      </c>
      <c r="E184" s="10" t="str">
        <f>IFERROR(INDEX(Personnes!$D$5:$D$154,MATCH($C184,Personnes!$B$5:$B$154,0))&amp;"","")</f>
        <v/>
      </c>
      <c r="F184" s="15"/>
      <c r="G184" s="9"/>
      <c r="H184" s="10" t="str">
        <f>IF($B184="","",IF($C184="","apnéiste non reconnu",IF($A184="","séance non renseignée",IF(COUNTIFS($A$5:$A$504,$A184,$C$5:$C$504,$C184)&gt;1,"doublon séance / apnéiste",IF(OR($C184=IFERROR(INDEX('Calendrier'!$K$5:$K$5,MATCH($A184,'Calendrier'!$A$5:$A$5,0)),""),$C184=IFERROR(INDEX('Calendrier'!$O$5:$O$5,MATCH($A184,'Calendrier'!$A$5:$A$5,0)),"")),"encadrant et élève sur la même séance",IF(IFERROR(INDEX(Personnes!$H$5:$H$154,MATCH($C184,Personnes!$B$5:$B$154,0)),"")&lt;&gt;"oui","invité (hors ligne)","ok"))))))</f>
        <v/>
      </c>
    </row>
    <row r="185" spans="1:8" x14ac:dyDescent="0.2">
      <c r="A185" s="15"/>
      <c r="B185" s="15"/>
      <c r="C185" s="10" t="str">
        <f>IF($B185="","",IFERROR(IF(ISNUMBER(FIND("[",$B185)),MID($B185,FIND("[",$B185)+1,FIND("]",$B185)-FIND("[",$B185)-1),IF(ISNUMBER($B185),INDEX(Personnes!$B$5:$B$154,MATCH($B185,Personnes!$A$5:$A$154,0)),IFERROR(INDEX(Personnes!$B$5:$B$154,MATCH($B185&amp;"*",Personnes!$C$5:$C$154,0)),INDEX(Personnes!$B$5:$B$154,MATCH($B185&amp;"*",Personnes!$D$5:$D$154,0))))),""))</f>
        <v/>
      </c>
      <c r="D185" s="10" t="str">
        <f>IFERROR(INDEX(Personnes!$C$5:$C$154,MATCH($C185,Personnes!$B$5:$B$154,0))&amp;"","")</f>
        <v/>
      </c>
      <c r="E185" s="10" t="str">
        <f>IFERROR(INDEX(Personnes!$D$5:$D$154,MATCH($C185,Personnes!$B$5:$B$154,0))&amp;"","")</f>
        <v/>
      </c>
      <c r="F185" s="15"/>
      <c r="G185" s="9"/>
      <c r="H185" s="10" t="str">
        <f>IF($B185="","",IF($C185="","apnéiste non reconnu",IF($A185="","séance non renseignée",IF(COUNTIFS($A$5:$A$504,$A185,$C$5:$C$504,$C185)&gt;1,"doublon séance / apnéiste",IF(OR($C185=IFERROR(INDEX('Calendrier'!$K$5:$K$5,MATCH($A185,'Calendrier'!$A$5:$A$5,0)),""),$C185=IFERROR(INDEX('Calendrier'!$O$5:$O$5,MATCH($A185,'Calendrier'!$A$5:$A$5,0)),"")),"encadrant et élève sur la même séance",IF(IFERROR(INDEX(Personnes!$H$5:$H$154,MATCH($C185,Personnes!$B$5:$B$154,0)),"")&lt;&gt;"oui","invité (hors ligne)","ok"))))))</f>
        <v/>
      </c>
    </row>
    <row r="186" spans="1:8" x14ac:dyDescent="0.2">
      <c r="A186" s="15"/>
      <c r="B186" s="15"/>
      <c r="C186" s="10" t="str">
        <f>IF($B186="","",IFERROR(IF(ISNUMBER(FIND("[",$B186)),MID($B186,FIND("[",$B186)+1,FIND("]",$B186)-FIND("[",$B186)-1),IF(ISNUMBER($B186),INDEX(Personnes!$B$5:$B$154,MATCH($B186,Personnes!$A$5:$A$154,0)),IFERROR(INDEX(Personnes!$B$5:$B$154,MATCH($B186&amp;"*",Personnes!$C$5:$C$154,0)),INDEX(Personnes!$B$5:$B$154,MATCH($B186&amp;"*",Personnes!$D$5:$D$154,0))))),""))</f>
        <v/>
      </c>
      <c r="D186" s="10" t="str">
        <f>IFERROR(INDEX(Personnes!$C$5:$C$154,MATCH($C186,Personnes!$B$5:$B$154,0))&amp;"","")</f>
        <v/>
      </c>
      <c r="E186" s="10" t="str">
        <f>IFERROR(INDEX(Personnes!$D$5:$D$154,MATCH($C186,Personnes!$B$5:$B$154,0))&amp;"","")</f>
        <v/>
      </c>
      <c r="F186" s="15"/>
      <c r="G186" s="9"/>
      <c r="H186" s="10" t="str">
        <f>IF($B186="","",IF($C186="","apnéiste non reconnu",IF($A186="","séance non renseignée",IF(COUNTIFS($A$5:$A$504,$A186,$C$5:$C$504,$C186)&gt;1,"doublon séance / apnéiste",IF(OR($C186=IFERROR(INDEX('Calendrier'!$K$5:$K$5,MATCH($A186,'Calendrier'!$A$5:$A$5,0)),""),$C186=IFERROR(INDEX('Calendrier'!$O$5:$O$5,MATCH($A186,'Calendrier'!$A$5:$A$5,0)),"")),"encadrant et élève sur la même séance",IF(IFERROR(INDEX(Personnes!$H$5:$H$154,MATCH($C186,Personnes!$B$5:$B$154,0)),"")&lt;&gt;"oui","invité (hors ligne)","ok"))))))</f>
        <v/>
      </c>
    </row>
    <row r="187" spans="1:8" x14ac:dyDescent="0.2">
      <c r="A187" s="15"/>
      <c r="B187" s="15"/>
      <c r="C187" s="10" t="str">
        <f>IF($B187="","",IFERROR(IF(ISNUMBER(FIND("[",$B187)),MID($B187,FIND("[",$B187)+1,FIND("]",$B187)-FIND("[",$B187)-1),IF(ISNUMBER($B187),INDEX(Personnes!$B$5:$B$154,MATCH($B187,Personnes!$A$5:$A$154,0)),IFERROR(INDEX(Personnes!$B$5:$B$154,MATCH($B187&amp;"*",Personnes!$C$5:$C$154,0)),INDEX(Personnes!$B$5:$B$154,MATCH($B187&amp;"*",Personnes!$D$5:$D$154,0))))),""))</f>
        <v/>
      </c>
      <c r="D187" s="10" t="str">
        <f>IFERROR(INDEX(Personnes!$C$5:$C$154,MATCH($C187,Personnes!$B$5:$B$154,0))&amp;"","")</f>
        <v/>
      </c>
      <c r="E187" s="10" t="str">
        <f>IFERROR(INDEX(Personnes!$D$5:$D$154,MATCH($C187,Personnes!$B$5:$B$154,0))&amp;"","")</f>
        <v/>
      </c>
      <c r="F187" s="15"/>
      <c r="G187" s="9"/>
      <c r="H187" s="10" t="str">
        <f>IF($B187="","",IF($C187="","apnéiste non reconnu",IF($A187="","séance non renseignée",IF(COUNTIFS($A$5:$A$504,$A187,$C$5:$C$504,$C187)&gt;1,"doublon séance / apnéiste",IF(OR($C187=IFERROR(INDEX('Calendrier'!$K$5:$K$5,MATCH($A187,'Calendrier'!$A$5:$A$5,0)),""),$C187=IFERROR(INDEX('Calendrier'!$O$5:$O$5,MATCH($A187,'Calendrier'!$A$5:$A$5,0)),"")),"encadrant et élève sur la même séance",IF(IFERROR(INDEX(Personnes!$H$5:$H$154,MATCH($C187,Personnes!$B$5:$B$154,0)),"")&lt;&gt;"oui","invité (hors ligne)","ok"))))))</f>
        <v/>
      </c>
    </row>
    <row r="188" spans="1:8" x14ac:dyDescent="0.2">
      <c r="A188" s="15"/>
      <c r="B188" s="15"/>
      <c r="C188" s="10" t="str">
        <f>IF($B188="","",IFERROR(IF(ISNUMBER(FIND("[",$B188)),MID($B188,FIND("[",$B188)+1,FIND("]",$B188)-FIND("[",$B188)-1),IF(ISNUMBER($B188),INDEX(Personnes!$B$5:$B$154,MATCH($B188,Personnes!$A$5:$A$154,0)),IFERROR(INDEX(Personnes!$B$5:$B$154,MATCH($B188&amp;"*",Personnes!$C$5:$C$154,0)),INDEX(Personnes!$B$5:$B$154,MATCH($B188&amp;"*",Personnes!$D$5:$D$154,0))))),""))</f>
        <v/>
      </c>
      <c r="D188" s="10" t="str">
        <f>IFERROR(INDEX(Personnes!$C$5:$C$154,MATCH($C188,Personnes!$B$5:$B$154,0))&amp;"","")</f>
        <v/>
      </c>
      <c r="E188" s="10" t="str">
        <f>IFERROR(INDEX(Personnes!$D$5:$D$154,MATCH($C188,Personnes!$B$5:$B$154,0))&amp;"","")</f>
        <v/>
      </c>
      <c r="F188" s="15"/>
      <c r="G188" s="9"/>
      <c r="H188" s="10" t="str">
        <f>IF($B188="","",IF($C188="","apnéiste non reconnu",IF($A188="","séance non renseignée",IF(COUNTIFS($A$5:$A$504,$A188,$C$5:$C$504,$C188)&gt;1,"doublon séance / apnéiste",IF(OR($C188=IFERROR(INDEX('Calendrier'!$K$5:$K$5,MATCH($A188,'Calendrier'!$A$5:$A$5,0)),""),$C188=IFERROR(INDEX('Calendrier'!$O$5:$O$5,MATCH($A188,'Calendrier'!$A$5:$A$5,0)),"")),"encadrant et élève sur la même séance",IF(IFERROR(INDEX(Personnes!$H$5:$H$154,MATCH($C188,Personnes!$B$5:$B$154,0)),"")&lt;&gt;"oui","invité (hors ligne)","ok"))))))</f>
        <v/>
      </c>
    </row>
    <row r="189" spans="1:8" x14ac:dyDescent="0.2">
      <c r="A189" s="15"/>
      <c r="B189" s="15"/>
      <c r="C189" s="10" t="str">
        <f>IF($B189="","",IFERROR(IF(ISNUMBER(FIND("[",$B189)),MID($B189,FIND("[",$B189)+1,FIND("]",$B189)-FIND("[",$B189)-1),IF(ISNUMBER($B189),INDEX(Personnes!$B$5:$B$154,MATCH($B189,Personnes!$A$5:$A$154,0)),IFERROR(INDEX(Personnes!$B$5:$B$154,MATCH($B189&amp;"*",Personnes!$C$5:$C$154,0)),INDEX(Personnes!$B$5:$B$154,MATCH($B189&amp;"*",Personnes!$D$5:$D$154,0))))),""))</f>
        <v/>
      </c>
      <c r="D189" s="10" t="str">
        <f>IFERROR(INDEX(Personnes!$C$5:$C$154,MATCH($C189,Personnes!$B$5:$B$154,0))&amp;"","")</f>
        <v/>
      </c>
      <c r="E189" s="10" t="str">
        <f>IFERROR(INDEX(Personnes!$D$5:$D$154,MATCH($C189,Personnes!$B$5:$B$154,0))&amp;"","")</f>
        <v/>
      </c>
      <c r="F189" s="15"/>
      <c r="G189" s="9"/>
      <c r="H189" s="10" t="str">
        <f>IF($B189="","",IF($C189="","apnéiste non reconnu",IF($A189="","séance non renseignée",IF(COUNTIFS($A$5:$A$504,$A189,$C$5:$C$504,$C189)&gt;1,"doublon séance / apnéiste",IF(OR($C189=IFERROR(INDEX('Calendrier'!$K$5:$K$5,MATCH($A189,'Calendrier'!$A$5:$A$5,0)),""),$C189=IFERROR(INDEX('Calendrier'!$O$5:$O$5,MATCH($A189,'Calendrier'!$A$5:$A$5,0)),"")),"encadrant et élève sur la même séance",IF(IFERROR(INDEX(Personnes!$H$5:$H$154,MATCH($C189,Personnes!$B$5:$B$154,0)),"")&lt;&gt;"oui","invité (hors ligne)","ok"))))))</f>
        <v/>
      </c>
    </row>
    <row r="190" spans="1:8" x14ac:dyDescent="0.2">
      <c r="A190" s="15"/>
      <c r="B190" s="15"/>
      <c r="C190" s="10" t="str">
        <f>IF($B190="","",IFERROR(IF(ISNUMBER(FIND("[",$B190)),MID($B190,FIND("[",$B190)+1,FIND("]",$B190)-FIND("[",$B190)-1),IF(ISNUMBER($B190),INDEX(Personnes!$B$5:$B$154,MATCH($B190,Personnes!$A$5:$A$154,0)),IFERROR(INDEX(Personnes!$B$5:$B$154,MATCH($B190&amp;"*",Personnes!$C$5:$C$154,0)),INDEX(Personnes!$B$5:$B$154,MATCH($B190&amp;"*",Personnes!$D$5:$D$154,0))))),""))</f>
        <v/>
      </c>
      <c r="D190" s="10" t="str">
        <f>IFERROR(INDEX(Personnes!$C$5:$C$154,MATCH($C190,Personnes!$B$5:$B$154,0))&amp;"","")</f>
        <v/>
      </c>
      <c r="E190" s="10" t="str">
        <f>IFERROR(INDEX(Personnes!$D$5:$D$154,MATCH($C190,Personnes!$B$5:$B$154,0))&amp;"","")</f>
        <v/>
      </c>
      <c r="F190" s="15"/>
      <c r="G190" s="9"/>
      <c r="H190" s="10" t="str">
        <f>IF($B190="","",IF($C190="","apnéiste non reconnu",IF($A190="","séance non renseignée",IF(COUNTIFS($A$5:$A$504,$A190,$C$5:$C$504,$C190)&gt;1,"doublon séance / apnéiste",IF(OR($C190=IFERROR(INDEX('Calendrier'!$K$5:$K$5,MATCH($A190,'Calendrier'!$A$5:$A$5,0)),""),$C190=IFERROR(INDEX('Calendrier'!$O$5:$O$5,MATCH($A190,'Calendrier'!$A$5:$A$5,0)),"")),"encadrant et élève sur la même séance",IF(IFERROR(INDEX(Personnes!$H$5:$H$154,MATCH($C190,Personnes!$B$5:$B$154,0)),"")&lt;&gt;"oui","invité (hors ligne)","ok"))))))</f>
        <v/>
      </c>
    </row>
    <row r="191" spans="1:8" x14ac:dyDescent="0.2">
      <c r="A191" s="15"/>
      <c r="B191" s="15"/>
      <c r="C191" s="10" t="str">
        <f>IF($B191="","",IFERROR(IF(ISNUMBER(FIND("[",$B191)),MID($B191,FIND("[",$B191)+1,FIND("]",$B191)-FIND("[",$B191)-1),IF(ISNUMBER($B191),INDEX(Personnes!$B$5:$B$154,MATCH($B191,Personnes!$A$5:$A$154,0)),IFERROR(INDEX(Personnes!$B$5:$B$154,MATCH($B191&amp;"*",Personnes!$C$5:$C$154,0)),INDEX(Personnes!$B$5:$B$154,MATCH($B191&amp;"*",Personnes!$D$5:$D$154,0))))),""))</f>
        <v/>
      </c>
      <c r="D191" s="10" t="str">
        <f>IFERROR(INDEX(Personnes!$C$5:$C$154,MATCH($C191,Personnes!$B$5:$B$154,0))&amp;"","")</f>
        <v/>
      </c>
      <c r="E191" s="10" t="str">
        <f>IFERROR(INDEX(Personnes!$D$5:$D$154,MATCH($C191,Personnes!$B$5:$B$154,0))&amp;"","")</f>
        <v/>
      </c>
      <c r="F191" s="15"/>
      <c r="G191" s="9"/>
      <c r="H191" s="10" t="str">
        <f>IF($B191="","",IF($C191="","apnéiste non reconnu",IF($A191="","séance non renseignée",IF(COUNTIFS($A$5:$A$504,$A191,$C$5:$C$504,$C191)&gt;1,"doublon séance / apnéiste",IF(OR($C191=IFERROR(INDEX('Calendrier'!$K$5:$K$5,MATCH($A191,'Calendrier'!$A$5:$A$5,0)),""),$C191=IFERROR(INDEX('Calendrier'!$O$5:$O$5,MATCH($A191,'Calendrier'!$A$5:$A$5,0)),"")),"encadrant et élève sur la même séance",IF(IFERROR(INDEX(Personnes!$H$5:$H$154,MATCH($C191,Personnes!$B$5:$B$154,0)),"")&lt;&gt;"oui","invité (hors ligne)","ok"))))))</f>
        <v/>
      </c>
    </row>
    <row r="192" spans="1:8" x14ac:dyDescent="0.2">
      <c r="A192" s="15"/>
      <c r="B192" s="15"/>
      <c r="C192" s="10" t="str">
        <f>IF($B192="","",IFERROR(IF(ISNUMBER(FIND("[",$B192)),MID($B192,FIND("[",$B192)+1,FIND("]",$B192)-FIND("[",$B192)-1),IF(ISNUMBER($B192),INDEX(Personnes!$B$5:$B$154,MATCH($B192,Personnes!$A$5:$A$154,0)),IFERROR(INDEX(Personnes!$B$5:$B$154,MATCH($B192&amp;"*",Personnes!$C$5:$C$154,0)),INDEX(Personnes!$B$5:$B$154,MATCH($B192&amp;"*",Personnes!$D$5:$D$154,0))))),""))</f>
        <v/>
      </c>
      <c r="D192" s="10" t="str">
        <f>IFERROR(INDEX(Personnes!$C$5:$C$154,MATCH($C192,Personnes!$B$5:$B$154,0))&amp;"","")</f>
        <v/>
      </c>
      <c r="E192" s="10" t="str">
        <f>IFERROR(INDEX(Personnes!$D$5:$D$154,MATCH($C192,Personnes!$B$5:$B$154,0))&amp;"","")</f>
        <v/>
      </c>
      <c r="F192" s="15"/>
      <c r="G192" s="9"/>
      <c r="H192" s="10" t="str">
        <f>IF($B192="","",IF($C192="","apnéiste non reconnu",IF($A192="","séance non renseignée",IF(COUNTIFS($A$5:$A$504,$A192,$C$5:$C$504,$C192)&gt;1,"doublon séance / apnéiste",IF(OR($C192=IFERROR(INDEX('Calendrier'!$K$5:$K$5,MATCH($A192,'Calendrier'!$A$5:$A$5,0)),""),$C192=IFERROR(INDEX('Calendrier'!$O$5:$O$5,MATCH($A192,'Calendrier'!$A$5:$A$5,0)),"")),"encadrant et élève sur la même séance",IF(IFERROR(INDEX(Personnes!$H$5:$H$154,MATCH($C192,Personnes!$B$5:$B$154,0)),"")&lt;&gt;"oui","invité (hors ligne)","ok"))))))</f>
        <v/>
      </c>
    </row>
    <row r="193" spans="1:8" x14ac:dyDescent="0.2">
      <c r="A193" s="15"/>
      <c r="B193" s="15"/>
      <c r="C193" s="10" t="str">
        <f>IF($B193="","",IFERROR(IF(ISNUMBER(FIND("[",$B193)),MID($B193,FIND("[",$B193)+1,FIND("]",$B193)-FIND("[",$B193)-1),IF(ISNUMBER($B193),INDEX(Personnes!$B$5:$B$154,MATCH($B193,Personnes!$A$5:$A$154,0)),IFERROR(INDEX(Personnes!$B$5:$B$154,MATCH($B193&amp;"*",Personnes!$C$5:$C$154,0)),INDEX(Personnes!$B$5:$B$154,MATCH($B193&amp;"*",Personnes!$D$5:$D$154,0))))),""))</f>
        <v/>
      </c>
      <c r="D193" s="10" t="str">
        <f>IFERROR(INDEX(Personnes!$C$5:$C$154,MATCH($C193,Personnes!$B$5:$B$154,0))&amp;"","")</f>
        <v/>
      </c>
      <c r="E193" s="10" t="str">
        <f>IFERROR(INDEX(Personnes!$D$5:$D$154,MATCH($C193,Personnes!$B$5:$B$154,0))&amp;"","")</f>
        <v/>
      </c>
      <c r="F193" s="15"/>
      <c r="G193" s="9"/>
      <c r="H193" s="10" t="str">
        <f>IF($B193="","",IF($C193="","apnéiste non reconnu",IF($A193="","séance non renseignée",IF(COUNTIFS($A$5:$A$504,$A193,$C$5:$C$504,$C193)&gt;1,"doublon séance / apnéiste",IF(OR($C193=IFERROR(INDEX('Calendrier'!$K$5:$K$5,MATCH($A193,'Calendrier'!$A$5:$A$5,0)),""),$C193=IFERROR(INDEX('Calendrier'!$O$5:$O$5,MATCH($A193,'Calendrier'!$A$5:$A$5,0)),"")),"encadrant et élève sur la même séance",IF(IFERROR(INDEX(Personnes!$H$5:$H$154,MATCH($C193,Personnes!$B$5:$B$154,0)),"")&lt;&gt;"oui","invité (hors ligne)","ok"))))))</f>
        <v/>
      </c>
    </row>
    <row r="194" spans="1:8" x14ac:dyDescent="0.2">
      <c r="A194" s="15"/>
      <c r="B194" s="15"/>
      <c r="C194" s="10" t="str">
        <f>IF($B194="","",IFERROR(IF(ISNUMBER(FIND("[",$B194)),MID($B194,FIND("[",$B194)+1,FIND("]",$B194)-FIND("[",$B194)-1),IF(ISNUMBER($B194),INDEX(Personnes!$B$5:$B$154,MATCH($B194,Personnes!$A$5:$A$154,0)),IFERROR(INDEX(Personnes!$B$5:$B$154,MATCH($B194&amp;"*",Personnes!$C$5:$C$154,0)),INDEX(Personnes!$B$5:$B$154,MATCH($B194&amp;"*",Personnes!$D$5:$D$154,0))))),""))</f>
        <v/>
      </c>
      <c r="D194" s="10" t="str">
        <f>IFERROR(INDEX(Personnes!$C$5:$C$154,MATCH($C194,Personnes!$B$5:$B$154,0))&amp;"","")</f>
        <v/>
      </c>
      <c r="E194" s="10" t="str">
        <f>IFERROR(INDEX(Personnes!$D$5:$D$154,MATCH($C194,Personnes!$B$5:$B$154,0))&amp;"","")</f>
        <v/>
      </c>
      <c r="F194" s="15"/>
      <c r="G194" s="9"/>
      <c r="H194" s="10" t="str">
        <f>IF($B194="","",IF($C194="","apnéiste non reconnu",IF($A194="","séance non renseignée",IF(COUNTIFS($A$5:$A$504,$A194,$C$5:$C$504,$C194)&gt;1,"doublon séance / apnéiste",IF(OR($C194=IFERROR(INDEX('Calendrier'!$K$5:$K$5,MATCH($A194,'Calendrier'!$A$5:$A$5,0)),""),$C194=IFERROR(INDEX('Calendrier'!$O$5:$O$5,MATCH($A194,'Calendrier'!$A$5:$A$5,0)),"")),"encadrant et élève sur la même séance",IF(IFERROR(INDEX(Personnes!$H$5:$H$154,MATCH($C194,Personnes!$B$5:$B$154,0)),"")&lt;&gt;"oui","invité (hors ligne)","ok"))))))</f>
        <v/>
      </c>
    </row>
    <row r="195" spans="1:8" x14ac:dyDescent="0.2">
      <c r="A195" s="15"/>
      <c r="B195" s="15"/>
      <c r="C195" s="10" t="str">
        <f>IF($B195="","",IFERROR(IF(ISNUMBER(FIND("[",$B195)),MID($B195,FIND("[",$B195)+1,FIND("]",$B195)-FIND("[",$B195)-1),IF(ISNUMBER($B195),INDEX(Personnes!$B$5:$B$154,MATCH($B195,Personnes!$A$5:$A$154,0)),IFERROR(INDEX(Personnes!$B$5:$B$154,MATCH($B195&amp;"*",Personnes!$C$5:$C$154,0)),INDEX(Personnes!$B$5:$B$154,MATCH($B195&amp;"*",Personnes!$D$5:$D$154,0))))),""))</f>
        <v/>
      </c>
      <c r="D195" s="10" t="str">
        <f>IFERROR(INDEX(Personnes!$C$5:$C$154,MATCH($C195,Personnes!$B$5:$B$154,0))&amp;"","")</f>
        <v/>
      </c>
      <c r="E195" s="10" t="str">
        <f>IFERROR(INDEX(Personnes!$D$5:$D$154,MATCH($C195,Personnes!$B$5:$B$154,0))&amp;"","")</f>
        <v/>
      </c>
      <c r="F195" s="15"/>
      <c r="G195" s="9"/>
      <c r="H195" s="10" t="str">
        <f>IF($B195="","",IF($C195="","apnéiste non reconnu",IF($A195="","séance non renseignée",IF(COUNTIFS($A$5:$A$504,$A195,$C$5:$C$504,$C195)&gt;1,"doublon séance / apnéiste",IF(OR($C195=IFERROR(INDEX('Calendrier'!$K$5:$K$5,MATCH($A195,'Calendrier'!$A$5:$A$5,0)),""),$C195=IFERROR(INDEX('Calendrier'!$O$5:$O$5,MATCH($A195,'Calendrier'!$A$5:$A$5,0)),"")),"encadrant et élève sur la même séance",IF(IFERROR(INDEX(Personnes!$H$5:$H$154,MATCH($C195,Personnes!$B$5:$B$154,0)),"")&lt;&gt;"oui","invité (hors ligne)","ok"))))))</f>
        <v/>
      </c>
    </row>
    <row r="196" spans="1:8" x14ac:dyDescent="0.2">
      <c r="A196" s="15"/>
      <c r="B196" s="15"/>
      <c r="C196" s="10" t="str">
        <f>IF($B196="","",IFERROR(IF(ISNUMBER(FIND("[",$B196)),MID($B196,FIND("[",$B196)+1,FIND("]",$B196)-FIND("[",$B196)-1),IF(ISNUMBER($B196),INDEX(Personnes!$B$5:$B$154,MATCH($B196,Personnes!$A$5:$A$154,0)),IFERROR(INDEX(Personnes!$B$5:$B$154,MATCH($B196&amp;"*",Personnes!$C$5:$C$154,0)),INDEX(Personnes!$B$5:$B$154,MATCH($B196&amp;"*",Personnes!$D$5:$D$154,0))))),""))</f>
        <v/>
      </c>
      <c r="D196" s="10" t="str">
        <f>IFERROR(INDEX(Personnes!$C$5:$C$154,MATCH($C196,Personnes!$B$5:$B$154,0))&amp;"","")</f>
        <v/>
      </c>
      <c r="E196" s="10" t="str">
        <f>IFERROR(INDEX(Personnes!$D$5:$D$154,MATCH($C196,Personnes!$B$5:$B$154,0))&amp;"","")</f>
        <v/>
      </c>
      <c r="F196" s="15"/>
      <c r="G196" s="9"/>
      <c r="H196" s="10" t="str">
        <f>IF($B196="","",IF($C196="","apnéiste non reconnu",IF($A196="","séance non renseignée",IF(COUNTIFS($A$5:$A$504,$A196,$C$5:$C$504,$C196)&gt;1,"doublon séance / apnéiste",IF(OR($C196=IFERROR(INDEX('Calendrier'!$K$5:$K$5,MATCH($A196,'Calendrier'!$A$5:$A$5,0)),""),$C196=IFERROR(INDEX('Calendrier'!$O$5:$O$5,MATCH($A196,'Calendrier'!$A$5:$A$5,0)),"")),"encadrant et élève sur la même séance",IF(IFERROR(INDEX(Personnes!$H$5:$H$154,MATCH($C196,Personnes!$B$5:$B$154,0)),"")&lt;&gt;"oui","invité (hors ligne)","ok"))))))</f>
        <v/>
      </c>
    </row>
    <row r="197" spans="1:8" x14ac:dyDescent="0.2">
      <c r="A197" s="15"/>
      <c r="B197" s="15"/>
      <c r="C197" s="10" t="str">
        <f>IF($B197="","",IFERROR(IF(ISNUMBER(FIND("[",$B197)),MID($B197,FIND("[",$B197)+1,FIND("]",$B197)-FIND("[",$B197)-1),IF(ISNUMBER($B197),INDEX(Personnes!$B$5:$B$154,MATCH($B197,Personnes!$A$5:$A$154,0)),IFERROR(INDEX(Personnes!$B$5:$B$154,MATCH($B197&amp;"*",Personnes!$C$5:$C$154,0)),INDEX(Personnes!$B$5:$B$154,MATCH($B197&amp;"*",Personnes!$D$5:$D$154,0))))),""))</f>
        <v/>
      </c>
      <c r="D197" s="10" t="str">
        <f>IFERROR(INDEX(Personnes!$C$5:$C$154,MATCH($C197,Personnes!$B$5:$B$154,0))&amp;"","")</f>
        <v/>
      </c>
      <c r="E197" s="10" t="str">
        <f>IFERROR(INDEX(Personnes!$D$5:$D$154,MATCH($C197,Personnes!$B$5:$B$154,0))&amp;"","")</f>
        <v/>
      </c>
      <c r="F197" s="15"/>
      <c r="G197" s="9"/>
      <c r="H197" s="10" t="str">
        <f>IF($B197="","",IF($C197="","apnéiste non reconnu",IF($A197="","séance non renseignée",IF(COUNTIFS($A$5:$A$504,$A197,$C$5:$C$504,$C197)&gt;1,"doublon séance / apnéiste",IF(OR($C197=IFERROR(INDEX('Calendrier'!$K$5:$K$5,MATCH($A197,'Calendrier'!$A$5:$A$5,0)),""),$C197=IFERROR(INDEX('Calendrier'!$O$5:$O$5,MATCH($A197,'Calendrier'!$A$5:$A$5,0)),"")),"encadrant et élève sur la même séance",IF(IFERROR(INDEX(Personnes!$H$5:$H$154,MATCH($C197,Personnes!$B$5:$B$154,0)),"")&lt;&gt;"oui","invité (hors ligne)","ok"))))))</f>
        <v/>
      </c>
    </row>
    <row r="198" spans="1:8" x14ac:dyDescent="0.2">
      <c r="A198" s="15"/>
      <c r="B198" s="15"/>
      <c r="C198" s="10" t="str">
        <f>IF($B198="","",IFERROR(IF(ISNUMBER(FIND("[",$B198)),MID($B198,FIND("[",$B198)+1,FIND("]",$B198)-FIND("[",$B198)-1),IF(ISNUMBER($B198),INDEX(Personnes!$B$5:$B$154,MATCH($B198,Personnes!$A$5:$A$154,0)),IFERROR(INDEX(Personnes!$B$5:$B$154,MATCH($B198&amp;"*",Personnes!$C$5:$C$154,0)),INDEX(Personnes!$B$5:$B$154,MATCH($B198&amp;"*",Personnes!$D$5:$D$154,0))))),""))</f>
        <v/>
      </c>
      <c r="D198" s="10" t="str">
        <f>IFERROR(INDEX(Personnes!$C$5:$C$154,MATCH($C198,Personnes!$B$5:$B$154,0))&amp;"","")</f>
        <v/>
      </c>
      <c r="E198" s="10" t="str">
        <f>IFERROR(INDEX(Personnes!$D$5:$D$154,MATCH($C198,Personnes!$B$5:$B$154,0))&amp;"","")</f>
        <v/>
      </c>
      <c r="F198" s="15"/>
      <c r="G198" s="9"/>
      <c r="H198" s="10" t="str">
        <f>IF($B198="","",IF($C198="","apnéiste non reconnu",IF($A198="","séance non renseignée",IF(COUNTIFS($A$5:$A$504,$A198,$C$5:$C$504,$C198)&gt;1,"doublon séance / apnéiste",IF(OR($C198=IFERROR(INDEX('Calendrier'!$K$5:$K$5,MATCH($A198,'Calendrier'!$A$5:$A$5,0)),""),$C198=IFERROR(INDEX('Calendrier'!$O$5:$O$5,MATCH($A198,'Calendrier'!$A$5:$A$5,0)),"")),"encadrant et élève sur la même séance",IF(IFERROR(INDEX(Personnes!$H$5:$H$154,MATCH($C198,Personnes!$B$5:$B$154,0)),"")&lt;&gt;"oui","invité (hors ligne)","ok"))))))</f>
        <v/>
      </c>
    </row>
    <row r="199" spans="1:8" x14ac:dyDescent="0.2">
      <c r="A199" s="15"/>
      <c r="B199" s="15"/>
      <c r="C199" s="10" t="str">
        <f>IF($B199="","",IFERROR(IF(ISNUMBER(FIND("[",$B199)),MID($B199,FIND("[",$B199)+1,FIND("]",$B199)-FIND("[",$B199)-1),IF(ISNUMBER($B199),INDEX(Personnes!$B$5:$B$154,MATCH($B199,Personnes!$A$5:$A$154,0)),IFERROR(INDEX(Personnes!$B$5:$B$154,MATCH($B199&amp;"*",Personnes!$C$5:$C$154,0)),INDEX(Personnes!$B$5:$B$154,MATCH($B199&amp;"*",Personnes!$D$5:$D$154,0))))),""))</f>
        <v/>
      </c>
      <c r="D199" s="10" t="str">
        <f>IFERROR(INDEX(Personnes!$C$5:$C$154,MATCH($C199,Personnes!$B$5:$B$154,0))&amp;"","")</f>
        <v/>
      </c>
      <c r="E199" s="10" t="str">
        <f>IFERROR(INDEX(Personnes!$D$5:$D$154,MATCH($C199,Personnes!$B$5:$B$154,0))&amp;"","")</f>
        <v/>
      </c>
      <c r="F199" s="15"/>
      <c r="G199" s="9"/>
      <c r="H199" s="10" t="str">
        <f>IF($B199="","",IF($C199="","apnéiste non reconnu",IF($A199="","séance non renseignée",IF(COUNTIFS($A$5:$A$504,$A199,$C$5:$C$504,$C199)&gt;1,"doublon séance / apnéiste",IF(OR($C199=IFERROR(INDEX('Calendrier'!$K$5:$K$5,MATCH($A199,'Calendrier'!$A$5:$A$5,0)),""),$C199=IFERROR(INDEX('Calendrier'!$O$5:$O$5,MATCH($A199,'Calendrier'!$A$5:$A$5,0)),"")),"encadrant et élève sur la même séance",IF(IFERROR(INDEX(Personnes!$H$5:$H$154,MATCH($C199,Personnes!$B$5:$B$154,0)),"")&lt;&gt;"oui","invité (hors ligne)","ok"))))))</f>
        <v/>
      </c>
    </row>
    <row r="200" spans="1:8" x14ac:dyDescent="0.2">
      <c r="A200" s="15"/>
      <c r="B200" s="15"/>
      <c r="C200" s="10" t="str">
        <f>IF($B200="","",IFERROR(IF(ISNUMBER(FIND("[",$B200)),MID($B200,FIND("[",$B200)+1,FIND("]",$B200)-FIND("[",$B200)-1),IF(ISNUMBER($B200),INDEX(Personnes!$B$5:$B$154,MATCH($B200,Personnes!$A$5:$A$154,0)),IFERROR(INDEX(Personnes!$B$5:$B$154,MATCH($B200&amp;"*",Personnes!$C$5:$C$154,0)),INDEX(Personnes!$B$5:$B$154,MATCH($B200&amp;"*",Personnes!$D$5:$D$154,0))))),""))</f>
        <v/>
      </c>
      <c r="D200" s="10" t="str">
        <f>IFERROR(INDEX(Personnes!$C$5:$C$154,MATCH($C200,Personnes!$B$5:$B$154,0))&amp;"","")</f>
        <v/>
      </c>
      <c r="E200" s="10" t="str">
        <f>IFERROR(INDEX(Personnes!$D$5:$D$154,MATCH($C200,Personnes!$B$5:$B$154,0))&amp;"","")</f>
        <v/>
      </c>
      <c r="F200" s="15"/>
      <c r="G200" s="9"/>
      <c r="H200" s="10" t="str">
        <f>IF($B200="","",IF($C200="","apnéiste non reconnu",IF($A200="","séance non renseignée",IF(COUNTIFS($A$5:$A$504,$A200,$C$5:$C$504,$C200)&gt;1,"doublon séance / apnéiste",IF(OR($C200=IFERROR(INDEX('Calendrier'!$K$5:$K$5,MATCH($A200,'Calendrier'!$A$5:$A$5,0)),""),$C200=IFERROR(INDEX('Calendrier'!$O$5:$O$5,MATCH($A200,'Calendrier'!$A$5:$A$5,0)),"")),"encadrant et élève sur la même séance",IF(IFERROR(INDEX(Personnes!$H$5:$H$154,MATCH($C200,Personnes!$B$5:$B$154,0)),"")&lt;&gt;"oui","invité (hors ligne)","ok"))))))</f>
        <v/>
      </c>
    </row>
    <row r="201" spans="1:8" x14ac:dyDescent="0.2">
      <c r="A201" s="15"/>
      <c r="B201" s="15"/>
      <c r="C201" s="10" t="str">
        <f>IF($B201="","",IFERROR(IF(ISNUMBER(FIND("[",$B201)),MID($B201,FIND("[",$B201)+1,FIND("]",$B201)-FIND("[",$B201)-1),IF(ISNUMBER($B201),INDEX(Personnes!$B$5:$B$154,MATCH($B201,Personnes!$A$5:$A$154,0)),IFERROR(INDEX(Personnes!$B$5:$B$154,MATCH($B201&amp;"*",Personnes!$C$5:$C$154,0)),INDEX(Personnes!$B$5:$B$154,MATCH($B201&amp;"*",Personnes!$D$5:$D$154,0))))),""))</f>
        <v/>
      </c>
      <c r="D201" s="10" t="str">
        <f>IFERROR(INDEX(Personnes!$C$5:$C$154,MATCH($C201,Personnes!$B$5:$B$154,0))&amp;"","")</f>
        <v/>
      </c>
      <c r="E201" s="10" t="str">
        <f>IFERROR(INDEX(Personnes!$D$5:$D$154,MATCH($C201,Personnes!$B$5:$B$154,0))&amp;"","")</f>
        <v/>
      </c>
      <c r="F201" s="15"/>
      <c r="G201" s="9"/>
      <c r="H201" s="10" t="str">
        <f>IF($B201="","",IF($C201="","apnéiste non reconnu",IF($A201="","séance non renseignée",IF(COUNTIFS($A$5:$A$504,$A201,$C$5:$C$504,$C201)&gt;1,"doublon séance / apnéiste",IF(OR($C201=IFERROR(INDEX('Calendrier'!$K$5:$K$5,MATCH($A201,'Calendrier'!$A$5:$A$5,0)),""),$C201=IFERROR(INDEX('Calendrier'!$O$5:$O$5,MATCH($A201,'Calendrier'!$A$5:$A$5,0)),"")),"encadrant et élève sur la même séance",IF(IFERROR(INDEX(Personnes!$H$5:$H$154,MATCH($C201,Personnes!$B$5:$B$154,0)),"")&lt;&gt;"oui","invité (hors ligne)","ok"))))))</f>
        <v/>
      </c>
    </row>
    <row r="202" spans="1:8" x14ac:dyDescent="0.2">
      <c r="A202" s="15"/>
      <c r="B202" s="15"/>
      <c r="C202" s="10" t="str">
        <f>IF($B202="","",IFERROR(IF(ISNUMBER(FIND("[",$B202)),MID($B202,FIND("[",$B202)+1,FIND("]",$B202)-FIND("[",$B202)-1),IF(ISNUMBER($B202),INDEX(Personnes!$B$5:$B$154,MATCH($B202,Personnes!$A$5:$A$154,0)),IFERROR(INDEX(Personnes!$B$5:$B$154,MATCH($B202&amp;"*",Personnes!$C$5:$C$154,0)),INDEX(Personnes!$B$5:$B$154,MATCH($B202&amp;"*",Personnes!$D$5:$D$154,0))))),""))</f>
        <v/>
      </c>
      <c r="D202" s="10" t="str">
        <f>IFERROR(INDEX(Personnes!$C$5:$C$154,MATCH($C202,Personnes!$B$5:$B$154,0))&amp;"","")</f>
        <v/>
      </c>
      <c r="E202" s="10" t="str">
        <f>IFERROR(INDEX(Personnes!$D$5:$D$154,MATCH($C202,Personnes!$B$5:$B$154,0))&amp;"","")</f>
        <v/>
      </c>
      <c r="F202" s="15"/>
      <c r="G202" s="9"/>
      <c r="H202" s="10" t="str">
        <f>IF($B202="","",IF($C202="","apnéiste non reconnu",IF($A202="","séance non renseignée",IF(COUNTIFS($A$5:$A$504,$A202,$C$5:$C$504,$C202)&gt;1,"doublon séance / apnéiste",IF(OR($C202=IFERROR(INDEX('Calendrier'!$K$5:$K$5,MATCH($A202,'Calendrier'!$A$5:$A$5,0)),""),$C202=IFERROR(INDEX('Calendrier'!$O$5:$O$5,MATCH($A202,'Calendrier'!$A$5:$A$5,0)),"")),"encadrant et élève sur la même séance",IF(IFERROR(INDEX(Personnes!$H$5:$H$154,MATCH($C202,Personnes!$B$5:$B$154,0)),"")&lt;&gt;"oui","invité (hors ligne)","ok"))))))</f>
        <v/>
      </c>
    </row>
    <row r="203" spans="1:8" x14ac:dyDescent="0.2">
      <c r="A203" s="15"/>
      <c r="B203" s="15"/>
      <c r="C203" s="10" t="str">
        <f>IF($B203="","",IFERROR(IF(ISNUMBER(FIND("[",$B203)),MID($B203,FIND("[",$B203)+1,FIND("]",$B203)-FIND("[",$B203)-1),IF(ISNUMBER($B203),INDEX(Personnes!$B$5:$B$154,MATCH($B203,Personnes!$A$5:$A$154,0)),IFERROR(INDEX(Personnes!$B$5:$B$154,MATCH($B203&amp;"*",Personnes!$C$5:$C$154,0)),INDEX(Personnes!$B$5:$B$154,MATCH($B203&amp;"*",Personnes!$D$5:$D$154,0))))),""))</f>
        <v/>
      </c>
      <c r="D203" s="10" t="str">
        <f>IFERROR(INDEX(Personnes!$C$5:$C$154,MATCH($C203,Personnes!$B$5:$B$154,0))&amp;"","")</f>
        <v/>
      </c>
      <c r="E203" s="10" t="str">
        <f>IFERROR(INDEX(Personnes!$D$5:$D$154,MATCH($C203,Personnes!$B$5:$B$154,0))&amp;"","")</f>
        <v/>
      </c>
      <c r="F203" s="15"/>
      <c r="G203" s="9"/>
      <c r="H203" s="10" t="str">
        <f>IF($B203="","",IF($C203="","apnéiste non reconnu",IF($A203="","séance non renseignée",IF(COUNTIFS($A$5:$A$504,$A203,$C$5:$C$504,$C203)&gt;1,"doublon séance / apnéiste",IF(OR($C203=IFERROR(INDEX('Calendrier'!$K$5:$K$5,MATCH($A203,'Calendrier'!$A$5:$A$5,0)),""),$C203=IFERROR(INDEX('Calendrier'!$O$5:$O$5,MATCH($A203,'Calendrier'!$A$5:$A$5,0)),"")),"encadrant et élève sur la même séance",IF(IFERROR(INDEX(Personnes!$H$5:$H$154,MATCH($C203,Personnes!$B$5:$B$154,0)),"")&lt;&gt;"oui","invité (hors ligne)","ok"))))))</f>
        <v/>
      </c>
    </row>
    <row r="204" spans="1:8" x14ac:dyDescent="0.2">
      <c r="A204" s="15"/>
      <c r="B204" s="15"/>
      <c r="C204" s="10" t="str">
        <f>IF($B204="","",IFERROR(IF(ISNUMBER(FIND("[",$B204)),MID($B204,FIND("[",$B204)+1,FIND("]",$B204)-FIND("[",$B204)-1),IF(ISNUMBER($B204),INDEX(Personnes!$B$5:$B$154,MATCH($B204,Personnes!$A$5:$A$154,0)),IFERROR(INDEX(Personnes!$B$5:$B$154,MATCH($B204&amp;"*",Personnes!$C$5:$C$154,0)),INDEX(Personnes!$B$5:$B$154,MATCH($B204&amp;"*",Personnes!$D$5:$D$154,0))))),""))</f>
        <v/>
      </c>
      <c r="D204" s="10" t="str">
        <f>IFERROR(INDEX(Personnes!$C$5:$C$154,MATCH($C204,Personnes!$B$5:$B$154,0))&amp;"","")</f>
        <v/>
      </c>
      <c r="E204" s="10" t="str">
        <f>IFERROR(INDEX(Personnes!$D$5:$D$154,MATCH($C204,Personnes!$B$5:$B$154,0))&amp;"","")</f>
        <v/>
      </c>
      <c r="F204" s="15"/>
      <c r="G204" s="9"/>
      <c r="H204" s="10" t="str">
        <f>IF($B204="","",IF($C204="","apnéiste non reconnu",IF($A204="","séance non renseignée",IF(COUNTIFS($A$5:$A$504,$A204,$C$5:$C$504,$C204)&gt;1,"doublon séance / apnéiste",IF(OR($C204=IFERROR(INDEX('Calendrier'!$K$5:$K$5,MATCH($A204,'Calendrier'!$A$5:$A$5,0)),""),$C204=IFERROR(INDEX('Calendrier'!$O$5:$O$5,MATCH($A204,'Calendrier'!$A$5:$A$5,0)),"")),"encadrant et élève sur la même séance",IF(IFERROR(INDEX(Personnes!$H$5:$H$154,MATCH($C204,Personnes!$B$5:$B$154,0)),"")&lt;&gt;"oui","invité (hors ligne)","ok"))))))</f>
        <v/>
      </c>
    </row>
    <row r="205" spans="1:8" x14ac:dyDescent="0.2">
      <c r="A205" s="15"/>
      <c r="B205" s="15"/>
      <c r="C205" s="10" t="str">
        <f>IF($B205="","",IFERROR(IF(ISNUMBER(FIND("[",$B205)),MID($B205,FIND("[",$B205)+1,FIND("]",$B205)-FIND("[",$B205)-1),IF(ISNUMBER($B205),INDEX(Personnes!$B$5:$B$154,MATCH($B205,Personnes!$A$5:$A$154,0)),IFERROR(INDEX(Personnes!$B$5:$B$154,MATCH($B205&amp;"*",Personnes!$C$5:$C$154,0)),INDEX(Personnes!$B$5:$B$154,MATCH($B205&amp;"*",Personnes!$D$5:$D$154,0))))),""))</f>
        <v/>
      </c>
      <c r="D205" s="10" t="str">
        <f>IFERROR(INDEX(Personnes!$C$5:$C$154,MATCH($C205,Personnes!$B$5:$B$154,0))&amp;"","")</f>
        <v/>
      </c>
      <c r="E205" s="10" t="str">
        <f>IFERROR(INDEX(Personnes!$D$5:$D$154,MATCH($C205,Personnes!$B$5:$B$154,0))&amp;"","")</f>
        <v/>
      </c>
      <c r="F205" s="15"/>
      <c r="G205" s="9"/>
      <c r="H205" s="10" t="str">
        <f>IF($B205="","",IF($C205="","apnéiste non reconnu",IF($A205="","séance non renseignée",IF(COUNTIFS($A$5:$A$504,$A205,$C$5:$C$504,$C205)&gt;1,"doublon séance / apnéiste",IF(OR($C205=IFERROR(INDEX('Calendrier'!$K$5:$K$5,MATCH($A205,'Calendrier'!$A$5:$A$5,0)),""),$C205=IFERROR(INDEX('Calendrier'!$O$5:$O$5,MATCH($A205,'Calendrier'!$A$5:$A$5,0)),"")),"encadrant et élève sur la même séance",IF(IFERROR(INDEX(Personnes!$H$5:$H$154,MATCH($C205,Personnes!$B$5:$B$154,0)),"")&lt;&gt;"oui","invité (hors ligne)","ok"))))))</f>
        <v/>
      </c>
    </row>
    <row r="206" spans="1:8" x14ac:dyDescent="0.2">
      <c r="A206" s="15"/>
      <c r="B206" s="15"/>
      <c r="C206" s="10" t="str">
        <f>IF($B206="","",IFERROR(IF(ISNUMBER(FIND("[",$B206)),MID($B206,FIND("[",$B206)+1,FIND("]",$B206)-FIND("[",$B206)-1),IF(ISNUMBER($B206),INDEX(Personnes!$B$5:$B$154,MATCH($B206,Personnes!$A$5:$A$154,0)),IFERROR(INDEX(Personnes!$B$5:$B$154,MATCH($B206&amp;"*",Personnes!$C$5:$C$154,0)),INDEX(Personnes!$B$5:$B$154,MATCH($B206&amp;"*",Personnes!$D$5:$D$154,0))))),""))</f>
        <v/>
      </c>
      <c r="D206" s="10" t="str">
        <f>IFERROR(INDEX(Personnes!$C$5:$C$154,MATCH($C206,Personnes!$B$5:$B$154,0))&amp;"","")</f>
        <v/>
      </c>
      <c r="E206" s="10" t="str">
        <f>IFERROR(INDEX(Personnes!$D$5:$D$154,MATCH($C206,Personnes!$B$5:$B$154,0))&amp;"","")</f>
        <v/>
      </c>
      <c r="F206" s="15"/>
      <c r="G206" s="9"/>
      <c r="H206" s="10" t="str">
        <f>IF($B206="","",IF($C206="","apnéiste non reconnu",IF($A206="","séance non renseignée",IF(COUNTIFS($A$5:$A$504,$A206,$C$5:$C$504,$C206)&gt;1,"doublon séance / apnéiste",IF(OR($C206=IFERROR(INDEX('Calendrier'!$K$5:$K$5,MATCH($A206,'Calendrier'!$A$5:$A$5,0)),""),$C206=IFERROR(INDEX('Calendrier'!$O$5:$O$5,MATCH($A206,'Calendrier'!$A$5:$A$5,0)),"")),"encadrant et élève sur la même séance",IF(IFERROR(INDEX(Personnes!$H$5:$H$154,MATCH($C206,Personnes!$B$5:$B$154,0)),"")&lt;&gt;"oui","invité (hors ligne)","ok"))))))</f>
        <v/>
      </c>
    </row>
    <row r="207" spans="1:8" x14ac:dyDescent="0.2">
      <c r="A207" s="15"/>
      <c r="B207" s="15"/>
      <c r="C207" s="10" t="str">
        <f>IF($B207="","",IFERROR(IF(ISNUMBER(FIND("[",$B207)),MID($B207,FIND("[",$B207)+1,FIND("]",$B207)-FIND("[",$B207)-1),IF(ISNUMBER($B207),INDEX(Personnes!$B$5:$B$154,MATCH($B207,Personnes!$A$5:$A$154,0)),IFERROR(INDEX(Personnes!$B$5:$B$154,MATCH($B207&amp;"*",Personnes!$C$5:$C$154,0)),INDEX(Personnes!$B$5:$B$154,MATCH($B207&amp;"*",Personnes!$D$5:$D$154,0))))),""))</f>
        <v/>
      </c>
      <c r="D207" s="10" t="str">
        <f>IFERROR(INDEX(Personnes!$C$5:$C$154,MATCH($C207,Personnes!$B$5:$B$154,0))&amp;"","")</f>
        <v/>
      </c>
      <c r="E207" s="10" t="str">
        <f>IFERROR(INDEX(Personnes!$D$5:$D$154,MATCH($C207,Personnes!$B$5:$B$154,0))&amp;"","")</f>
        <v/>
      </c>
      <c r="F207" s="15"/>
      <c r="G207" s="9"/>
      <c r="H207" s="10" t="str">
        <f>IF($B207="","",IF($C207="","apnéiste non reconnu",IF($A207="","séance non renseignée",IF(COUNTIFS($A$5:$A$504,$A207,$C$5:$C$504,$C207)&gt;1,"doublon séance / apnéiste",IF(OR($C207=IFERROR(INDEX('Calendrier'!$K$5:$K$5,MATCH($A207,'Calendrier'!$A$5:$A$5,0)),""),$C207=IFERROR(INDEX('Calendrier'!$O$5:$O$5,MATCH($A207,'Calendrier'!$A$5:$A$5,0)),"")),"encadrant et élève sur la même séance",IF(IFERROR(INDEX(Personnes!$H$5:$H$154,MATCH($C207,Personnes!$B$5:$B$154,0)),"")&lt;&gt;"oui","invité (hors ligne)","ok"))))))</f>
        <v/>
      </c>
    </row>
    <row r="208" spans="1:8" x14ac:dyDescent="0.2">
      <c r="A208" s="15"/>
      <c r="B208" s="15"/>
      <c r="C208" s="10" t="str">
        <f>IF($B208="","",IFERROR(IF(ISNUMBER(FIND("[",$B208)),MID($B208,FIND("[",$B208)+1,FIND("]",$B208)-FIND("[",$B208)-1),IF(ISNUMBER($B208),INDEX(Personnes!$B$5:$B$154,MATCH($B208,Personnes!$A$5:$A$154,0)),IFERROR(INDEX(Personnes!$B$5:$B$154,MATCH($B208&amp;"*",Personnes!$C$5:$C$154,0)),INDEX(Personnes!$B$5:$B$154,MATCH($B208&amp;"*",Personnes!$D$5:$D$154,0))))),""))</f>
        <v/>
      </c>
      <c r="D208" s="10" t="str">
        <f>IFERROR(INDEX(Personnes!$C$5:$C$154,MATCH($C208,Personnes!$B$5:$B$154,0))&amp;"","")</f>
        <v/>
      </c>
      <c r="E208" s="10" t="str">
        <f>IFERROR(INDEX(Personnes!$D$5:$D$154,MATCH($C208,Personnes!$B$5:$B$154,0))&amp;"","")</f>
        <v/>
      </c>
      <c r="F208" s="15"/>
      <c r="G208" s="9"/>
      <c r="H208" s="10" t="str">
        <f>IF($B208="","",IF($C208="","apnéiste non reconnu",IF($A208="","séance non renseignée",IF(COUNTIFS($A$5:$A$504,$A208,$C$5:$C$504,$C208)&gt;1,"doublon séance / apnéiste",IF(OR($C208=IFERROR(INDEX('Calendrier'!$K$5:$K$5,MATCH($A208,'Calendrier'!$A$5:$A$5,0)),""),$C208=IFERROR(INDEX('Calendrier'!$O$5:$O$5,MATCH($A208,'Calendrier'!$A$5:$A$5,0)),"")),"encadrant et élève sur la même séance",IF(IFERROR(INDEX(Personnes!$H$5:$H$154,MATCH($C208,Personnes!$B$5:$B$154,0)),"")&lt;&gt;"oui","invité (hors ligne)","ok"))))))</f>
        <v/>
      </c>
    </row>
    <row r="209" spans="1:8" x14ac:dyDescent="0.2">
      <c r="A209" s="15"/>
      <c r="B209" s="15"/>
      <c r="C209" s="10" t="str">
        <f>IF($B209="","",IFERROR(IF(ISNUMBER(FIND("[",$B209)),MID($B209,FIND("[",$B209)+1,FIND("]",$B209)-FIND("[",$B209)-1),IF(ISNUMBER($B209),INDEX(Personnes!$B$5:$B$154,MATCH($B209,Personnes!$A$5:$A$154,0)),IFERROR(INDEX(Personnes!$B$5:$B$154,MATCH($B209&amp;"*",Personnes!$C$5:$C$154,0)),INDEX(Personnes!$B$5:$B$154,MATCH($B209&amp;"*",Personnes!$D$5:$D$154,0))))),""))</f>
        <v/>
      </c>
      <c r="D209" s="10" t="str">
        <f>IFERROR(INDEX(Personnes!$C$5:$C$154,MATCH($C209,Personnes!$B$5:$B$154,0))&amp;"","")</f>
        <v/>
      </c>
      <c r="E209" s="10" t="str">
        <f>IFERROR(INDEX(Personnes!$D$5:$D$154,MATCH($C209,Personnes!$B$5:$B$154,0))&amp;"","")</f>
        <v/>
      </c>
      <c r="F209" s="15"/>
      <c r="G209" s="9"/>
      <c r="H209" s="10" t="str">
        <f>IF($B209="","",IF($C209="","apnéiste non reconnu",IF($A209="","séance non renseignée",IF(COUNTIFS($A$5:$A$504,$A209,$C$5:$C$504,$C209)&gt;1,"doublon séance / apnéiste",IF(OR($C209=IFERROR(INDEX('Calendrier'!$K$5:$K$5,MATCH($A209,'Calendrier'!$A$5:$A$5,0)),""),$C209=IFERROR(INDEX('Calendrier'!$O$5:$O$5,MATCH($A209,'Calendrier'!$A$5:$A$5,0)),"")),"encadrant et élève sur la même séance",IF(IFERROR(INDEX(Personnes!$H$5:$H$154,MATCH($C209,Personnes!$B$5:$B$154,0)),"")&lt;&gt;"oui","invité (hors ligne)","ok"))))))</f>
        <v/>
      </c>
    </row>
    <row r="210" spans="1:8" x14ac:dyDescent="0.2">
      <c r="A210" s="15"/>
      <c r="B210" s="15"/>
      <c r="C210" s="10" t="str">
        <f>IF($B210="","",IFERROR(IF(ISNUMBER(FIND("[",$B210)),MID($B210,FIND("[",$B210)+1,FIND("]",$B210)-FIND("[",$B210)-1),IF(ISNUMBER($B210),INDEX(Personnes!$B$5:$B$154,MATCH($B210,Personnes!$A$5:$A$154,0)),IFERROR(INDEX(Personnes!$B$5:$B$154,MATCH($B210&amp;"*",Personnes!$C$5:$C$154,0)),INDEX(Personnes!$B$5:$B$154,MATCH($B210&amp;"*",Personnes!$D$5:$D$154,0))))),""))</f>
        <v/>
      </c>
      <c r="D210" s="10" t="str">
        <f>IFERROR(INDEX(Personnes!$C$5:$C$154,MATCH($C210,Personnes!$B$5:$B$154,0))&amp;"","")</f>
        <v/>
      </c>
      <c r="E210" s="10" t="str">
        <f>IFERROR(INDEX(Personnes!$D$5:$D$154,MATCH($C210,Personnes!$B$5:$B$154,0))&amp;"","")</f>
        <v/>
      </c>
      <c r="F210" s="15"/>
      <c r="G210" s="9"/>
      <c r="H210" s="10" t="str">
        <f>IF($B210="","",IF($C210="","apnéiste non reconnu",IF($A210="","séance non renseignée",IF(COUNTIFS($A$5:$A$504,$A210,$C$5:$C$504,$C210)&gt;1,"doublon séance / apnéiste",IF(OR($C210=IFERROR(INDEX('Calendrier'!$K$5:$K$5,MATCH($A210,'Calendrier'!$A$5:$A$5,0)),""),$C210=IFERROR(INDEX('Calendrier'!$O$5:$O$5,MATCH($A210,'Calendrier'!$A$5:$A$5,0)),"")),"encadrant et élève sur la même séance",IF(IFERROR(INDEX(Personnes!$H$5:$H$154,MATCH($C210,Personnes!$B$5:$B$154,0)),"")&lt;&gt;"oui","invité (hors ligne)","ok"))))))</f>
        <v/>
      </c>
    </row>
    <row r="211" spans="1:8" x14ac:dyDescent="0.2">
      <c r="A211" s="15"/>
      <c r="B211" s="15"/>
      <c r="C211" s="10" t="str">
        <f>IF($B211="","",IFERROR(IF(ISNUMBER(FIND("[",$B211)),MID($B211,FIND("[",$B211)+1,FIND("]",$B211)-FIND("[",$B211)-1),IF(ISNUMBER($B211),INDEX(Personnes!$B$5:$B$154,MATCH($B211,Personnes!$A$5:$A$154,0)),IFERROR(INDEX(Personnes!$B$5:$B$154,MATCH($B211&amp;"*",Personnes!$C$5:$C$154,0)),INDEX(Personnes!$B$5:$B$154,MATCH($B211&amp;"*",Personnes!$D$5:$D$154,0))))),""))</f>
        <v/>
      </c>
      <c r="D211" s="10" t="str">
        <f>IFERROR(INDEX(Personnes!$C$5:$C$154,MATCH($C211,Personnes!$B$5:$B$154,0))&amp;"","")</f>
        <v/>
      </c>
      <c r="E211" s="10" t="str">
        <f>IFERROR(INDEX(Personnes!$D$5:$D$154,MATCH($C211,Personnes!$B$5:$B$154,0))&amp;"","")</f>
        <v/>
      </c>
      <c r="F211" s="15"/>
      <c r="G211" s="9"/>
      <c r="H211" s="10" t="str">
        <f>IF($B211="","",IF($C211="","apnéiste non reconnu",IF($A211="","séance non renseignée",IF(COUNTIFS($A$5:$A$504,$A211,$C$5:$C$504,$C211)&gt;1,"doublon séance / apnéiste",IF(OR($C211=IFERROR(INDEX('Calendrier'!$K$5:$K$5,MATCH($A211,'Calendrier'!$A$5:$A$5,0)),""),$C211=IFERROR(INDEX('Calendrier'!$O$5:$O$5,MATCH($A211,'Calendrier'!$A$5:$A$5,0)),"")),"encadrant et élève sur la même séance",IF(IFERROR(INDEX(Personnes!$H$5:$H$154,MATCH($C211,Personnes!$B$5:$B$154,0)),"")&lt;&gt;"oui","invité (hors ligne)","ok"))))))</f>
        <v/>
      </c>
    </row>
    <row r="212" spans="1:8" x14ac:dyDescent="0.2">
      <c r="A212" s="15"/>
      <c r="B212" s="15"/>
      <c r="C212" s="10" t="str">
        <f>IF($B212="","",IFERROR(IF(ISNUMBER(FIND("[",$B212)),MID($B212,FIND("[",$B212)+1,FIND("]",$B212)-FIND("[",$B212)-1),IF(ISNUMBER($B212),INDEX(Personnes!$B$5:$B$154,MATCH($B212,Personnes!$A$5:$A$154,0)),IFERROR(INDEX(Personnes!$B$5:$B$154,MATCH($B212&amp;"*",Personnes!$C$5:$C$154,0)),INDEX(Personnes!$B$5:$B$154,MATCH($B212&amp;"*",Personnes!$D$5:$D$154,0))))),""))</f>
        <v/>
      </c>
      <c r="D212" s="10" t="str">
        <f>IFERROR(INDEX(Personnes!$C$5:$C$154,MATCH($C212,Personnes!$B$5:$B$154,0))&amp;"","")</f>
        <v/>
      </c>
      <c r="E212" s="10" t="str">
        <f>IFERROR(INDEX(Personnes!$D$5:$D$154,MATCH($C212,Personnes!$B$5:$B$154,0))&amp;"","")</f>
        <v/>
      </c>
      <c r="F212" s="15"/>
      <c r="G212" s="9"/>
      <c r="H212" s="10" t="str">
        <f>IF($B212="","",IF($C212="","apnéiste non reconnu",IF($A212="","séance non renseignée",IF(COUNTIFS($A$5:$A$504,$A212,$C$5:$C$504,$C212)&gt;1,"doublon séance / apnéiste",IF(OR($C212=IFERROR(INDEX('Calendrier'!$K$5:$K$5,MATCH($A212,'Calendrier'!$A$5:$A$5,0)),""),$C212=IFERROR(INDEX('Calendrier'!$O$5:$O$5,MATCH($A212,'Calendrier'!$A$5:$A$5,0)),"")),"encadrant et élève sur la même séance",IF(IFERROR(INDEX(Personnes!$H$5:$H$154,MATCH($C212,Personnes!$B$5:$B$154,0)),"")&lt;&gt;"oui","invité (hors ligne)","ok"))))))</f>
        <v/>
      </c>
    </row>
    <row r="213" spans="1:8" x14ac:dyDescent="0.2">
      <c r="A213" s="15"/>
      <c r="B213" s="15"/>
      <c r="C213" s="10" t="str">
        <f>IF($B213="","",IFERROR(IF(ISNUMBER(FIND("[",$B213)),MID($B213,FIND("[",$B213)+1,FIND("]",$B213)-FIND("[",$B213)-1),IF(ISNUMBER($B213),INDEX(Personnes!$B$5:$B$154,MATCH($B213,Personnes!$A$5:$A$154,0)),IFERROR(INDEX(Personnes!$B$5:$B$154,MATCH($B213&amp;"*",Personnes!$C$5:$C$154,0)),INDEX(Personnes!$B$5:$B$154,MATCH($B213&amp;"*",Personnes!$D$5:$D$154,0))))),""))</f>
        <v/>
      </c>
      <c r="D213" s="10" t="str">
        <f>IFERROR(INDEX(Personnes!$C$5:$C$154,MATCH($C213,Personnes!$B$5:$B$154,0))&amp;"","")</f>
        <v/>
      </c>
      <c r="E213" s="10" t="str">
        <f>IFERROR(INDEX(Personnes!$D$5:$D$154,MATCH($C213,Personnes!$B$5:$B$154,0))&amp;"","")</f>
        <v/>
      </c>
      <c r="F213" s="15"/>
      <c r="G213" s="9"/>
      <c r="H213" s="10" t="str">
        <f>IF($B213="","",IF($C213="","apnéiste non reconnu",IF($A213="","séance non renseignée",IF(COUNTIFS($A$5:$A$504,$A213,$C$5:$C$504,$C213)&gt;1,"doublon séance / apnéiste",IF(OR($C213=IFERROR(INDEX('Calendrier'!$K$5:$K$5,MATCH($A213,'Calendrier'!$A$5:$A$5,0)),""),$C213=IFERROR(INDEX('Calendrier'!$O$5:$O$5,MATCH($A213,'Calendrier'!$A$5:$A$5,0)),"")),"encadrant et élève sur la même séance",IF(IFERROR(INDEX(Personnes!$H$5:$H$154,MATCH($C213,Personnes!$B$5:$B$154,0)),"")&lt;&gt;"oui","invité (hors ligne)","ok"))))))</f>
        <v/>
      </c>
    </row>
    <row r="214" spans="1:8" x14ac:dyDescent="0.2">
      <c r="A214" s="15"/>
      <c r="B214" s="15"/>
      <c r="C214" s="10" t="str">
        <f>IF($B214="","",IFERROR(IF(ISNUMBER(FIND("[",$B214)),MID($B214,FIND("[",$B214)+1,FIND("]",$B214)-FIND("[",$B214)-1),IF(ISNUMBER($B214),INDEX(Personnes!$B$5:$B$154,MATCH($B214,Personnes!$A$5:$A$154,0)),IFERROR(INDEX(Personnes!$B$5:$B$154,MATCH($B214&amp;"*",Personnes!$C$5:$C$154,0)),INDEX(Personnes!$B$5:$B$154,MATCH($B214&amp;"*",Personnes!$D$5:$D$154,0))))),""))</f>
        <v/>
      </c>
      <c r="D214" s="10" t="str">
        <f>IFERROR(INDEX(Personnes!$C$5:$C$154,MATCH($C214,Personnes!$B$5:$B$154,0))&amp;"","")</f>
        <v/>
      </c>
      <c r="E214" s="10" t="str">
        <f>IFERROR(INDEX(Personnes!$D$5:$D$154,MATCH($C214,Personnes!$B$5:$B$154,0))&amp;"","")</f>
        <v/>
      </c>
      <c r="F214" s="15"/>
      <c r="G214" s="9"/>
      <c r="H214" s="10" t="str">
        <f>IF($B214="","",IF($C214="","apnéiste non reconnu",IF($A214="","séance non renseignée",IF(COUNTIFS($A$5:$A$504,$A214,$C$5:$C$504,$C214)&gt;1,"doublon séance / apnéiste",IF(OR($C214=IFERROR(INDEX('Calendrier'!$K$5:$K$5,MATCH($A214,'Calendrier'!$A$5:$A$5,0)),""),$C214=IFERROR(INDEX('Calendrier'!$O$5:$O$5,MATCH($A214,'Calendrier'!$A$5:$A$5,0)),"")),"encadrant et élève sur la même séance",IF(IFERROR(INDEX(Personnes!$H$5:$H$154,MATCH($C214,Personnes!$B$5:$B$154,0)),"")&lt;&gt;"oui","invité (hors ligne)","ok"))))))</f>
        <v/>
      </c>
    </row>
    <row r="215" spans="1:8" x14ac:dyDescent="0.2">
      <c r="A215" s="15"/>
      <c r="B215" s="15"/>
      <c r="C215" s="10" t="str">
        <f>IF($B215="","",IFERROR(IF(ISNUMBER(FIND("[",$B215)),MID($B215,FIND("[",$B215)+1,FIND("]",$B215)-FIND("[",$B215)-1),IF(ISNUMBER($B215),INDEX(Personnes!$B$5:$B$154,MATCH($B215,Personnes!$A$5:$A$154,0)),IFERROR(INDEX(Personnes!$B$5:$B$154,MATCH($B215&amp;"*",Personnes!$C$5:$C$154,0)),INDEX(Personnes!$B$5:$B$154,MATCH($B215&amp;"*",Personnes!$D$5:$D$154,0))))),""))</f>
        <v/>
      </c>
      <c r="D215" s="10" t="str">
        <f>IFERROR(INDEX(Personnes!$C$5:$C$154,MATCH($C215,Personnes!$B$5:$B$154,0))&amp;"","")</f>
        <v/>
      </c>
      <c r="E215" s="10" t="str">
        <f>IFERROR(INDEX(Personnes!$D$5:$D$154,MATCH($C215,Personnes!$B$5:$B$154,0))&amp;"","")</f>
        <v/>
      </c>
      <c r="F215" s="15"/>
      <c r="G215" s="9"/>
      <c r="H215" s="10" t="str">
        <f>IF($B215="","",IF($C215="","apnéiste non reconnu",IF($A215="","séance non renseignée",IF(COUNTIFS($A$5:$A$504,$A215,$C$5:$C$504,$C215)&gt;1,"doublon séance / apnéiste",IF(OR($C215=IFERROR(INDEX('Calendrier'!$K$5:$K$5,MATCH($A215,'Calendrier'!$A$5:$A$5,0)),""),$C215=IFERROR(INDEX('Calendrier'!$O$5:$O$5,MATCH($A215,'Calendrier'!$A$5:$A$5,0)),"")),"encadrant et élève sur la même séance",IF(IFERROR(INDEX(Personnes!$H$5:$H$154,MATCH($C215,Personnes!$B$5:$B$154,0)),"")&lt;&gt;"oui","invité (hors ligne)","ok"))))))</f>
        <v/>
      </c>
    </row>
    <row r="216" spans="1:8" x14ac:dyDescent="0.2">
      <c r="A216" s="15"/>
      <c r="B216" s="15"/>
      <c r="C216" s="10" t="str">
        <f>IF($B216="","",IFERROR(IF(ISNUMBER(FIND("[",$B216)),MID($B216,FIND("[",$B216)+1,FIND("]",$B216)-FIND("[",$B216)-1),IF(ISNUMBER($B216),INDEX(Personnes!$B$5:$B$154,MATCH($B216,Personnes!$A$5:$A$154,0)),IFERROR(INDEX(Personnes!$B$5:$B$154,MATCH($B216&amp;"*",Personnes!$C$5:$C$154,0)),INDEX(Personnes!$B$5:$B$154,MATCH($B216&amp;"*",Personnes!$D$5:$D$154,0))))),""))</f>
        <v/>
      </c>
      <c r="D216" s="10" t="str">
        <f>IFERROR(INDEX(Personnes!$C$5:$C$154,MATCH($C216,Personnes!$B$5:$B$154,0))&amp;"","")</f>
        <v/>
      </c>
      <c r="E216" s="10" t="str">
        <f>IFERROR(INDEX(Personnes!$D$5:$D$154,MATCH($C216,Personnes!$B$5:$B$154,0))&amp;"","")</f>
        <v/>
      </c>
      <c r="F216" s="15"/>
      <c r="G216" s="9"/>
      <c r="H216" s="10" t="str">
        <f>IF($B216="","",IF($C216="","apnéiste non reconnu",IF($A216="","séance non renseignée",IF(COUNTIFS($A$5:$A$504,$A216,$C$5:$C$504,$C216)&gt;1,"doublon séance / apnéiste",IF(OR($C216=IFERROR(INDEX('Calendrier'!$K$5:$K$5,MATCH($A216,'Calendrier'!$A$5:$A$5,0)),""),$C216=IFERROR(INDEX('Calendrier'!$O$5:$O$5,MATCH($A216,'Calendrier'!$A$5:$A$5,0)),"")),"encadrant et élève sur la même séance",IF(IFERROR(INDEX(Personnes!$H$5:$H$154,MATCH($C216,Personnes!$B$5:$B$154,0)),"")&lt;&gt;"oui","invité (hors ligne)","ok"))))))</f>
        <v/>
      </c>
    </row>
    <row r="217" spans="1:8" x14ac:dyDescent="0.2">
      <c r="A217" s="15"/>
      <c r="B217" s="15"/>
      <c r="C217" s="10" t="str">
        <f>IF($B217="","",IFERROR(IF(ISNUMBER(FIND("[",$B217)),MID($B217,FIND("[",$B217)+1,FIND("]",$B217)-FIND("[",$B217)-1),IF(ISNUMBER($B217),INDEX(Personnes!$B$5:$B$154,MATCH($B217,Personnes!$A$5:$A$154,0)),IFERROR(INDEX(Personnes!$B$5:$B$154,MATCH($B217&amp;"*",Personnes!$C$5:$C$154,0)),INDEX(Personnes!$B$5:$B$154,MATCH($B217&amp;"*",Personnes!$D$5:$D$154,0))))),""))</f>
        <v/>
      </c>
      <c r="D217" s="10" t="str">
        <f>IFERROR(INDEX(Personnes!$C$5:$C$154,MATCH($C217,Personnes!$B$5:$B$154,0))&amp;"","")</f>
        <v/>
      </c>
      <c r="E217" s="10" t="str">
        <f>IFERROR(INDEX(Personnes!$D$5:$D$154,MATCH($C217,Personnes!$B$5:$B$154,0))&amp;"","")</f>
        <v/>
      </c>
      <c r="F217" s="15"/>
      <c r="G217" s="9"/>
      <c r="H217" s="10" t="str">
        <f>IF($B217="","",IF($C217="","apnéiste non reconnu",IF($A217="","séance non renseignée",IF(COUNTIFS($A$5:$A$504,$A217,$C$5:$C$504,$C217)&gt;1,"doublon séance / apnéiste",IF(OR($C217=IFERROR(INDEX('Calendrier'!$K$5:$K$5,MATCH($A217,'Calendrier'!$A$5:$A$5,0)),""),$C217=IFERROR(INDEX('Calendrier'!$O$5:$O$5,MATCH($A217,'Calendrier'!$A$5:$A$5,0)),"")),"encadrant et élève sur la même séance",IF(IFERROR(INDEX(Personnes!$H$5:$H$154,MATCH($C217,Personnes!$B$5:$B$154,0)),"")&lt;&gt;"oui","invité (hors ligne)","ok"))))))</f>
        <v/>
      </c>
    </row>
    <row r="218" spans="1:8" x14ac:dyDescent="0.2">
      <c r="A218" s="15"/>
      <c r="B218" s="15"/>
      <c r="C218" s="10" t="str">
        <f>IF($B218="","",IFERROR(IF(ISNUMBER(FIND("[",$B218)),MID($B218,FIND("[",$B218)+1,FIND("]",$B218)-FIND("[",$B218)-1),IF(ISNUMBER($B218),INDEX(Personnes!$B$5:$B$154,MATCH($B218,Personnes!$A$5:$A$154,0)),IFERROR(INDEX(Personnes!$B$5:$B$154,MATCH($B218&amp;"*",Personnes!$C$5:$C$154,0)),INDEX(Personnes!$B$5:$B$154,MATCH($B218&amp;"*",Personnes!$D$5:$D$154,0))))),""))</f>
        <v/>
      </c>
      <c r="D218" s="10" t="str">
        <f>IFERROR(INDEX(Personnes!$C$5:$C$154,MATCH($C218,Personnes!$B$5:$B$154,0))&amp;"","")</f>
        <v/>
      </c>
      <c r="E218" s="10" t="str">
        <f>IFERROR(INDEX(Personnes!$D$5:$D$154,MATCH($C218,Personnes!$B$5:$B$154,0))&amp;"","")</f>
        <v/>
      </c>
      <c r="F218" s="15"/>
      <c r="G218" s="9"/>
      <c r="H218" s="10" t="str">
        <f>IF($B218="","",IF($C218="","apnéiste non reconnu",IF($A218="","séance non renseignée",IF(COUNTIFS($A$5:$A$504,$A218,$C$5:$C$504,$C218)&gt;1,"doublon séance / apnéiste",IF(OR($C218=IFERROR(INDEX('Calendrier'!$K$5:$K$5,MATCH($A218,'Calendrier'!$A$5:$A$5,0)),""),$C218=IFERROR(INDEX('Calendrier'!$O$5:$O$5,MATCH($A218,'Calendrier'!$A$5:$A$5,0)),"")),"encadrant et élève sur la même séance",IF(IFERROR(INDEX(Personnes!$H$5:$H$154,MATCH($C218,Personnes!$B$5:$B$154,0)),"")&lt;&gt;"oui","invité (hors ligne)","ok"))))))</f>
        <v/>
      </c>
    </row>
    <row r="219" spans="1:8" x14ac:dyDescent="0.2">
      <c r="A219" s="15"/>
      <c r="B219" s="15"/>
      <c r="C219" s="10" t="str">
        <f>IF($B219="","",IFERROR(IF(ISNUMBER(FIND("[",$B219)),MID($B219,FIND("[",$B219)+1,FIND("]",$B219)-FIND("[",$B219)-1),IF(ISNUMBER($B219),INDEX(Personnes!$B$5:$B$154,MATCH($B219,Personnes!$A$5:$A$154,0)),IFERROR(INDEX(Personnes!$B$5:$B$154,MATCH($B219&amp;"*",Personnes!$C$5:$C$154,0)),INDEX(Personnes!$B$5:$B$154,MATCH($B219&amp;"*",Personnes!$D$5:$D$154,0))))),""))</f>
        <v/>
      </c>
      <c r="D219" s="10" t="str">
        <f>IFERROR(INDEX(Personnes!$C$5:$C$154,MATCH($C219,Personnes!$B$5:$B$154,0))&amp;"","")</f>
        <v/>
      </c>
      <c r="E219" s="10" t="str">
        <f>IFERROR(INDEX(Personnes!$D$5:$D$154,MATCH($C219,Personnes!$B$5:$B$154,0))&amp;"","")</f>
        <v/>
      </c>
      <c r="F219" s="15"/>
      <c r="G219" s="9"/>
      <c r="H219" s="10" t="str">
        <f>IF($B219="","",IF($C219="","apnéiste non reconnu",IF($A219="","séance non renseignée",IF(COUNTIFS($A$5:$A$504,$A219,$C$5:$C$504,$C219)&gt;1,"doublon séance / apnéiste",IF(OR($C219=IFERROR(INDEX('Calendrier'!$K$5:$K$5,MATCH($A219,'Calendrier'!$A$5:$A$5,0)),""),$C219=IFERROR(INDEX('Calendrier'!$O$5:$O$5,MATCH($A219,'Calendrier'!$A$5:$A$5,0)),"")),"encadrant et élève sur la même séance",IF(IFERROR(INDEX(Personnes!$H$5:$H$154,MATCH($C219,Personnes!$B$5:$B$154,0)),"")&lt;&gt;"oui","invité (hors ligne)","ok"))))))</f>
        <v/>
      </c>
    </row>
    <row r="220" spans="1:8" x14ac:dyDescent="0.2">
      <c r="A220" s="15"/>
      <c r="B220" s="15"/>
      <c r="C220" s="10" t="str">
        <f>IF($B220="","",IFERROR(IF(ISNUMBER(FIND("[",$B220)),MID($B220,FIND("[",$B220)+1,FIND("]",$B220)-FIND("[",$B220)-1),IF(ISNUMBER($B220),INDEX(Personnes!$B$5:$B$154,MATCH($B220,Personnes!$A$5:$A$154,0)),IFERROR(INDEX(Personnes!$B$5:$B$154,MATCH($B220&amp;"*",Personnes!$C$5:$C$154,0)),INDEX(Personnes!$B$5:$B$154,MATCH($B220&amp;"*",Personnes!$D$5:$D$154,0))))),""))</f>
        <v/>
      </c>
      <c r="D220" s="10" t="str">
        <f>IFERROR(INDEX(Personnes!$C$5:$C$154,MATCH($C220,Personnes!$B$5:$B$154,0))&amp;"","")</f>
        <v/>
      </c>
      <c r="E220" s="10" t="str">
        <f>IFERROR(INDEX(Personnes!$D$5:$D$154,MATCH($C220,Personnes!$B$5:$B$154,0))&amp;"","")</f>
        <v/>
      </c>
      <c r="F220" s="15"/>
      <c r="G220" s="9"/>
      <c r="H220" s="10" t="str">
        <f>IF($B220="","",IF($C220="","apnéiste non reconnu",IF($A220="","séance non renseignée",IF(COUNTIFS($A$5:$A$504,$A220,$C$5:$C$504,$C220)&gt;1,"doublon séance / apnéiste",IF(OR($C220=IFERROR(INDEX('Calendrier'!$K$5:$K$5,MATCH($A220,'Calendrier'!$A$5:$A$5,0)),""),$C220=IFERROR(INDEX('Calendrier'!$O$5:$O$5,MATCH($A220,'Calendrier'!$A$5:$A$5,0)),"")),"encadrant et élève sur la même séance",IF(IFERROR(INDEX(Personnes!$H$5:$H$154,MATCH($C220,Personnes!$B$5:$B$154,0)),"")&lt;&gt;"oui","invité (hors ligne)","ok"))))))</f>
        <v/>
      </c>
    </row>
    <row r="221" spans="1:8" x14ac:dyDescent="0.2">
      <c r="A221" s="15"/>
      <c r="B221" s="15"/>
      <c r="C221" s="10" t="str">
        <f>IF($B221="","",IFERROR(IF(ISNUMBER(FIND("[",$B221)),MID($B221,FIND("[",$B221)+1,FIND("]",$B221)-FIND("[",$B221)-1),IF(ISNUMBER($B221),INDEX(Personnes!$B$5:$B$154,MATCH($B221,Personnes!$A$5:$A$154,0)),IFERROR(INDEX(Personnes!$B$5:$B$154,MATCH($B221&amp;"*",Personnes!$C$5:$C$154,0)),INDEX(Personnes!$B$5:$B$154,MATCH($B221&amp;"*",Personnes!$D$5:$D$154,0))))),""))</f>
        <v/>
      </c>
      <c r="D221" s="10" t="str">
        <f>IFERROR(INDEX(Personnes!$C$5:$C$154,MATCH($C221,Personnes!$B$5:$B$154,0))&amp;"","")</f>
        <v/>
      </c>
      <c r="E221" s="10" t="str">
        <f>IFERROR(INDEX(Personnes!$D$5:$D$154,MATCH($C221,Personnes!$B$5:$B$154,0))&amp;"","")</f>
        <v/>
      </c>
      <c r="F221" s="15"/>
      <c r="G221" s="9"/>
      <c r="H221" s="10" t="str">
        <f>IF($B221="","",IF($C221="","apnéiste non reconnu",IF($A221="","séance non renseignée",IF(COUNTIFS($A$5:$A$504,$A221,$C$5:$C$504,$C221)&gt;1,"doublon séance / apnéiste",IF(OR($C221=IFERROR(INDEX('Calendrier'!$K$5:$K$5,MATCH($A221,'Calendrier'!$A$5:$A$5,0)),""),$C221=IFERROR(INDEX('Calendrier'!$O$5:$O$5,MATCH($A221,'Calendrier'!$A$5:$A$5,0)),"")),"encadrant et élève sur la même séance",IF(IFERROR(INDEX(Personnes!$H$5:$H$154,MATCH($C221,Personnes!$B$5:$B$154,0)),"")&lt;&gt;"oui","invité (hors ligne)","ok"))))))</f>
        <v/>
      </c>
    </row>
    <row r="222" spans="1:8" x14ac:dyDescent="0.2">
      <c r="A222" s="15"/>
      <c r="B222" s="15"/>
      <c r="C222" s="10" t="str">
        <f>IF($B222="","",IFERROR(IF(ISNUMBER(FIND("[",$B222)),MID($B222,FIND("[",$B222)+1,FIND("]",$B222)-FIND("[",$B222)-1),IF(ISNUMBER($B222),INDEX(Personnes!$B$5:$B$154,MATCH($B222,Personnes!$A$5:$A$154,0)),IFERROR(INDEX(Personnes!$B$5:$B$154,MATCH($B222&amp;"*",Personnes!$C$5:$C$154,0)),INDEX(Personnes!$B$5:$B$154,MATCH($B222&amp;"*",Personnes!$D$5:$D$154,0))))),""))</f>
        <v/>
      </c>
      <c r="D222" s="10" t="str">
        <f>IFERROR(INDEX(Personnes!$C$5:$C$154,MATCH($C222,Personnes!$B$5:$B$154,0))&amp;"","")</f>
        <v/>
      </c>
      <c r="E222" s="10" t="str">
        <f>IFERROR(INDEX(Personnes!$D$5:$D$154,MATCH($C222,Personnes!$B$5:$B$154,0))&amp;"","")</f>
        <v/>
      </c>
      <c r="F222" s="15"/>
      <c r="G222" s="9"/>
      <c r="H222" s="10" t="str">
        <f>IF($B222="","",IF($C222="","apnéiste non reconnu",IF($A222="","séance non renseignée",IF(COUNTIFS($A$5:$A$504,$A222,$C$5:$C$504,$C222)&gt;1,"doublon séance / apnéiste",IF(OR($C222=IFERROR(INDEX('Calendrier'!$K$5:$K$5,MATCH($A222,'Calendrier'!$A$5:$A$5,0)),""),$C222=IFERROR(INDEX('Calendrier'!$O$5:$O$5,MATCH($A222,'Calendrier'!$A$5:$A$5,0)),"")),"encadrant et élève sur la même séance",IF(IFERROR(INDEX(Personnes!$H$5:$H$154,MATCH($C222,Personnes!$B$5:$B$154,0)),"")&lt;&gt;"oui","invité (hors ligne)","ok"))))))</f>
        <v/>
      </c>
    </row>
    <row r="223" spans="1:8" x14ac:dyDescent="0.2">
      <c r="A223" s="15"/>
      <c r="B223" s="15"/>
      <c r="C223" s="10" t="str">
        <f>IF($B223="","",IFERROR(IF(ISNUMBER(FIND("[",$B223)),MID($B223,FIND("[",$B223)+1,FIND("]",$B223)-FIND("[",$B223)-1),IF(ISNUMBER($B223),INDEX(Personnes!$B$5:$B$154,MATCH($B223,Personnes!$A$5:$A$154,0)),IFERROR(INDEX(Personnes!$B$5:$B$154,MATCH($B223&amp;"*",Personnes!$C$5:$C$154,0)),INDEX(Personnes!$B$5:$B$154,MATCH($B223&amp;"*",Personnes!$D$5:$D$154,0))))),""))</f>
        <v/>
      </c>
      <c r="D223" s="10" t="str">
        <f>IFERROR(INDEX(Personnes!$C$5:$C$154,MATCH($C223,Personnes!$B$5:$B$154,0))&amp;"","")</f>
        <v/>
      </c>
      <c r="E223" s="10" t="str">
        <f>IFERROR(INDEX(Personnes!$D$5:$D$154,MATCH($C223,Personnes!$B$5:$B$154,0))&amp;"","")</f>
        <v/>
      </c>
      <c r="F223" s="15"/>
      <c r="G223" s="9"/>
      <c r="H223" s="10" t="str">
        <f>IF($B223="","",IF($C223="","apnéiste non reconnu",IF($A223="","séance non renseignée",IF(COUNTIFS($A$5:$A$504,$A223,$C$5:$C$504,$C223)&gt;1,"doublon séance / apnéiste",IF(OR($C223=IFERROR(INDEX('Calendrier'!$K$5:$K$5,MATCH($A223,'Calendrier'!$A$5:$A$5,0)),""),$C223=IFERROR(INDEX('Calendrier'!$O$5:$O$5,MATCH($A223,'Calendrier'!$A$5:$A$5,0)),"")),"encadrant et élève sur la même séance",IF(IFERROR(INDEX(Personnes!$H$5:$H$154,MATCH($C223,Personnes!$B$5:$B$154,0)),"")&lt;&gt;"oui","invité (hors ligne)","ok"))))))</f>
        <v/>
      </c>
    </row>
    <row r="224" spans="1:8" x14ac:dyDescent="0.2">
      <c r="A224" s="15"/>
      <c r="B224" s="15"/>
      <c r="C224" s="10" t="str">
        <f>IF($B224="","",IFERROR(IF(ISNUMBER(FIND("[",$B224)),MID($B224,FIND("[",$B224)+1,FIND("]",$B224)-FIND("[",$B224)-1),IF(ISNUMBER($B224),INDEX(Personnes!$B$5:$B$154,MATCH($B224,Personnes!$A$5:$A$154,0)),IFERROR(INDEX(Personnes!$B$5:$B$154,MATCH($B224&amp;"*",Personnes!$C$5:$C$154,0)),INDEX(Personnes!$B$5:$B$154,MATCH($B224&amp;"*",Personnes!$D$5:$D$154,0))))),""))</f>
        <v/>
      </c>
      <c r="D224" s="10" t="str">
        <f>IFERROR(INDEX(Personnes!$C$5:$C$154,MATCH($C224,Personnes!$B$5:$B$154,0))&amp;"","")</f>
        <v/>
      </c>
      <c r="E224" s="10" t="str">
        <f>IFERROR(INDEX(Personnes!$D$5:$D$154,MATCH($C224,Personnes!$B$5:$B$154,0))&amp;"","")</f>
        <v/>
      </c>
      <c r="F224" s="15"/>
      <c r="G224" s="9"/>
      <c r="H224" s="10" t="str">
        <f>IF($B224="","",IF($C224="","apnéiste non reconnu",IF($A224="","séance non renseignée",IF(COUNTIFS($A$5:$A$504,$A224,$C$5:$C$504,$C224)&gt;1,"doublon séance / apnéiste",IF(OR($C224=IFERROR(INDEX('Calendrier'!$K$5:$K$5,MATCH($A224,'Calendrier'!$A$5:$A$5,0)),""),$C224=IFERROR(INDEX('Calendrier'!$O$5:$O$5,MATCH($A224,'Calendrier'!$A$5:$A$5,0)),"")),"encadrant et élève sur la même séance",IF(IFERROR(INDEX(Personnes!$H$5:$H$154,MATCH($C224,Personnes!$B$5:$B$154,0)),"")&lt;&gt;"oui","invité (hors ligne)","ok"))))))</f>
        <v/>
      </c>
    </row>
    <row r="225" spans="1:8" x14ac:dyDescent="0.2">
      <c r="A225" s="15"/>
      <c r="B225" s="15"/>
      <c r="C225" s="10" t="str">
        <f>IF($B225="","",IFERROR(IF(ISNUMBER(FIND("[",$B225)),MID($B225,FIND("[",$B225)+1,FIND("]",$B225)-FIND("[",$B225)-1),IF(ISNUMBER($B225),INDEX(Personnes!$B$5:$B$154,MATCH($B225,Personnes!$A$5:$A$154,0)),IFERROR(INDEX(Personnes!$B$5:$B$154,MATCH($B225&amp;"*",Personnes!$C$5:$C$154,0)),INDEX(Personnes!$B$5:$B$154,MATCH($B225&amp;"*",Personnes!$D$5:$D$154,0))))),""))</f>
        <v/>
      </c>
      <c r="D225" s="10" t="str">
        <f>IFERROR(INDEX(Personnes!$C$5:$C$154,MATCH($C225,Personnes!$B$5:$B$154,0))&amp;"","")</f>
        <v/>
      </c>
      <c r="E225" s="10" t="str">
        <f>IFERROR(INDEX(Personnes!$D$5:$D$154,MATCH($C225,Personnes!$B$5:$B$154,0))&amp;"","")</f>
        <v/>
      </c>
      <c r="F225" s="15"/>
      <c r="G225" s="9"/>
      <c r="H225" s="10" t="str">
        <f>IF($B225="","",IF($C225="","apnéiste non reconnu",IF($A225="","séance non renseignée",IF(COUNTIFS($A$5:$A$504,$A225,$C$5:$C$504,$C225)&gt;1,"doublon séance / apnéiste",IF(OR($C225=IFERROR(INDEX('Calendrier'!$K$5:$K$5,MATCH($A225,'Calendrier'!$A$5:$A$5,0)),""),$C225=IFERROR(INDEX('Calendrier'!$O$5:$O$5,MATCH($A225,'Calendrier'!$A$5:$A$5,0)),"")),"encadrant et élève sur la même séance",IF(IFERROR(INDEX(Personnes!$H$5:$H$154,MATCH($C225,Personnes!$B$5:$B$154,0)),"")&lt;&gt;"oui","invité (hors ligne)","ok"))))))</f>
        <v/>
      </c>
    </row>
    <row r="226" spans="1:8" x14ac:dyDescent="0.2">
      <c r="A226" s="15"/>
      <c r="B226" s="15"/>
      <c r="C226" s="10" t="str">
        <f>IF($B226="","",IFERROR(IF(ISNUMBER(FIND("[",$B226)),MID($B226,FIND("[",$B226)+1,FIND("]",$B226)-FIND("[",$B226)-1),IF(ISNUMBER($B226),INDEX(Personnes!$B$5:$B$154,MATCH($B226,Personnes!$A$5:$A$154,0)),IFERROR(INDEX(Personnes!$B$5:$B$154,MATCH($B226&amp;"*",Personnes!$C$5:$C$154,0)),INDEX(Personnes!$B$5:$B$154,MATCH($B226&amp;"*",Personnes!$D$5:$D$154,0))))),""))</f>
        <v/>
      </c>
      <c r="D226" s="10" t="str">
        <f>IFERROR(INDEX(Personnes!$C$5:$C$154,MATCH($C226,Personnes!$B$5:$B$154,0))&amp;"","")</f>
        <v/>
      </c>
      <c r="E226" s="10" t="str">
        <f>IFERROR(INDEX(Personnes!$D$5:$D$154,MATCH($C226,Personnes!$B$5:$B$154,0))&amp;"","")</f>
        <v/>
      </c>
      <c r="F226" s="15"/>
      <c r="G226" s="9"/>
      <c r="H226" s="10" t="str">
        <f>IF($B226="","",IF($C226="","apnéiste non reconnu",IF($A226="","séance non renseignée",IF(COUNTIFS($A$5:$A$504,$A226,$C$5:$C$504,$C226)&gt;1,"doublon séance / apnéiste",IF(OR($C226=IFERROR(INDEX('Calendrier'!$K$5:$K$5,MATCH($A226,'Calendrier'!$A$5:$A$5,0)),""),$C226=IFERROR(INDEX('Calendrier'!$O$5:$O$5,MATCH($A226,'Calendrier'!$A$5:$A$5,0)),"")),"encadrant et élève sur la même séance",IF(IFERROR(INDEX(Personnes!$H$5:$H$154,MATCH($C226,Personnes!$B$5:$B$154,0)),"")&lt;&gt;"oui","invité (hors ligne)","ok"))))))</f>
        <v/>
      </c>
    </row>
    <row r="227" spans="1:8" x14ac:dyDescent="0.2">
      <c r="A227" s="15"/>
      <c r="B227" s="15"/>
      <c r="C227" s="10" t="str">
        <f>IF($B227="","",IFERROR(IF(ISNUMBER(FIND("[",$B227)),MID($B227,FIND("[",$B227)+1,FIND("]",$B227)-FIND("[",$B227)-1),IF(ISNUMBER($B227),INDEX(Personnes!$B$5:$B$154,MATCH($B227,Personnes!$A$5:$A$154,0)),IFERROR(INDEX(Personnes!$B$5:$B$154,MATCH($B227&amp;"*",Personnes!$C$5:$C$154,0)),INDEX(Personnes!$B$5:$B$154,MATCH($B227&amp;"*",Personnes!$D$5:$D$154,0))))),""))</f>
        <v/>
      </c>
      <c r="D227" s="10" t="str">
        <f>IFERROR(INDEX(Personnes!$C$5:$C$154,MATCH($C227,Personnes!$B$5:$B$154,0))&amp;"","")</f>
        <v/>
      </c>
      <c r="E227" s="10" t="str">
        <f>IFERROR(INDEX(Personnes!$D$5:$D$154,MATCH($C227,Personnes!$B$5:$B$154,0))&amp;"","")</f>
        <v/>
      </c>
      <c r="F227" s="15"/>
      <c r="G227" s="9"/>
      <c r="H227" s="10" t="str">
        <f>IF($B227="","",IF($C227="","apnéiste non reconnu",IF($A227="","séance non renseignée",IF(COUNTIFS($A$5:$A$504,$A227,$C$5:$C$504,$C227)&gt;1,"doublon séance / apnéiste",IF(OR($C227=IFERROR(INDEX('Calendrier'!$K$5:$K$5,MATCH($A227,'Calendrier'!$A$5:$A$5,0)),""),$C227=IFERROR(INDEX('Calendrier'!$O$5:$O$5,MATCH($A227,'Calendrier'!$A$5:$A$5,0)),"")),"encadrant et élève sur la même séance",IF(IFERROR(INDEX(Personnes!$H$5:$H$154,MATCH($C227,Personnes!$B$5:$B$154,0)),"")&lt;&gt;"oui","invité (hors ligne)","ok"))))))</f>
        <v/>
      </c>
    </row>
    <row r="228" spans="1:8" x14ac:dyDescent="0.2">
      <c r="A228" s="15"/>
      <c r="B228" s="15"/>
      <c r="C228" s="10" t="str">
        <f>IF($B228="","",IFERROR(IF(ISNUMBER(FIND("[",$B228)),MID($B228,FIND("[",$B228)+1,FIND("]",$B228)-FIND("[",$B228)-1),IF(ISNUMBER($B228),INDEX(Personnes!$B$5:$B$154,MATCH($B228,Personnes!$A$5:$A$154,0)),IFERROR(INDEX(Personnes!$B$5:$B$154,MATCH($B228&amp;"*",Personnes!$C$5:$C$154,0)),INDEX(Personnes!$B$5:$B$154,MATCH($B228&amp;"*",Personnes!$D$5:$D$154,0))))),""))</f>
        <v/>
      </c>
      <c r="D228" s="10" t="str">
        <f>IFERROR(INDEX(Personnes!$C$5:$C$154,MATCH($C228,Personnes!$B$5:$B$154,0))&amp;"","")</f>
        <v/>
      </c>
      <c r="E228" s="10" t="str">
        <f>IFERROR(INDEX(Personnes!$D$5:$D$154,MATCH($C228,Personnes!$B$5:$B$154,0))&amp;"","")</f>
        <v/>
      </c>
      <c r="F228" s="15"/>
      <c r="G228" s="9"/>
      <c r="H228" s="10" t="str">
        <f>IF($B228="","",IF($C228="","apnéiste non reconnu",IF($A228="","séance non renseignée",IF(COUNTIFS($A$5:$A$504,$A228,$C$5:$C$504,$C228)&gt;1,"doublon séance / apnéiste",IF(OR($C228=IFERROR(INDEX('Calendrier'!$K$5:$K$5,MATCH($A228,'Calendrier'!$A$5:$A$5,0)),""),$C228=IFERROR(INDEX('Calendrier'!$O$5:$O$5,MATCH($A228,'Calendrier'!$A$5:$A$5,0)),"")),"encadrant et élève sur la même séance",IF(IFERROR(INDEX(Personnes!$H$5:$H$154,MATCH($C228,Personnes!$B$5:$B$154,0)),"")&lt;&gt;"oui","invité (hors ligne)","ok"))))))</f>
        <v/>
      </c>
    </row>
    <row r="229" spans="1:8" x14ac:dyDescent="0.2">
      <c r="A229" s="15"/>
      <c r="B229" s="15"/>
      <c r="C229" s="10" t="str">
        <f>IF($B229="","",IFERROR(IF(ISNUMBER(FIND("[",$B229)),MID($B229,FIND("[",$B229)+1,FIND("]",$B229)-FIND("[",$B229)-1),IF(ISNUMBER($B229),INDEX(Personnes!$B$5:$B$154,MATCH($B229,Personnes!$A$5:$A$154,0)),IFERROR(INDEX(Personnes!$B$5:$B$154,MATCH($B229&amp;"*",Personnes!$C$5:$C$154,0)),INDEX(Personnes!$B$5:$B$154,MATCH($B229&amp;"*",Personnes!$D$5:$D$154,0))))),""))</f>
        <v/>
      </c>
      <c r="D229" s="10" t="str">
        <f>IFERROR(INDEX(Personnes!$C$5:$C$154,MATCH($C229,Personnes!$B$5:$B$154,0))&amp;"","")</f>
        <v/>
      </c>
      <c r="E229" s="10" t="str">
        <f>IFERROR(INDEX(Personnes!$D$5:$D$154,MATCH($C229,Personnes!$B$5:$B$154,0))&amp;"","")</f>
        <v/>
      </c>
      <c r="F229" s="15"/>
      <c r="G229" s="9"/>
      <c r="H229" s="10" t="str">
        <f>IF($B229="","",IF($C229="","apnéiste non reconnu",IF($A229="","séance non renseignée",IF(COUNTIFS($A$5:$A$504,$A229,$C$5:$C$504,$C229)&gt;1,"doublon séance / apnéiste",IF(OR($C229=IFERROR(INDEX('Calendrier'!$K$5:$K$5,MATCH($A229,'Calendrier'!$A$5:$A$5,0)),""),$C229=IFERROR(INDEX('Calendrier'!$O$5:$O$5,MATCH($A229,'Calendrier'!$A$5:$A$5,0)),"")),"encadrant et élève sur la même séance",IF(IFERROR(INDEX(Personnes!$H$5:$H$154,MATCH($C229,Personnes!$B$5:$B$154,0)),"")&lt;&gt;"oui","invité (hors ligne)","ok"))))))</f>
        <v/>
      </c>
    </row>
    <row r="230" spans="1:8" x14ac:dyDescent="0.2">
      <c r="A230" s="15"/>
      <c r="B230" s="15"/>
      <c r="C230" s="10" t="str">
        <f>IF($B230="","",IFERROR(IF(ISNUMBER(FIND("[",$B230)),MID($B230,FIND("[",$B230)+1,FIND("]",$B230)-FIND("[",$B230)-1),IF(ISNUMBER($B230),INDEX(Personnes!$B$5:$B$154,MATCH($B230,Personnes!$A$5:$A$154,0)),IFERROR(INDEX(Personnes!$B$5:$B$154,MATCH($B230&amp;"*",Personnes!$C$5:$C$154,0)),INDEX(Personnes!$B$5:$B$154,MATCH($B230&amp;"*",Personnes!$D$5:$D$154,0))))),""))</f>
        <v/>
      </c>
      <c r="D230" s="10" t="str">
        <f>IFERROR(INDEX(Personnes!$C$5:$C$154,MATCH($C230,Personnes!$B$5:$B$154,0))&amp;"","")</f>
        <v/>
      </c>
      <c r="E230" s="10" t="str">
        <f>IFERROR(INDEX(Personnes!$D$5:$D$154,MATCH($C230,Personnes!$B$5:$B$154,0))&amp;"","")</f>
        <v/>
      </c>
      <c r="F230" s="15"/>
      <c r="G230" s="9"/>
      <c r="H230" s="10" t="str">
        <f>IF($B230="","",IF($C230="","apnéiste non reconnu",IF($A230="","séance non renseignée",IF(COUNTIFS($A$5:$A$504,$A230,$C$5:$C$504,$C230)&gt;1,"doublon séance / apnéiste",IF(OR($C230=IFERROR(INDEX('Calendrier'!$K$5:$K$5,MATCH($A230,'Calendrier'!$A$5:$A$5,0)),""),$C230=IFERROR(INDEX('Calendrier'!$O$5:$O$5,MATCH($A230,'Calendrier'!$A$5:$A$5,0)),"")),"encadrant et élève sur la même séance",IF(IFERROR(INDEX(Personnes!$H$5:$H$154,MATCH($C230,Personnes!$B$5:$B$154,0)),"")&lt;&gt;"oui","invité (hors ligne)","ok"))))))</f>
        <v/>
      </c>
    </row>
    <row r="231" spans="1:8" x14ac:dyDescent="0.2">
      <c r="A231" s="15"/>
      <c r="B231" s="15"/>
      <c r="C231" s="10" t="str">
        <f>IF($B231="","",IFERROR(IF(ISNUMBER(FIND("[",$B231)),MID($B231,FIND("[",$B231)+1,FIND("]",$B231)-FIND("[",$B231)-1),IF(ISNUMBER($B231),INDEX(Personnes!$B$5:$B$154,MATCH($B231,Personnes!$A$5:$A$154,0)),IFERROR(INDEX(Personnes!$B$5:$B$154,MATCH($B231&amp;"*",Personnes!$C$5:$C$154,0)),INDEX(Personnes!$B$5:$B$154,MATCH($B231&amp;"*",Personnes!$D$5:$D$154,0))))),""))</f>
        <v/>
      </c>
      <c r="D231" s="10" t="str">
        <f>IFERROR(INDEX(Personnes!$C$5:$C$154,MATCH($C231,Personnes!$B$5:$B$154,0))&amp;"","")</f>
        <v/>
      </c>
      <c r="E231" s="10" t="str">
        <f>IFERROR(INDEX(Personnes!$D$5:$D$154,MATCH($C231,Personnes!$B$5:$B$154,0))&amp;"","")</f>
        <v/>
      </c>
      <c r="F231" s="15"/>
      <c r="G231" s="9"/>
      <c r="H231" s="10" t="str">
        <f>IF($B231="","",IF($C231="","apnéiste non reconnu",IF($A231="","séance non renseignée",IF(COUNTIFS($A$5:$A$504,$A231,$C$5:$C$504,$C231)&gt;1,"doublon séance / apnéiste",IF(OR($C231=IFERROR(INDEX('Calendrier'!$K$5:$K$5,MATCH($A231,'Calendrier'!$A$5:$A$5,0)),""),$C231=IFERROR(INDEX('Calendrier'!$O$5:$O$5,MATCH($A231,'Calendrier'!$A$5:$A$5,0)),"")),"encadrant et élève sur la même séance",IF(IFERROR(INDEX(Personnes!$H$5:$H$154,MATCH($C231,Personnes!$B$5:$B$154,0)),"")&lt;&gt;"oui","invité (hors ligne)","ok"))))))</f>
        <v/>
      </c>
    </row>
    <row r="232" spans="1:8" x14ac:dyDescent="0.2">
      <c r="A232" s="15"/>
      <c r="B232" s="15"/>
      <c r="C232" s="10" t="str">
        <f>IF($B232="","",IFERROR(IF(ISNUMBER(FIND("[",$B232)),MID($B232,FIND("[",$B232)+1,FIND("]",$B232)-FIND("[",$B232)-1),IF(ISNUMBER($B232),INDEX(Personnes!$B$5:$B$154,MATCH($B232,Personnes!$A$5:$A$154,0)),IFERROR(INDEX(Personnes!$B$5:$B$154,MATCH($B232&amp;"*",Personnes!$C$5:$C$154,0)),INDEX(Personnes!$B$5:$B$154,MATCH($B232&amp;"*",Personnes!$D$5:$D$154,0))))),""))</f>
        <v/>
      </c>
      <c r="D232" s="10" t="str">
        <f>IFERROR(INDEX(Personnes!$C$5:$C$154,MATCH($C232,Personnes!$B$5:$B$154,0))&amp;"","")</f>
        <v/>
      </c>
      <c r="E232" s="10" t="str">
        <f>IFERROR(INDEX(Personnes!$D$5:$D$154,MATCH($C232,Personnes!$B$5:$B$154,0))&amp;"","")</f>
        <v/>
      </c>
      <c r="F232" s="15"/>
      <c r="G232" s="9"/>
      <c r="H232" s="10" t="str">
        <f>IF($B232="","",IF($C232="","apnéiste non reconnu",IF($A232="","séance non renseignée",IF(COUNTIFS($A$5:$A$504,$A232,$C$5:$C$504,$C232)&gt;1,"doublon séance / apnéiste",IF(OR($C232=IFERROR(INDEX('Calendrier'!$K$5:$K$5,MATCH($A232,'Calendrier'!$A$5:$A$5,0)),""),$C232=IFERROR(INDEX('Calendrier'!$O$5:$O$5,MATCH($A232,'Calendrier'!$A$5:$A$5,0)),"")),"encadrant et élève sur la même séance",IF(IFERROR(INDEX(Personnes!$H$5:$H$154,MATCH($C232,Personnes!$B$5:$B$154,0)),"")&lt;&gt;"oui","invité (hors ligne)","ok"))))))</f>
        <v/>
      </c>
    </row>
    <row r="233" spans="1:8" x14ac:dyDescent="0.2">
      <c r="A233" s="15"/>
      <c r="B233" s="15"/>
      <c r="C233" s="10" t="str">
        <f>IF($B233="","",IFERROR(IF(ISNUMBER(FIND("[",$B233)),MID($B233,FIND("[",$B233)+1,FIND("]",$B233)-FIND("[",$B233)-1),IF(ISNUMBER($B233),INDEX(Personnes!$B$5:$B$154,MATCH($B233,Personnes!$A$5:$A$154,0)),IFERROR(INDEX(Personnes!$B$5:$B$154,MATCH($B233&amp;"*",Personnes!$C$5:$C$154,0)),INDEX(Personnes!$B$5:$B$154,MATCH($B233&amp;"*",Personnes!$D$5:$D$154,0))))),""))</f>
        <v/>
      </c>
      <c r="D233" s="10" t="str">
        <f>IFERROR(INDEX(Personnes!$C$5:$C$154,MATCH($C233,Personnes!$B$5:$B$154,0))&amp;"","")</f>
        <v/>
      </c>
      <c r="E233" s="10" t="str">
        <f>IFERROR(INDEX(Personnes!$D$5:$D$154,MATCH($C233,Personnes!$B$5:$B$154,0))&amp;"","")</f>
        <v/>
      </c>
      <c r="F233" s="15"/>
      <c r="G233" s="9"/>
      <c r="H233" s="10" t="str">
        <f>IF($B233="","",IF($C233="","apnéiste non reconnu",IF($A233="","séance non renseignée",IF(COUNTIFS($A$5:$A$504,$A233,$C$5:$C$504,$C233)&gt;1,"doublon séance / apnéiste",IF(OR($C233=IFERROR(INDEX('Calendrier'!$K$5:$K$5,MATCH($A233,'Calendrier'!$A$5:$A$5,0)),""),$C233=IFERROR(INDEX('Calendrier'!$O$5:$O$5,MATCH($A233,'Calendrier'!$A$5:$A$5,0)),"")),"encadrant et élève sur la même séance",IF(IFERROR(INDEX(Personnes!$H$5:$H$154,MATCH($C233,Personnes!$B$5:$B$154,0)),"")&lt;&gt;"oui","invité (hors ligne)","ok"))))))</f>
        <v/>
      </c>
    </row>
    <row r="234" spans="1:8" x14ac:dyDescent="0.2">
      <c r="A234" s="15"/>
      <c r="B234" s="15"/>
      <c r="C234" s="10" t="str">
        <f>IF($B234="","",IFERROR(IF(ISNUMBER(FIND("[",$B234)),MID($B234,FIND("[",$B234)+1,FIND("]",$B234)-FIND("[",$B234)-1),IF(ISNUMBER($B234),INDEX(Personnes!$B$5:$B$154,MATCH($B234,Personnes!$A$5:$A$154,0)),IFERROR(INDEX(Personnes!$B$5:$B$154,MATCH($B234&amp;"*",Personnes!$C$5:$C$154,0)),INDEX(Personnes!$B$5:$B$154,MATCH($B234&amp;"*",Personnes!$D$5:$D$154,0))))),""))</f>
        <v/>
      </c>
      <c r="D234" s="10" t="str">
        <f>IFERROR(INDEX(Personnes!$C$5:$C$154,MATCH($C234,Personnes!$B$5:$B$154,0))&amp;"","")</f>
        <v/>
      </c>
      <c r="E234" s="10" t="str">
        <f>IFERROR(INDEX(Personnes!$D$5:$D$154,MATCH($C234,Personnes!$B$5:$B$154,0))&amp;"","")</f>
        <v/>
      </c>
      <c r="F234" s="15"/>
      <c r="G234" s="9"/>
      <c r="H234" s="10" t="str">
        <f>IF($B234="","",IF($C234="","apnéiste non reconnu",IF($A234="","séance non renseignée",IF(COUNTIFS($A$5:$A$504,$A234,$C$5:$C$504,$C234)&gt;1,"doublon séance / apnéiste",IF(OR($C234=IFERROR(INDEX('Calendrier'!$K$5:$K$5,MATCH($A234,'Calendrier'!$A$5:$A$5,0)),""),$C234=IFERROR(INDEX('Calendrier'!$O$5:$O$5,MATCH($A234,'Calendrier'!$A$5:$A$5,0)),"")),"encadrant et élève sur la même séance",IF(IFERROR(INDEX(Personnes!$H$5:$H$154,MATCH($C234,Personnes!$B$5:$B$154,0)),"")&lt;&gt;"oui","invité (hors ligne)","ok"))))))</f>
        <v/>
      </c>
    </row>
    <row r="235" spans="1:8" x14ac:dyDescent="0.2">
      <c r="A235" s="15"/>
      <c r="B235" s="15"/>
      <c r="C235" s="10" t="str">
        <f>IF($B235="","",IFERROR(IF(ISNUMBER(FIND("[",$B235)),MID($B235,FIND("[",$B235)+1,FIND("]",$B235)-FIND("[",$B235)-1),IF(ISNUMBER($B235),INDEX(Personnes!$B$5:$B$154,MATCH($B235,Personnes!$A$5:$A$154,0)),IFERROR(INDEX(Personnes!$B$5:$B$154,MATCH($B235&amp;"*",Personnes!$C$5:$C$154,0)),INDEX(Personnes!$B$5:$B$154,MATCH($B235&amp;"*",Personnes!$D$5:$D$154,0))))),""))</f>
        <v/>
      </c>
      <c r="D235" s="10" t="str">
        <f>IFERROR(INDEX(Personnes!$C$5:$C$154,MATCH($C235,Personnes!$B$5:$B$154,0))&amp;"","")</f>
        <v/>
      </c>
      <c r="E235" s="10" t="str">
        <f>IFERROR(INDEX(Personnes!$D$5:$D$154,MATCH($C235,Personnes!$B$5:$B$154,0))&amp;"","")</f>
        <v/>
      </c>
      <c r="F235" s="15"/>
      <c r="G235" s="9"/>
      <c r="H235" s="10" t="str">
        <f>IF($B235="","",IF($C235="","apnéiste non reconnu",IF($A235="","séance non renseignée",IF(COUNTIFS($A$5:$A$504,$A235,$C$5:$C$504,$C235)&gt;1,"doublon séance / apnéiste",IF(OR($C235=IFERROR(INDEX('Calendrier'!$K$5:$K$5,MATCH($A235,'Calendrier'!$A$5:$A$5,0)),""),$C235=IFERROR(INDEX('Calendrier'!$O$5:$O$5,MATCH($A235,'Calendrier'!$A$5:$A$5,0)),"")),"encadrant et élève sur la même séance",IF(IFERROR(INDEX(Personnes!$H$5:$H$154,MATCH($C235,Personnes!$B$5:$B$154,0)),"")&lt;&gt;"oui","invité (hors ligne)","ok"))))))</f>
        <v/>
      </c>
    </row>
    <row r="236" spans="1:8" x14ac:dyDescent="0.2">
      <c r="A236" s="15"/>
      <c r="B236" s="15"/>
      <c r="C236" s="10" t="str">
        <f>IF($B236="","",IFERROR(IF(ISNUMBER(FIND("[",$B236)),MID($B236,FIND("[",$B236)+1,FIND("]",$B236)-FIND("[",$B236)-1),IF(ISNUMBER($B236),INDEX(Personnes!$B$5:$B$154,MATCH($B236,Personnes!$A$5:$A$154,0)),IFERROR(INDEX(Personnes!$B$5:$B$154,MATCH($B236&amp;"*",Personnes!$C$5:$C$154,0)),INDEX(Personnes!$B$5:$B$154,MATCH($B236&amp;"*",Personnes!$D$5:$D$154,0))))),""))</f>
        <v/>
      </c>
      <c r="D236" s="10" t="str">
        <f>IFERROR(INDEX(Personnes!$C$5:$C$154,MATCH($C236,Personnes!$B$5:$B$154,0))&amp;"","")</f>
        <v/>
      </c>
      <c r="E236" s="10" t="str">
        <f>IFERROR(INDEX(Personnes!$D$5:$D$154,MATCH($C236,Personnes!$B$5:$B$154,0))&amp;"","")</f>
        <v/>
      </c>
      <c r="F236" s="15"/>
      <c r="G236" s="9"/>
      <c r="H236" s="10" t="str">
        <f>IF($B236="","",IF($C236="","apnéiste non reconnu",IF($A236="","séance non renseignée",IF(COUNTIFS($A$5:$A$504,$A236,$C$5:$C$504,$C236)&gt;1,"doublon séance / apnéiste",IF(OR($C236=IFERROR(INDEX('Calendrier'!$K$5:$K$5,MATCH($A236,'Calendrier'!$A$5:$A$5,0)),""),$C236=IFERROR(INDEX('Calendrier'!$O$5:$O$5,MATCH($A236,'Calendrier'!$A$5:$A$5,0)),"")),"encadrant et élève sur la même séance",IF(IFERROR(INDEX(Personnes!$H$5:$H$154,MATCH($C236,Personnes!$B$5:$B$154,0)),"")&lt;&gt;"oui","invité (hors ligne)","ok"))))))</f>
        <v/>
      </c>
    </row>
    <row r="237" spans="1:8" x14ac:dyDescent="0.2">
      <c r="A237" s="15"/>
      <c r="B237" s="15"/>
      <c r="C237" s="10" t="str">
        <f>IF($B237="","",IFERROR(IF(ISNUMBER(FIND("[",$B237)),MID($B237,FIND("[",$B237)+1,FIND("]",$B237)-FIND("[",$B237)-1),IF(ISNUMBER($B237),INDEX(Personnes!$B$5:$B$154,MATCH($B237,Personnes!$A$5:$A$154,0)),IFERROR(INDEX(Personnes!$B$5:$B$154,MATCH($B237&amp;"*",Personnes!$C$5:$C$154,0)),INDEX(Personnes!$B$5:$B$154,MATCH($B237&amp;"*",Personnes!$D$5:$D$154,0))))),""))</f>
        <v/>
      </c>
      <c r="D237" s="10" t="str">
        <f>IFERROR(INDEX(Personnes!$C$5:$C$154,MATCH($C237,Personnes!$B$5:$B$154,0))&amp;"","")</f>
        <v/>
      </c>
      <c r="E237" s="10" t="str">
        <f>IFERROR(INDEX(Personnes!$D$5:$D$154,MATCH($C237,Personnes!$B$5:$B$154,0))&amp;"","")</f>
        <v/>
      </c>
      <c r="F237" s="15"/>
      <c r="G237" s="9"/>
      <c r="H237" s="10" t="str">
        <f>IF($B237="","",IF($C237="","apnéiste non reconnu",IF($A237="","séance non renseignée",IF(COUNTIFS($A$5:$A$504,$A237,$C$5:$C$504,$C237)&gt;1,"doublon séance / apnéiste",IF(OR($C237=IFERROR(INDEX('Calendrier'!$K$5:$K$5,MATCH($A237,'Calendrier'!$A$5:$A$5,0)),""),$C237=IFERROR(INDEX('Calendrier'!$O$5:$O$5,MATCH($A237,'Calendrier'!$A$5:$A$5,0)),"")),"encadrant et élève sur la même séance",IF(IFERROR(INDEX(Personnes!$H$5:$H$154,MATCH($C237,Personnes!$B$5:$B$154,0)),"")&lt;&gt;"oui","invité (hors ligne)","ok"))))))</f>
        <v/>
      </c>
    </row>
    <row r="238" spans="1:8" x14ac:dyDescent="0.2">
      <c r="A238" s="15"/>
      <c r="B238" s="15"/>
      <c r="C238" s="10" t="str">
        <f>IF($B238="","",IFERROR(IF(ISNUMBER(FIND("[",$B238)),MID($B238,FIND("[",$B238)+1,FIND("]",$B238)-FIND("[",$B238)-1),IF(ISNUMBER($B238),INDEX(Personnes!$B$5:$B$154,MATCH($B238,Personnes!$A$5:$A$154,0)),IFERROR(INDEX(Personnes!$B$5:$B$154,MATCH($B238&amp;"*",Personnes!$C$5:$C$154,0)),INDEX(Personnes!$B$5:$B$154,MATCH($B238&amp;"*",Personnes!$D$5:$D$154,0))))),""))</f>
        <v/>
      </c>
      <c r="D238" s="10" t="str">
        <f>IFERROR(INDEX(Personnes!$C$5:$C$154,MATCH($C238,Personnes!$B$5:$B$154,0))&amp;"","")</f>
        <v/>
      </c>
      <c r="E238" s="10" t="str">
        <f>IFERROR(INDEX(Personnes!$D$5:$D$154,MATCH($C238,Personnes!$B$5:$B$154,0))&amp;"","")</f>
        <v/>
      </c>
      <c r="F238" s="15"/>
      <c r="G238" s="9"/>
      <c r="H238" s="10" t="str">
        <f>IF($B238="","",IF($C238="","apnéiste non reconnu",IF($A238="","séance non renseignée",IF(COUNTIFS($A$5:$A$504,$A238,$C$5:$C$504,$C238)&gt;1,"doublon séance / apnéiste",IF(OR($C238=IFERROR(INDEX('Calendrier'!$K$5:$K$5,MATCH($A238,'Calendrier'!$A$5:$A$5,0)),""),$C238=IFERROR(INDEX('Calendrier'!$O$5:$O$5,MATCH($A238,'Calendrier'!$A$5:$A$5,0)),"")),"encadrant et élève sur la même séance",IF(IFERROR(INDEX(Personnes!$H$5:$H$154,MATCH($C238,Personnes!$B$5:$B$154,0)),"")&lt;&gt;"oui","invité (hors ligne)","ok"))))))</f>
        <v/>
      </c>
    </row>
    <row r="239" spans="1:8" x14ac:dyDescent="0.2">
      <c r="A239" s="15"/>
      <c r="B239" s="15"/>
      <c r="C239" s="10" t="str">
        <f>IF($B239="","",IFERROR(IF(ISNUMBER(FIND("[",$B239)),MID($B239,FIND("[",$B239)+1,FIND("]",$B239)-FIND("[",$B239)-1),IF(ISNUMBER($B239),INDEX(Personnes!$B$5:$B$154,MATCH($B239,Personnes!$A$5:$A$154,0)),IFERROR(INDEX(Personnes!$B$5:$B$154,MATCH($B239&amp;"*",Personnes!$C$5:$C$154,0)),INDEX(Personnes!$B$5:$B$154,MATCH($B239&amp;"*",Personnes!$D$5:$D$154,0))))),""))</f>
        <v/>
      </c>
      <c r="D239" s="10" t="str">
        <f>IFERROR(INDEX(Personnes!$C$5:$C$154,MATCH($C239,Personnes!$B$5:$B$154,0))&amp;"","")</f>
        <v/>
      </c>
      <c r="E239" s="10" t="str">
        <f>IFERROR(INDEX(Personnes!$D$5:$D$154,MATCH($C239,Personnes!$B$5:$B$154,0))&amp;"","")</f>
        <v/>
      </c>
      <c r="F239" s="15"/>
      <c r="G239" s="9"/>
      <c r="H239" s="10" t="str">
        <f>IF($B239="","",IF($C239="","apnéiste non reconnu",IF($A239="","séance non renseignée",IF(COUNTIFS($A$5:$A$504,$A239,$C$5:$C$504,$C239)&gt;1,"doublon séance / apnéiste",IF(OR($C239=IFERROR(INDEX('Calendrier'!$K$5:$K$5,MATCH($A239,'Calendrier'!$A$5:$A$5,0)),""),$C239=IFERROR(INDEX('Calendrier'!$O$5:$O$5,MATCH($A239,'Calendrier'!$A$5:$A$5,0)),"")),"encadrant et élève sur la même séance",IF(IFERROR(INDEX(Personnes!$H$5:$H$154,MATCH($C239,Personnes!$B$5:$B$154,0)),"")&lt;&gt;"oui","invité (hors ligne)","ok"))))))</f>
        <v/>
      </c>
    </row>
    <row r="240" spans="1:8" x14ac:dyDescent="0.2">
      <c r="A240" s="15"/>
      <c r="B240" s="15"/>
      <c r="C240" s="10" t="str">
        <f>IF($B240="","",IFERROR(IF(ISNUMBER(FIND("[",$B240)),MID($B240,FIND("[",$B240)+1,FIND("]",$B240)-FIND("[",$B240)-1),IF(ISNUMBER($B240),INDEX(Personnes!$B$5:$B$154,MATCH($B240,Personnes!$A$5:$A$154,0)),IFERROR(INDEX(Personnes!$B$5:$B$154,MATCH($B240&amp;"*",Personnes!$C$5:$C$154,0)),INDEX(Personnes!$B$5:$B$154,MATCH($B240&amp;"*",Personnes!$D$5:$D$154,0))))),""))</f>
        <v/>
      </c>
      <c r="D240" s="10" t="str">
        <f>IFERROR(INDEX(Personnes!$C$5:$C$154,MATCH($C240,Personnes!$B$5:$B$154,0))&amp;"","")</f>
        <v/>
      </c>
      <c r="E240" s="10" t="str">
        <f>IFERROR(INDEX(Personnes!$D$5:$D$154,MATCH($C240,Personnes!$B$5:$B$154,0))&amp;"","")</f>
        <v/>
      </c>
      <c r="F240" s="15"/>
      <c r="G240" s="9"/>
      <c r="H240" s="10" t="str">
        <f>IF($B240="","",IF($C240="","apnéiste non reconnu",IF($A240="","séance non renseignée",IF(COUNTIFS($A$5:$A$504,$A240,$C$5:$C$504,$C240)&gt;1,"doublon séance / apnéiste",IF(OR($C240=IFERROR(INDEX('Calendrier'!$K$5:$K$5,MATCH($A240,'Calendrier'!$A$5:$A$5,0)),""),$C240=IFERROR(INDEX('Calendrier'!$O$5:$O$5,MATCH($A240,'Calendrier'!$A$5:$A$5,0)),"")),"encadrant et élève sur la même séance",IF(IFERROR(INDEX(Personnes!$H$5:$H$154,MATCH($C240,Personnes!$B$5:$B$154,0)),"")&lt;&gt;"oui","invité (hors ligne)","ok"))))))</f>
        <v/>
      </c>
    </row>
    <row r="241" spans="1:8" x14ac:dyDescent="0.2">
      <c r="A241" s="15"/>
      <c r="B241" s="15"/>
      <c r="C241" s="10" t="str">
        <f>IF($B241="","",IFERROR(IF(ISNUMBER(FIND("[",$B241)),MID($B241,FIND("[",$B241)+1,FIND("]",$B241)-FIND("[",$B241)-1),IF(ISNUMBER($B241),INDEX(Personnes!$B$5:$B$154,MATCH($B241,Personnes!$A$5:$A$154,0)),IFERROR(INDEX(Personnes!$B$5:$B$154,MATCH($B241&amp;"*",Personnes!$C$5:$C$154,0)),INDEX(Personnes!$B$5:$B$154,MATCH($B241&amp;"*",Personnes!$D$5:$D$154,0))))),""))</f>
        <v/>
      </c>
      <c r="D241" s="10" t="str">
        <f>IFERROR(INDEX(Personnes!$C$5:$C$154,MATCH($C241,Personnes!$B$5:$B$154,0))&amp;"","")</f>
        <v/>
      </c>
      <c r="E241" s="10" t="str">
        <f>IFERROR(INDEX(Personnes!$D$5:$D$154,MATCH($C241,Personnes!$B$5:$B$154,0))&amp;"","")</f>
        <v/>
      </c>
      <c r="F241" s="15"/>
      <c r="G241" s="9"/>
      <c r="H241" s="10" t="str">
        <f>IF($B241="","",IF($C241="","apnéiste non reconnu",IF($A241="","séance non renseignée",IF(COUNTIFS($A$5:$A$504,$A241,$C$5:$C$504,$C241)&gt;1,"doublon séance / apnéiste",IF(OR($C241=IFERROR(INDEX('Calendrier'!$K$5:$K$5,MATCH($A241,'Calendrier'!$A$5:$A$5,0)),""),$C241=IFERROR(INDEX('Calendrier'!$O$5:$O$5,MATCH($A241,'Calendrier'!$A$5:$A$5,0)),"")),"encadrant et élève sur la même séance",IF(IFERROR(INDEX(Personnes!$H$5:$H$154,MATCH($C241,Personnes!$B$5:$B$154,0)),"")&lt;&gt;"oui","invité (hors ligne)","ok"))))))</f>
        <v/>
      </c>
    </row>
    <row r="242" spans="1:8" x14ac:dyDescent="0.2">
      <c r="A242" s="15"/>
      <c r="B242" s="15"/>
      <c r="C242" s="10" t="str">
        <f>IF($B242="","",IFERROR(IF(ISNUMBER(FIND("[",$B242)),MID($B242,FIND("[",$B242)+1,FIND("]",$B242)-FIND("[",$B242)-1),IF(ISNUMBER($B242),INDEX(Personnes!$B$5:$B$154,MATCH($B242,Personnes!$A$5:$A$154,0)),IFERROR(INDEX(Personnes!$B$5:$B$154,MATCH($B242&amp;"*",Personnes!$C$5:$C$154,0)),INDEX(Personnes!$B$5:$B$154,MATCH($B242&amp;"*",Personnes!$D$5:$D$154,0))))),""))</f>
        <v/>
      </c>
      <c r="D242" s="10" t="str">
        <f>IFERROR(INDEX(Personnes!$C$5:$C$154,MATCH($C242,Personnes!$B$5:$B$154,0))&amp;"","")</f>
        <v/>
      </c>
      <c r="E242" s="10" t="str">
        <f>IFERROR(INDEX(Personnes!$D$5:$D$154,MATCH($C242,Personnes!$B$5:$B$154,0))&amp;"","")</f>
        <v/>
      </c>
      <c r="F242" s="15"/>
      <c r="G242" s="9"/>
      <c r="H242" s="10" t="str">
        <f>IF($B242="","",IF($C242="","apnéiste non reconnu",IF($A242="","séance non renseignée",IF(COUNTIFS($A$5:$A$504,$A242,$C$5:$C$504,$C242)&gt;1,"doublon séance / apnéiste",IF(OR($C242=IFERROR(INDEX('Calendrier'!$K$5:$K$5,MATCH($A242,'Calendrier'!$A$5:$A$5,0)),""),$C242=IFERROR(INDEX('Calendrier'!$O$5:$O$5,MATCH($A242,'Calendrier'!$A$5:$A$5,0)),"")),"encadrant et élève sur la même séance",IF(IFERROR(INDEX(Personnes!$H$5:$H$154,MATCH($C242,Personnes!$B$5:$B$154,0)),"")&lt;&gt;"oui","invité (hors ligne)","ok"))))))</f>
        <v/>
      </c>
    </row>
    <row r="243" spans="1:8" x14ac:dyDescent="0.2">
      <c r="A243" s="15"/>
      <c r="B243" s="15"/>
      <c r="C243" s="10" t="str">
        <f>IF($B243="","",IFERROR(IF(ISNUMBER(FIND("[",$B243)),MID($B243,FIND("[",$B243)+1,FIND("]",$B243)-FIND("[",$B243)-1),IF(ISNUMBER($B243),INDEX(Personnes!$B$5:$B$154,MATCH($B243,Personnes!$A$5:$A$154,0)),IFERROR(INDEX(Personnes!$B$5:$B$154,MATCH($B243&amp;"*",Personnes!$C$5:$C$154,0)),INDEX(Personnes!$B$5:$B$154,MATCH($B243&amp;"*",Personnes!$D$5:$D$154,0))))),""))</f>
        <v/>
      </c>
      <c r="D243" s="10" t="str">
        <f>IFERROR(INDEX(Personnes!$C$5:$C$154,MATCH($C243,Personnes!$B$5:$B$154,0))&amp;"","")</f>
        <v/>
      </c>
      <c r="E243" s="10" t="str">
        <f>IFERROR(INDEX(Personnes!$D$5:$D$154,MATCH($C243,Personnes!$B$5:$B$154,0))&amp;"","")</f>
        <v/>
      </c>
      <c r="F243" s="15"/>
      <c r="G243" s="9"/>
      <c r="H243" s="10" t="str">
        <f>IF($B243="","",IF($C243="","apnéiste non reconnu",IF($A243="","séance non renseignée",IF(COUNTIFS($A$5:$A$504,$A243,$C$5:$C$504,$C243)&gt;1,"doublon séance / apnéiste",IF(OR($C243=IFERROR(INDEX('Calendrier'!$K$5:$K$5,MATCH($A243,'Calendrier'!$A$5:$A$5,0)),""),$C243=IFERROR(INDEX('Calendrier'!$O$5:$O$5,MATCH($A243,'Calendrier'!$A$5:$A$5,0)),"")),"encadrant et élève sur la même séance",IF(IFERROR(INDEX(Personnes!$H$5:$H$154,MATCH($C243,Personnes!$B$5:$B$154,0)),"")&lt;&gt;"oui","invité (hors ligne)","ok"))))))</f>
        <v/>
      </c>
    </row>
    <row r="244" spans="1:8" x14ac:dyDescent="0.2">
      <c r="A244" s="15"/>
      <c r="B244" s="15"/>
      <c r="C244" s="10" t="str">
        <f>IF($B244="","",IFERROR(IF(ISNUMBER(FIND("[",$B244)),MID($B244,FIND("[",$B244)+1,FIND("]",$B244)-FIND("[",$B244)-1),IF(ISNUMBER($B244),INDEX(Personnes!$B$5:$B$154,MATCH($B244,Personnes!$A$5:$A$154,0)),IFERROR(INDEX(Personnes!$B$5:$B$154,MATCH($B244&amp;"*",Personnes!$C$5:$C$154,0)),INDEX(Personnes!$B$5:$B$154,MATCH($B244&amp;"*",Personnes!$D$5:$D$154,0))))),""))</f>
        <v/>
      </c>
      <c r="D244" s="10" t="str">
        <f>IFERROR(INDEX(Personnes!$C$5:$C$154,MATCH($C244,Personnes!$B$5:$B$154,0))&amp;"","")</f>
        <v/>
      </c>
      <c r="E244" s="10" t="str">
        <f>IFERROR(INDEX(Personnes!$D$5:$D$154,MATCH($C244,Personnes!$B$5:$B$154,0))&amp;"","")</f>
        <v/>
      </c>
      <c r="F244" s="15"/>
      <c r="G244" s="9"/>
      <c r="H244" s="10" t="str">
        <f>IF($B244="","",IF($C244="","apnéiste non reconnu",IF($A244="","séance non renseignée",IF(COUNTIFS($A$5:$A$504,$A244,$C$5:$C$504,$C244)&gt;1,"doublon séance / apnéiste",IF(OR($C244=IFERROR(INDEX('Calendrier'!$K$5:$K$5,MATCH($A244,'Calendrier'!$A$5:$A$5,0)),""),$C244=IFERROR(INDEX('Calendrier'!$O$5:$O$5,MATCH($A244,'Calendrier'!$A$5:$A$5,0)),"")),"encadrant et élève sur la même séance",IF(IFERROR(INDEX(Personnes!$H$5:$H$154,MATCH($C244,Personnes!$B$5:$B$154,0)),"")&lt;&gt;"oui","invité (hors ligne)","ok"))))))</f>
        <v/>
      </c>
    </row>
    <row r="245" spans="1:8" x14ac:dyDescent="0.2">
      <c r="A245" s="15"/>
      <c r="B245" s="15"/>
      <c r="C245" s="10" t="str">
        <f>IF($B245="","",IFERROR(IF(ISNUMBER(FIND("[",$B245)),MID($B245,FIND("[",$B245)+1,FIND("]",$B245)-FIND("[",$B245)-1),IF(ISNUMBER($B245),INDEX(Personnes!$B$5:$B$154,MATCH($B245,Personnes!$A$5:$A$154,0)),IFERROR(INDEX(Personnes!$B$5:$B$154,MATCH($B245&amp;"*",Personnes!$C$5:$C$154,0)),INDEX(Personnes!$B$5:$B$154,MATCH($B245&amp;"*",Personnes!$D$5:$D$154,0))))),""))</f>
        <v/>
      </c>
      <c r="D245" s="10" t="str">
        <f>IFERROR(INDEX(Personnes!$C$5:$C$154,MATCH($C245,Personnes!$B$5:$B$154,0))&amp;"","")</f>
        <v/>
      </c>
      <c r="E245" s="10" t="str">
        <f>IFERROR(INDEX(Personnes!$D$5:$D$154,MATCH($C245,Personnes!$B$5:$B$154,0))&amp;"","")</f>
        <v/>
      </c>
      <c r="F245" s="15"/>
      <c r="G245" s="9"/>
      <c r="H245" s="10" t="str">
        <f>IF($B245="","",IF($C245="","apnéiste non reconnu",IF($A245="","séance non renseignée",IF(COUNTIFS($A$5:$A$504,$A245,$C$5:$C$504,$C245)&gt;1,"doublon séance / apnéiste",IF(OR($C245=IFERROR(INDEX('Calendrier'!$K$5:$K$5,MATCH($A245,'Calendrier'!$A$5:$A$5,0)),""),$C245=IFERROR(INDEX('Calendrier'!$O$5:$O$5,MATCH($A245,'Calendrier'!$A$5:$A$5,0)),"")),"encadrant et élève sur la même séance",IF(IFERROR(INDEX(Personnes!$H$5:$H$154,MATCH($C245,Personnes!$B$5:$B$154,0)),"")&lt;&gt;"oui","invité (hors ligne)","ok"))))))</f>
        <v/>
      </c>
    </row>
    <row r="246" spans="1:8" x14ac:dyDescent="0.2">
      <c r="A246" s="15"/>
      <c r="B246" s="15"/>
      <c r="C246" s="10" t="str">
        <f>IF($B246="","",IFERROR(IF(ISNUMBER(FIND("[",$B246)),MID($B246,FIND("[",$B246)+1,FIND("]",$B246)-FIND("[",$B246)-1),IF(ISNUMBER($B246),INDEX(Personnes!$B$5:$B$154,MATCH($B246,Personnes!$A$5:$A$154,0)),IFERROR(INDEX(Personnes!$B$5:$B$154,MATCH($B246&amp;"*",Personnes!$C$5:$C$154,0)),INDEX(Personnes!$B$5:$B$154,MATCH($B246&amp;"*",Personnes!$D$5:$D$154,0))))),""))</f>
        <v/>
      </c>
      <c r="D246" s="10" t="str">
        <f>IFERROR(INDEX(Personnes!$C$5:$C$154,MATCH($C246,Personnes!$B$5:$B$154,0))&amp;"","")</f>
        <v/>
      </c>
      <c r="E246" s="10" t="str">
        <f>IFERROR(INDEX(Personnes!$D$5:$D$154,MATCH($C246,Personnes!$B$5:$B$154,0))&amp;"","")</f>
        <v/>
      </c>
      <c r="F246" s="15"/>
      <c r="G246" s="9"/>
      <c r="H246" s="10" t="str">
        <f>IF($B246="","",IF($C246="","apnéiste non reconnu",IF($A246="","séance non renseignée",IF(COUNTIFS($A$5:$A$504,$A246,$C$5:$C$504,$C246)&gt;1,"doublon séance / apnéiste",IF(OR($C246=IFERROR(INDEX('Calendrier'!$K$5:$K$5,MATCH($A246,'Calendrier'!$A$5:$A$5,0)),""),$C246=IFERROR(INDEX('Calendrier'!$O$5:$O$5,MATCH($A246,'Calendrier'!$A$5:$A$5,0)),"")),"encadrant et élève sur la même séance",IF(IFERROR(INDEX(Personnes!$H$5:$H$154,MATCH($C246,Personnes!$B$5:$B$154,0)),"")&lt;&gt;"oui","invité (hors ligne)","ok"))))))</f>
        <v/>
      </c>
    </row>
    <row r="247" spans="1:8" x14ac:dyDescent="0.2">
      <c r="A247" s="15"/>
      <c r="B247" s="15"/>
      <c r="C247" s="10" t="str">
        <f>IF($B247="","",IFERROR(IF(ISNUMBER(FIND("[",$B247)),MID($B247,FIND("[",$B247)+1,FIND("]",$B247)-FIND("[",$B247)-1),IF(ISNUMBER($B247),INDEX(Personnes!$B$5:$B$154,MATCH($B247,Personnes!$A$5:$A$154,0)),IFERROR(INDEX(Personnes!$B$5:$B$154,MATCH($B247&amp;"*",Personnes!$C$5:$C$154,0)),INDEX(Personnes!$B$5:$B$154,MATCH($B247&amp;"*",Personnes!$D$5:$D$154,0))))),""))</f>
        <v/>
      </c>
      <c r="D247" s="10" t="str">
        <f>IFERROR(INDEX(Personnes!$C$5:$C$154,MATCH($C247,Personnes!$B$5:$B$154,0))&amp;"","")</f>
        <v/>
      </c>
      <c r="E247" s="10" t="str">
        <f>IFERROR(INDEX(Personnes!$D$5:$D$154,MATCH($C247,Personnes!$B$5:$B$154,0))&amp;"","")</f>
        <v/>
      </c>
      <c r="F247" s="15"/>
      <c r="G247" s="9"/>
      <c r="H247" s="10" t="str">
        <f>IF($B247="","",IF($C247="","apnéiste non reconnu",IF($A247="","séance non renseignée",IF(COUNTIFS($A$5:$A$504,$A247,$C$5:$C$504,$C247)&gt;1,"doublon séance / apnéiste",IF(OR($C247=IFERROR(INDEX('Calendrier'!$K$5:$K$5,MATCH($A247,'Calendrier'!$A$5:$A$5,0)),""),$C247=IFERROR(INDEX('Calendrier'!$O$5:$O$5,MATCH($A247,'Calendrier'!$A$5:$A$5,0)),"")),"encadrant et élève sur la même séance",IF(IFERROR(INDEX(Personnes!$H$5:$H$154,MATCH($C247,Personnes!$B$5:$B$154,0)),"")&lt;&gt;"oui","invité (hors ligne)","ok"))))))</f>
        <v/>
      </c>
    </row>
    <row r="248" spans="1:8" x14ac:dyDescent="0.2">
      <c r="A248" s="15"/>
      <c r="B248" s="15"/>
      <c r="C248" s="10" t="str">
        <f>IF($B248="","",IFERROR(IF(ISNUMBER(FIND("[",$B248)),MID($B248,FIND("[",$B248)+1,FIND("]",$B248)-FIND("[",$B248)-1),IF(ISNUMBER($B248),INDEX(Personnes!$B$5:$B$154,MATCH($B248,Personnes!$A$5:$A$154,0)),IFERROR(INDEX(Personnes!$B$5:$B$154,MATCH($B248&amp;"*",Personnes!$C$5:$C$154,0)),INDEX(Personnes!$B$5:$B$154,MATCH($B248&amp;"*",Personnes!$D$5:$D$154,0))))),""))</f>
        <v/>
      </c>
      <c r="D248" s="10" t="str">
        <f>IFERROR(INDEX(Personnes!$C$5:$C$154,MATCH($C248,Personnes!$B$5:$B$154,0))&amp;"","")</f>
        <v/>
      </c>
      <c r="E248" s="10" t="str">
        <f>IFERROR(INDEX(Personnes!$D$5:$D$154,MATCH($C248,Personnes!$B$5:$B$154,0))&amp;"","")</f>
        <v/>
      </c>
      <c r="F248" s="15"/>
      <c r="G248" s="9"/>
      <c r="H248" s="10" t="str">
        <f>IF($B248="","",IF($C248="","apnéiste non reconnu",IF($A248="","séance non renseignée",IF(COUNTIFS($A$5:$A$504,$A248,$C$5:$C$504,$C248)&gt;1,"doublon séance / apnéiste",IF(OR($C248=IFERROR(INDEX('Calendrier'!$K$5:$K$5,MATCH($A248,'Calendrier'!$A$5:$A$5,0)),""),$C248=IFERROR(INDEX('Calendrier'!$O$5:$O$5,MATCH($A248,'Calendrier'!$A$5:$A$5,0)),"")),"encadrant et élève sur la même séance",IF(IFERROR(INDEX(Personnes!$H$5:$H$154,MATCH($C248,Personnes!$B$5:$B$154,0)),"")&lt;&gt;"oui","invité (hors ligne)","ok"))))))</f>
        <v/>
      </c>
    </row>
    <row r="249" spans="1:8" x14ac:dyDescent="0.2">
      <c r="A249" s="15"/>
      <c r="B249" s="15"/>
      <c r="C249" s="10" t="str">
        <f>IF($B249="","",IFERROR(IF(ISNUMBER(FIND("[",$B249)),MID($B249,FIND("[",$B249)+1,FIND("]",$B249)-FIND("[",$B249)-1),IF(ISNUMBER($B249),INDEX(Personnes!$B$5:$B$154,MATCH($B249,Personnes!$A$5:$A$154,0)),IFERROR(INDEX(Personnes!$B$5:$B$154,MATCH($B249&amp;"*",Personnes!$C$5:$C$154,0)),INDEX(Personnes!$B$5:$B$154,MATCH($B249&amp;"*",Personnes!$D$5:$D$154,0))))),""))</f>
        <v/>
      </c>
      <c r="D249" s="10" t="str">
        <f>IFERROR(INDEX(Personnes!$C$5:$C$154,MATCH($C249,Personnes!$B$5:$B$154,0))&amp;"","")</f>
        <v/>
      </c>
      <c r="E249" s="10" t="str">
        <f>IFERROR(INDEX(Personnes!$D$5:$D$154,MATCH($C249,Personnes!$B$5:$B$154,0))&amp;"","")</f>
        <v/>
      </c>
      <c r="F249" s="15"/>
      <c r="G249" s="9"/>
      <c r="H249" s="10" t="str">
        <f>IF($B249="","",IF($C249="","apnéiste non reconnu",IF($A249="","séance non renseignée",IF(COUNTIFS($A$5:$A$504,$A249,$C$5:$C$504,$C249)&gt;1,"doublon séance / apnéiste",IF(OR($C249=IFERROR(INDEX('Calendrier'!$K$5:$K$5,MATCH($A249,'Calendrier'!$A$5:$A$5,0)),""),$C249=IFERROR(INDEX('Calendrier'!$O$5:$O$5,MATCH($A249,'Calendrier'!$A$5:$A$5,0)),"")),"encadrant et élève sur la même séance",IF(IFERROR(INDEX(Personnes!$H$5:$H$154,MATCH($C249,Personnes!$B$5:$B$154,0)),"")&lt;&gt;"oui","invité (hors ligne)","ok"))))))</f>
        <v/>
      </c>
    </row>
    <row r="250" spans="1:8" x14ac:dyDescent="0.2">
      <c r="A250" s="15"/>
      <c r="B250" s="15"/>
      <c r="C250" s="10" t="str">
        <f>IF($B250="","",IFERROR(IF(ISNUMBER(FIND("[",$B250)),MID($B250,FIND("[",$B250)+1,FIND("]",$B250)-FIND("[",$B250)-1),IF(ISNUMBER($B250),INDEX(Personnes!$B$5:$B$154,MATCH($B250,Personnes!$A$5:$A$154,0)),IFERROR(INDEX(Personnes!$B$5:$B$154,MATCH($B250&amp;"*",Personnes!$C$5:$C$154,0)),INDEX(Personnes!$B$5:$B$154,MATCH($B250&amp;"*",Personnes!$D$5:$D$154,0))))),""))</f>
        <v/>
      </c>
      <c r="D250" s="10" t="str">
        <f>IFERROR(INDEX(Personnes!$C$5:$C$154,MATCH($C250,Personnes!$B$5:$B$154,0))&amp;"","")</f>
        <v/>
      </c>
      <c r="E250" s="10" t="str">
        <f>IFERROR(INDEX(Personnes!$D$5:$D$154,MATCH($C250,Personnes!$B$5:$B$154,0))&amp;"","")</f>
        <v/>
      </c>
      <c r="F250" s="15"/>
      <c r="G250" s="9"/>
      <c r="H250" s="10" t="str">
        <f>IF($B250="","",IF($C250="","apnéiste non reconnu",IF($A250="","séance non renseignée",IF(COUNTIFS($A$5:$A$504,$A250,$C$5:$C$504,$C250)&gt;1,"doublon séance / apnéiste",IF(OR($C250=IFERROR(INDEX('Calendrier'!$K$5:$K$5,MATCH($A250,'Calendrier'!$A$5:$A$5,0)),""),$C250=IFERROR(INDEX('Calendrier'!$O$5:$O$5,MATCH($A250,'Calendrier'!$A$5:$A$5,0)),"")),"encadrant et élève sur la même séance",IF(IFERROR(INDEX(Personnes!$H$5:$H$154,MATCH($C250,Personnes!$B$5:$B$154,0)),"")&lt;&gt;"oui","invité (hors ligne)","ok"))))))</f>
        <v/>
      </c>
    </row>
    <row r="251" spans="1:8" x14ac:dyDescent="0.2">
      <c r="A251" s="15"/>
      <c r="B251" s="15"/>
      <c r="C251" s="10" t="str">
        <f>IF($B251="","",IFERROR(IF(ISNUMBER(FIND("[",$B251)),MID($B251,FIND("[",$B251)+1,FIND("]",$B251)-FIND("[",$B251)-1),IF(ISNUMBER($B251),INDEX(Personnes!$B$5:$B$154,MATCH($B251,Personnes!$A$5:$A$154,0)),IFERROR(INDEX(Personnes!$B$5:$B$154,MATCH($B251&amp;"*",Personnes!$C$5:$C$154,0)),INDEX(Personnes!$B$5:$B$154,MATCH($B251&amp;"*",Personnes!$D$5:$D$154,0))))),""))</f>
        <v/>
      </c>
      <c r="D251" s="10" t="str">
        <f>IFERROR(INDEX(Personnes!$C$5:$C$154,MATCH($C251,Personnes!$B$5:$B$154,0))&amp;"","")</f>
        <v/>
      </c>
      <c r="E251" s="10" t="str">
        <f>IFERROR(INDEX(Personnes!$D$5:$D$154,MATCH($C251,Personnes!$B$5:$B$154,0))&amp;"","")</f>
        <v/>
      </c>
      <c r="F251" s="15"/>
      <c r="G251" s="9"/>
      <c r="H251" s="10" t="str">
        <f>IF($B251="","",IF($C251="","apnéiste non reconnu",IF($A251="","séance non renseignée",IF(COUNTIFS($A$5:$A$504,$A251,$C$5:$C$504,$C251)&gt;1,"doublon séance / apnéiste",IF(OR($C251=IFERROR(INDEX('Calendrier'!$K$5:$K$5,MATCH($A251,'Calendrier'!$A$5:$A$5,0)),""),$C251=IFERROR(INDEX('Calendrier'!$O$5:$O$5,MATCH($A251,'Calendrier'!$A$5:$A$5,0)),"")),"encadrant et élève sur la même séance",IF(IFERROR(INDEX(Personnes!$H$5:$H$154,MATCH($C251,Personnes!$B$5:$B$154,0)),"")&lt;&gt;"oui","invité (hors ligne)","ok"))))))</f>
        <v/>
      </c>
    </row>
    <row r="252" spans="1:8" x14ac:dyDescent="0.2">
      <c r="A252" s="15"/>
      <c r="B252" s="15"/>
      <c r="C252" s="10" t="str">
        <f>IF($B252="","",IFERROR(IF(ISNUMBER(FIND("[",$B252)),MID($B252,FIND("[",$B252)+1,FIND("]",$B252)-FIND("[",$B252)-1),IF(ISNUMBER($B252),INDEX(Personnes!$B$5:$B$154,MATCH($B252,Personnes!$A$5:$A$154,0)),IFERROR(INDEX(Personnes!$B$5:$B$154,MATCH($B252&amp;"*",Personnes!$C$5:$C$154,0)),INDEX(Personnes!$B$5:$B$154,MATCH($B252&amp;"*",Personnes!$D$5:$D$154,0))))),""))</f>
        <v/>
      </c>
      <c r="D252" s="10" t="str">
        <f>IFERROR(INDEX(Personnes!$C$5:$C$154,MATCH($C252,Personnes!$B$5:$B$154,0))&amp;"","")</f>
        <v/>
      </c>
      <c r="E252" s="10" t="str">
        <f>IFERROR(INDEX(Personnes!$D$5:$D$154,MATCH($C252,Personnes!$B$5:$B$154,0))&amp;"","")</f>
        <v/>
      </c>
      <c r="F252" s="15"/>
      <c r="G252" s="9"/>
      <c r="H252" s="10" t="str">
        <f>IF($B252="","",IF($C252="","apnéiste non reconnu",IF($A252="","séance non renseignée",IF(COUNTIFS($A$5:$A$504,$A252,$C$5:$C$504,$C252)&gt;1,"doublon séance / apnéiste",IF(OR($C252=IFERROR(INDEX('Calendrier'!$K$5:$K$5,MATCH($A252,'Calendrier'!$A$5:$A$5,0)),""),$C252=IFERROR(INDEX('Calendrier'!$O$5:$O$5,MATCH($A252,'Calendrier'!$A$5:$A$5,0)),"")),"encadrant et élève sur la même séance",IF(IFERROR(INDEX(Personnes!$H$5:$H$154,MATCH($C252,Personnes!$B$5:$B$154,0)),"")&lt;&gt;"oui","invité (hors ligne)","ok"))))))</f>
        <v/>
      </c>
    </row>
    <row r="253" spans="1:8" x14ac:dyDescent="0.2">
      <c r="A253" s="15"/>
      <c r="B253" s="15"/>
      <c r="C253" s="10" t="str">
        <f>IF($B253="","",IFERROR(IF(ISNUMBER(FIND("[",$B253)),MID($B253,FIND("[",$B253)+1,FIND("]",$B253)-FIND("[",$B253)-1),IF(ISNUMBER($B253),INDEX(Personnes!$B$5:$B$154,MATCH($B253,Personnes!$A$5:$A$154,0)),IFERROR(INDEX(Personnes!$B$5:$B$154,MATCH($B253&amp;"*",Personnes!$C$5:$C$154,0)),INDEX(Personnes!$B$5:$B$154,MATCH($B253&amp;"*",Personnes!$D$5:$D$154,0))))),""))</f>
        <v/>
      </c>
      <c r="D253" s="10" t="str">
        <f>IFERROR(INDEX(Personnes!$C$5:$C$154,MATCH($C253,Personnes!$B$5:$B$154,0))&amp;"","")</f>
        <v/>
      </c>
      <c r="E253" s="10" t="str">
        <f>IFERROR(INDEX(Personnes!$D$5:$D$154,MATCH($C253,Personnes!$B$5:$B$154,0))&amp;"","")</f>
        <v/>
      </c>
      <c r="F253" s="15"/>
      <c r="G253" s="9"/>
      <c r="H253" s="10" t="str">
        <f>IF($B253="","",IF($C253="","apnéiste non reconnu",IF($A253="","séance non renseignée",IF(COUNTIFS($A$5:$A$504,$A253,$C$5:$C$504,$C253)&gt;1,"doublon séance / apnéiste",IF(OR($C253=IFERROR(INDEX('Calendrier'!$K$5:$K$5,MATCH($A253,'Calendrier'!$A$5:$A$5,0)),""),$C253=IFERROR(INDEX('Calendrier'!$O$5:$O$5,MATCH($A253,'Calendrier'!$A$5:$A$5,0)),"")),"encadrant et élève sur la même séance",IF(IFERROR(INDEX(Personnes!$H$5:$H$154,MATCH($C253,Personnes!$B$5:$B$154,0)),"")&lt;&gt;"oui","invité (hors ligne)","ok"))))))</f>
        <v/>
      </c>
    </row>
    <row r="254" spans="1:8" x14ac:dyDescent="0.2">
      <c r="A254" s="15"/>
      <c r="B254" s="15"/>
      <c r="C254" s="10" t="str">
        <f>IF($B254="","",IFERROR(IF(ISNUMBER(FIND("[",$B254)),MID($B254,FIND("[",$B254)+1,FIND("]",$B254)-FIND("[",$B254)-1),IF(ISNUMBER($B254),INDEX(Personnes!$B$5:$B$154,MATCH($B254,Personnes!$A$5:$A$154,0)),IFERROR(INDEX(Personnes!$B$5:$B$154,MATCH($B254&amp;"*",Personnes!$C$5:$C$154,0)),INDEX(Personnes!$B$5:$B$154,MATCH($B254&amp;"*",Personnes!$D$5:$D$154,0))))),""))</f>
        <v/>
      </c>
      <c r="D254" s="10" t="str">
        <f>IFERROR(INDEX(Personnes!$C$5:$C$154,MATCH($C254,Personnes!$B$5:$B$154,0))&amp;"","")</f>
        <v/>
      </c>
      <c r="E254" s="10" t="str">
        <f>IFERROR(INDEX(Personnes!$D$5:$D$154,MATCH($C254,Personnes!$B$5:$B$154,0))&amp;"","")</f>
        <v/>
      </c>
      <c r="F254" s="15"/>
      <c r="G254" s="9"/>
      <c r="H254" s="10" t="str">
        <f>IF($B254="","",IF($C254="","apnéiste non reconnu",IF($A254="","séance non renseignée",IF(COUNTIFS($A$5:$A$504,$A254,$C$5:$C$504,$C254)&gt;1,"doublon séance / apnéiste",IF(OR($C254=IFERROR(INDEX('Calendrier'!$K$5:$K$5,MATCH($A254,'Calendrier'!$A$5:$A$5,0)),""),$C254=IFERROR(INDEX('Calendrier'!$O$5:$O$5,MATCH($A254,'Calendrier'!$A$5:$A$5,0)),"")),"encadrant et élève sur la même séance",IF(IFERROR(INDEX(Personnes!$H$5:$H$154,MATCH($C254,Personnes!$B$5:$B$154,0)),"")&lt;&gt;"oui","invité (hors ligne)","ok"))))))</f>
        <v/>
      </c>
    </row>
    <row r="255" spans="1:8" x14ac:dyDescent="0.2">
      <c r="A255" s="15"/>
      <c r="B255" s="15"/>
      <c r="C255" s="10" t="str">
        <f>IF($B255="","",IFERROR(IF(ISNUMBER(FIND("[",$B255)),MID($B255,FIND("[",$B255)+1,FIND("]",$B255)-FIND("[",$B255)-1),IF(ISNUMBER($B255),INDEX(Personnes!$B$5:$B$154,MATCH($B255,Personnes!$A$5:$A$154,0)),IFERROR(INDEX(Personnes!$B$5:$B$154,MATCH($B255&amp;"*",Personnes!$C$5:$C$154,0)),INDEX(Personnes!$B$5:$B$154,MATCH($B255&amp;"*",Personnes!$D$5:$D$154,0))))),""))</f>
        <v/>
      </c>
      <c r="D255" s="10" t="str">
        <f>IFERROR(INDEX(Personnes!$C$5:$C$154,MATCH($C255,Personnes!$B$5:$B$154,0))&amp;"","")</f>
        <v/>
      </c>
      <c r="E255" s="10" t="str">
        <f>IFERROR(INDEX(Personnes!$D$5:$D$154,MATCH($C255,Personnes!$B$5:$B$154,0))&amp;"","")</f>
        <v/>
      </c>
      <c r="F255" s="15"/>
      <c r="G255" s="9"/>
      <c r="H255" s="10" t="str">
        <f>IF($B255="","",IF($C255="","apnéiste non reconnu",IF($A255="","séance non renseignée",IF(COUNTIFS($A$5:$A$504,$A255,$C$5:$C$504,$C255)&gt;1,"doublon séance / apnéiste",IF(OR($C255=IFERROR(INDEX('Calendrier'!$K$5:$K$5,MATCH($A255,'Calendrier'!$A$5:$A$5,0)),""),$C255=IFERROR(INDEX('Calendrier'!$O$5:$O$5,MATCH($A255,'Calendrier'!$A$5:$A$5,0)),"")),"encadrant et élève sur la même séance",IF(IFERROR(INDEX(Personnes!$H$5:$H$154,MATCH($C255,Personnes!$B$5:$B$154,0)),"")&lt;&gt;"oui","invité (hors ligne)","ok"))))))</f>
        <v/>
      </c>
    </row>
    <row r="256" spans="1:8" x14ac:dyDescent="0.2">
      <c r="A256" s="15"/>
      <c r="B256" s="15"/>
      <c r="C256" s="10" t="str">
        <f>IF($B256="","",IFERROR(IF(ISNUMBER(FIND("[",$B256)),MID($B256,FIND("[",$B256)+1,FIND("]",$B256)-FIND("[",$B256)-1),IF(ISNUMBER($B256),INDEX(Personnes!$B$5:$B$154,MATCH($B256,Personnes!$A$5:$A$154,0)),IFERROR(INDEX(Personnes!$B$5:$B$154,MATCH($B256&amp;"*",Personnes!$C$5:$C$154,0)),INDEX(Personnes!$B$5:$B$154,MATCH($B256&amp;"*",Personnes!$D$5:$D$154,0))))),""))</f>
        <v/>
      </c>
      <c r="D256" s="10" t="str">
        <f>IFERROR(INDEX(Personnes!$C$5:$C$154,MATCH($C256,Personnes!$B$5:$B$154,0))&amp;"","")</f>
        <v/>
      </c>
      <c r="E256" s="10" t="str">
        <f>IFERROR(INDEX(Personnes!$D$5:$D$154,MATCH($C256,Personnes!$B$5:$B$154,0))&amp;"","")</f>
        <v/>
      </c>
      <c r="F256" s="15"/>
      <c r="G256" s="9"/>
      <c r="H256" s="10" t="str">
        <f>IF($B256="","",IF($C256="","apnéiste non reconnu",IF($A256="","séance non renseignée",IF(COUNTIFS($A$5:$A$504,$A256,$C$5:$C$504,$C256)&gt;1,"doublon séance / apnéiste",IF(OR($C256=IFERROR(INDEX('Calendrier'!$K$5:$K$5,MATCH($A256,'Calendrier'!$A$5:$A$5,0)),""),$C256=IFERROR(INDEX('Calendrier'!$O$5:$O$5,MATCH($A256,'Calendrier'!$A$5:$A$5,0)),"")),"encadrant et élève sur la même séance",IF(IFERROR(INDEX(Personnes!$H$5:$H$154,MATCH($C256,Personnes!$B$5:$B$154,0)),"")&lt;&gt;"oui","invité (hors ligne)","ok"))))))</f>
        <v/>
      </c>
    </row>
    <row r="257" spans="1:8" x14ac:dyDescent="0.2">
      <c r="A257" s="15"/>
      <c r="B257" s="15"/>
      <c r="C257" s="10" t="str">
        <f>IF($B257="","",IFERROR(IF(ISNUMBER(FIND("[",$B257)),MID($B257,FIND("[",$B257)+1,FIND("]",$B257)-FIND("[",$B257)-1),IF(ISNUMBER($B257),INDEX(Personnes!$B$5:$B$154,MATCH($B257,Personnes!$A$5:$A$154,0)),IFERROR(INDEX(Personnes!$B$5:$B$154,MATCH($B257&amp;"*",Personnes!$C$5:$C$154,0)),INDEX(Personnes!$B$5:$B$154,MATCH($B257&amp;"*",Personnes!$D$5:$D$154,0))))),""))</f>
        <v/>
      </c>
      <c r="D257" s="10" t="str">
        <f>IFERROR(INDEX(Personnes!$C$5:$C$154,MATCH($C257,Personnes!$B$5:$B$154,0))&amp;"","")</f>
        <v/>
      </c>
      <c r="E257" s="10" t="str">
        <f>IFERROR(INDEX(Personnes!$D$5:$D$154,MATCH($C257,Personnes!$B$5:$B$154,0))&amp;"","")</f>
        <v/>
      </c>
      <c r="F257" s="15"/>
      <c r="G257" s="9"/>
      <c r="H257" s="10" t="str">
        <f>IF($B257="","",IF($C257="","apnéiste non reconnu",IF($A257="","séance non renseignée",IF(COUNTIFS($A$5:$A$504,$A257,$C$5:$C$504,$C257)&gt;1,"doublon séance / apnéiste",IF(OR($C257=IFERROR(INDEX('Calendrier'!$K$5:$K$5,MATCH($A257,'Calendrier'!$A$5:$A$5,0)),""),$C257=IFERROR(INDEX('Calendrier'!$O$5:$O$5,MATCH($A257,'Calendrier'!$A$5:$A$5,0)),"")),"encadrant et élève sur la même séance",IF(IFERROR(INDEX(Personnes!$H$5:$H$154,MATCH($C257,Personnes!$B$5:$B$154,0)),"")&lt;&gt;"oui","invité (hors ligne)","ok"))))))</f>
        <v/>
      </c>
    </row>
    <row r="258" spans="1:8" x14ac:dyDescent="0.2">
      <c r="A258" s="15"/>
      <c r="B258" s="15"/>
      <c r="C258" s="10" t="str">
        <f>IF($B258="","",IFERROR(IF(ISNUMBER(FIND("[",$B258)),MID($B258,FIND("[",$B258)+1,FIND("]",$B258)-FIND("[",$B258)-1),IF(ISNUMBER($B258),INDEX(Personnes!$B$5:$B$154,MATCH($B258,Personnes!$A$5:$A$154,0)),IFERROR(INDEX(Personnes!$B$5:$B$154,MATCH($B258&amp;"*",Personnes!$C$5:$C$154,0)),INDEX(Personnes!$B$5:$B$154,MATCH($B258&amp;"*",Personnes!$D$5:$D$154,0))))),""))</f>
        <v/>
      </c>
      <c r="D258" s="10" t="str">
        <f>IFERROR(INDEX(Personnes!$C$5:$C$154,MATCH($C258,Personnes!$B$5:$B$154,0))&amp;"","")</f>
        <v/>
      </c>
      <c r="E258" s="10" t="str">
        <f>IFERROR(INDEX(Personnes!$D$5:$D$154,MATCH($C258,Personnes!$B$5:$B$154,0))&amp;"","")</f>
        <v/>
      </c>
      <c r="F258" s="15"/>
      <c r="G258" s="9"/>
      <c r="H258" s="10" t="str">
        <f>IF($B258="","",IF($C258="","apnéiste non reconnu",IF($A258="","séance non renseignée",IF(COUNTIFS($A$5:$A$504,$A258,$C$5:$C$504,$C258)&gt;1,"doublon séance / apnéiste",IF(OR($C258=IFERROR(INDEX('Calendrier'!$K$5:$K$5,MATCH($A258,'Calendrier'!$A$5:$A$5,0)),""),$C258=IFERROR(INDEX('Calendrier'!$O$5:$O$5,MATCH($A258,'Calendrier'!$A$5:$A$5,0)),"")),"encadrant et élève sur la même séance",IF(IFERROR(INDEX(Personnes!$H$5:$H$154,MATCH($C258,Personnes!$B$5:$B$154,0)),"")&lt;&gt;"oui","invité (hors ligne)","ok"))))))</f>
        <v/>
      </c>
    </row>
    <row r="259" spans="1:8" x14ac:dyDescent="0.2">
      <c r="A259" s="15"/>
      <c r="B259" s="15"/>
      <c r="C259" s="10" t="str">
        <f>IF($B259="","",IFERROR(IF(ISNUMBER(FIND("[",$B259)),MID($B259,FIND("[",$B259)+1,FIND("]",$B259)-FIND("[",$B259)-1),IF(ISNUMBER($B259),INDEX(Personnes!$B$5:$B$154,MATCH($B259,Personnes!$A$5:$A$154,0)),IFERROR(INDEX(Personnes!$B$5:$B$154,MATCH($B259&amp;"*",Personnes!$C$5:$C$154,0)),INDEX(Personnes!$B$5:$B$154,MATCH($B259&amp;"*",Personnes!$D$5:$D$154,0))))),""))</f>
        <v/>
      </c>
      <c r="D259" s="10" t="str">
        <f>IFERROR(INDEX(Personnes!$C$5:$C$154,MATCH($C259,Personnes!$B$5:$B$154,0))&amp;"","")</f>
        <v/>
      </c>
      <c r="E259" s="10" t="str">
        <f>IFERROR(INDEX(Personnes!$D$5:$D$154,MATCH($C259,Personnes!$B$5:$B$154,0))&amp;"","")</f>
        <v/>
      </c>
      <c r="F259" s="15"/>
      <c r="G259" s="9"/>
      <c r="H259" s="10" t="str">
        <f>IF($B259="","",IF($C259="","apnéiste non reconnu",IF($A259="","séance non renseignée",IF(COUNTIFS($A$5:$A$504,$A259,$C$5:$C$504,$C259)&gt;1,"doublon séance / apnéiste",IF(OR($C259=IFERROR(INDEX('Calendrier'!$K$5:$K$5,MATCH($A259,'Calendrier'!$A$5:$A$5,0)),""),$C259=IFERROR(INDEX('Calendrier'!$O$5:$O$5,MATCH($A259,'Calendrier'!$A$5:$A$5,0)),"")),"encadrant et élève sur la même séance",IF(IFERROR(INDEX(Personnes!$H$5:$H$154,MATCH($C259,Personnes!$B$5:$B$154,0)),"")&lt;&gt;"oui","invité (hors ligne)","ok"))))))</f>
        <v/>
      </c>
    </row>
    <row r="260" spans="1:8" x14ac:dyDescent="0.2">
      <c r="A260" s="15"/>
      <c r="B260" s="15"/>
      <c r="C260" s="10" t="str">
        <f>IF($B260="","",IFERROR(IF(ISNUMBER(FIND("[",$B260)),MID($B260,FIND("[",$B260)+1,FIND("]",$B260)-FIND("[",$B260)-1),IF(ISNUMBER($B260),INDEX(Personnes!$B$5:$B$154,MATCH($B260,Personnes!$A$5:$A$154,0)),IFERROR(INDEX(Personnes!$B$5:$B$154,MATCH($B260&amp;"*",Personnes!$C$5:$C$154,0)),INDEX(Personnes!$B$5:$B$154,MATCH($B260&amp;"*",Personnes!$D$5:$D$154,0))))),""))</f>
        <v/>
      </c>
      <c r="D260" s="10" t="str">
        <f>IFERROR(INDEX(Personnes!$C$5:$C$154,MATCH($C260,Personnes!$B$5:$B$154,0))&amp;"","")</f>
        <v/>
      </c>
      <c r="E260" s="10" t="str">
        <f>IFERROR(INDEX(Personnes!$D$5:$D$154,MATCH($C260,Personnes!$B$5:$B$154,0))&amp;"","")</f>
        <v/>
      </c>
      <c r="F260" s="15"/>
      <c r="G260" s="9"/>
      <c r="H260" s="10" t="str">
        <f>IF($B260="","",IF($C260="","apnéiste non reconnu",IF($A260="","séance non renseignée",IF(COUNTIFS($A$5:$A$504,$A260,$C$5:$C$504,$C260)&gt;1,"doublon séance / apnéiste",IF(OR($C260=IFERROR(INDEX('Calendrier'!$K$5:$K$5,MATCH($A260,'Calendrier'!$A$5:$A$5,0)),""),$C260=IFERROR(INDEX('Calendrier'!$O$5:$O$5,MATCH($A260,'Calendrier'!$A$5:$A$5,0)),"")),"encadrant et élève sur la même séance",IF(IFERROR(INDEX(Personnes!$H$5:$H$154,MATCH($C260,Personnes!$B$5:$B$154,0)),"")&lt;&gt;"oui","invité (hors ligne)","ok"))))))</f>
        <v/>
      </c>
    </row>
    <row r="261" spans="1:8" x14ac:dyDescent="0.2">
      <c r="A261" s="15"/>
      <c r="B261" s="15"/>
      <c r="C261" s="10" t="str">
        <f>IF($B261="","",IFERROR(IF(ISNUMBER(FIND("[",$B261)),MID($B261,FIND("[",$B261)+1,FIND("]",$B261)-FIND("[",$B261)-1),IF(ISNUMBER($B261),INDEX(Personnes!$B$5:$B$154,MATCH($B261,Personnes!$A$5:$A$154,0)),IFERROR(INDEX(Personnes!$B$5:$B$154,MATCH($B261&amp;"*",Personnes!$C$5:$C$154,0)),INDEX(Personnes!$B$5:$B$154,MATCH($B261&amp;"*",Personnes!$D$5:$D$154,0))))),""))</f>
        <v/>
      </c>
      <c r="D261" s="10" t="str">
        <f>IFERROR(INDEX(Personnes!$C$5:$C$154,MATCH($C261,Personnes!$B$5:$B$154,0))&amp;"","")</f>
        <v/>
      </c>
      <c r="E261" s="10" t="str">
        <f>IFERROR(INDEX(Personnes!$D$5:$D$154,MATCH($C261,Personnes!$B$5:$B$154,0))&amp;"","")</f>
        <v/>
      </c>
      <c r="F261" s="15"/>
      <c r="G261" s="9"/>
      <c r="H261" s="10" t="str">
        <f>IF($B261="","",IF($C261="","apnéiste non reconnu",IF($A261="","séance non renseignée",IF(COUNTIFS($A$5:$A$504,$A261,$C$5:$C$504,$C261)&gt;1,"doublon séance / apnéiste",IF(OR($C261=IFERROR(INDEX('Calendrier'!$K$5:$K$5,MATCH($A261,'Calendrier'!$A$5:$A$5,0)),""),$C261=IFERROR(INDEX('Calendrier'!$O$5:$O$5,MATCH($A261,'Calendrier'!$A$5:$A$5,0)),"")),"encadrant et élève sur la même séance",IF(IFERROR(INDEX(Personnes!$H$5:$H$154,MATCH($C261,Personnes!$B$5:$B$154,0)),"")&lt;&gt;"oui","invité (hors ligne)","ok"))))))</f>
        <v/>
      </c>
    </row>
    <row r="262" spans="1:8" x14ac:dyDescent="0.2">
      <c r="A262" s="15"/>
      <c r="B262" s="15"/>
      <c r="C262" s="10" t="str">
        <f>IF($B262="","",IFERROR(IF(ISNUMBER(FIND("[",$B262)),MID($B262,FIND("[",$B262)+1,FIND("]",$B262)-FIND("[",$B262)-1),IF(ISNUMBER($B262),INDEX(Personnes!$B$5:$B$154,MATCH($B262,Personnes!$A$5:$A$154,0)),IFERROR(INDEX(Personnes!$B$5:$B$154,MATCH($B262&amp;"*",Personnes!$C$5:$C$154,0)),INDEX(Personnes!$B$5:$B$154,MATCH($B262&amp;"*",Personnes!$D$5:$D$154,0))))),""))</f>
        <v/>
      </c>
      <c r="D262" s="10" t="str">
        <f>IFERROR(INDEX(Personnes!$C$5:$C$154,MATCH($C262,Personnes!$B$5:$B$154,0))&amp;"","")</f>
        <v/>
      </c>
      <c r="E262" s="10" t="str">
        <f>IFERROR(INDEX(Personnes!$D$5:$D$154,MATCH($C262,Personnes!$B$5:$B$154,0))&amp;"","")</f>
        <v/>
      </c>
      <c r="F262" s="15"/>
      <c r="G262" s="9"/>
      <c r="H262" s="10" t="str">
        <f>IF($B262="","",IF($C262="","apnéiste non reconnu",IF($A262="","séance non renseignée",IF(COUNTIFS($A$5:$A$504,$A262,$C$5:$C$504,$C262)&gt;1,"doublon séance / apnéiste",IF(OR($C262=IFERROR(INDEX('Calendrier'!$K$5:$K$5,MATCH($A262,'Calendrier'!$A$5:$A$5,0)),""),$C262=IFERROR(INDEX('Calendrier'!$O$5:$O$5,MATCH($A262,'Calendrier'!$A$5:$A$5,0)),"")),"encadrant et élève sur la même séance",IF(IFERROR(INDEX(Personnes!$H$5:$H$154,MATCH($C262,Personnes!$B$5:$B$154,0)),"")&lt;&gt;"oui","invité (hors ligne)","ok"))))))</f>
        <v/>
      </c>
    </row>
    <row r="263" spans="1:8" x14ac:dyDescent="0.2">
      <c r="A263" s="15"/>
      <c r="B263" s="15"/>
      <c r="C263" s="10" t="str">
        <f>IF($B263="","",IFERROR(IF(ISNUMBER(FIND("[",$B263)),MID($B263,FIND("[",$B263)+1,FIND("]",$B263)-FIND("[",$B263)-1),IF(ISNUMBER($B263),INDEX(Personnes!$B$5:$B$154,MATCH($B263,Personnes!$A$5:$A$154,0)),IFERROR(INDEX(Personnes!$B$5:$B$154,MATCH($B263&amp;"*",Personnes!$C$5:$C$154,0)),INDEX(Personnes!$B$5:$B$154,MATCH($B263&amp;"*",Personnes!$D$5:$D$154,0))))),""))</f>
        <v/>
      </c>
      <c r="D263" s="10" t="str">
        <f>IFERROR(INDEX(Personnes!$C$5:$C$154,MATCH($C263,Personnes!$B$5:$B$154,0))&amp;"","")</f>
        <v/>
      </c>
      <c r="E263" s="10" t="str">
        <f>IFERROR(INDEX(Personnes!$D$5:$D$154,MATCH($C263,Personnes!$B$5:$B$154,0))&amp;"","")</f>
        <v/>
      </c>
      <c r="F263" s="15"/>
      <c r="G263" s="9"/>
      <c r="H263" s="10" t="str">
        <f>IF($B263="","",IF($C263="","apnéiste non reconnu",IF($A263="","séance non renseignée",IF(COUNTIFS($A$5:$A$504,$A263,$C$5:$C$504,$C263)&gt;1,"doublon séance / apnéiste",IF(OR($C263=IFERROR(INDEX('Calendrier'!$K$5:$K$5,MATCH($A263,'Calendrier'!$A$5:$A$5,0)),""),$C263=IFERROR(INDEX('Calendrier'!$O$5:$O$5,MATCH($A263,'Calendrier'!$A$5:$A$5,0)),"")),"encadrant et élève sur la même séance",IF(IFERROR(INDEX(Personnes!$H$5:$H$154,MATCH($C263,Personnes!$B$5:$B$154,0)),"")&lt;&gt;"oui","invité (hors ligne)","ok"))))))</f>
        <v/>
      </c>
    </row>
    <row r="264" spans="1:8" x14ac:dyDescent="0.2">
      <c r="A264" s="15"/>
      <c r="B264" s="15"/>
      <c r="C264" s="10" t="str">
        <f>IF($B264="","",IFERROR(IF(ISNUMBER(FIND("[",$B264)),MID($B264,FIND("[",$B264)+1,FIND("]",$B264)-FIND("[",$B264)-1),IF(ISNUMBER($B264),INDEX(Personnes!$B$5:$B$154,MATCH($B264,Personnes!$A$5:$A$154,0)),IFERROR(INDEX(Personnes!$B$5:$B$154,MATCH($B264&amp;"*",Personnes!$C$5:$C$154,0)),INDEX(Personnes!$B$5:$B$154,MATCH($B264&amp;"*",Personnes!$D$5:$D$154,0))))),""))</f>
        <v/>
      </c>
      <c r="D264" s="10" t="str">
        <f>IFERROR(INDEX(Personnes!$C$5:$C$154,MATCH($C264,Personnes!$B$5:$B$154,0))&amp;"","")</f>
        <v/>
      </c>
      <c r="E264" s="10" t="str">
        <f>IFERROR(INDEX(Personnes!$D$5:$D$154,MATCH($C264,Personnes!$B$5:$B$154,0))&amp;"","")</f>
        <v/>
      </c>
      <c r="F264" s="15"/>
      <c r="G264" s="9"/>
      <c r="H264" s="10" t="str">
        <f>IF($B264="","",IF($C264="","apnéiste non reconnu",IF($A264="","séance non renseignée",IF(COUNTIFS($A$5:$A$504,$A264,$C$5:$C$504,$C264)&gt;1,"doublon séance / apnéiste",IF(OR($C264=IFERROR(INDEX('Calendrier'!$K$5:$K$5,MATCH($A264,'Calendrier'!$A$5:$A$5,0)),""),$C264=IFERROR(INDEX('Calendrier'!$O$5:$O$5,MATCH($A264,'Calendrier'!$A$5:$A$5,0)),"")),"encadrant et élève sur la même séance",IF(IFERROR(INDEX(Personnes!$H$5:$H$154,MATCH($C264,Personnes!$B$5:$B$154,0)),"")&lt;&gt;"oui","invité (hors ligne)","ok"))))))</f>
        <v/>
      </c>
    </row>
    <row r="265" spans="1:8" x14ac:dyDescent="0.2">
      <c r="A265" s="15"/>
      <c r="B265" s="15"/>
      <c r="C265" s="10" t="str">
        <f>IF($B265="","",IFERROR(IF(ISNUMBER(FIND("[",$B265)),MID($B265,FIND("[",$B265)+1,FIND("]",$B265)-FIND("[",$B265)-1),IF(ISNUMBER($B265),INDEX(Personnes!$B$5:$B$154,MATCH($B265,Personnes!$A$5:$A$154,0)),IFERROR(INDEX(Personnes!$B$5:$B$154,MATCH($B265&amp;"*",Personnes!$C$5:$C$154,0)),INDEX(Personnes!$B$5:$B$154,MATCH($B265&amp;"*",Personnes!$D$5:$D$154,0))))),""))</f>
        <v/>
      </c>
      <c r="D265" s="10" t="str">
        <f>IFERROR(INDEX(Personnes!$C$5:$C$154,MATCH($C265,Personnes!$B$5:$B$154,0))&amp;"","")</f>
        <v/>
      </c>
      <c r="E265" s="10" t="str">
        <f>IFERROR(INDEX(Personnes!$D$5:$D$154,MATCH($C265,Personnes!$B$5:$B$154,0))&amp;"","")</f>
        <v/>
      </c>
      <c r="F265" s="15"/>
      <c r="G265" s="9"/>
      <c r="H265" s="10" t="str">
        <f>IF($B265="","",IF($C265="","apnéiste non reconnu",IF($A265="","séance non renseignée",IF(COUNTIFS($A$5:$A$504,$A265,$C$5:$C$504,$C265)&gt;1,"doublon séance / apnéiste",IF(OR($C265=IFERROR(INDEX('Calendrier'!$K$5:$K$5,MATCH($A265,'Calendrier'!$A$5:$A$5,0)),""),$C265=IFERROR(INDEX('Calendrier'!$O$5:$O$5,MATCH($A265,'Calendrier'!$A$5:$A$5,0)),"")),"encadrant et élève sur la même séance",IF(IFERROR(INDEX(Personnes!$H$5:$H$154,MATCH($C265,Personnes!$B$5:$B$154,0)),"")&lt;&gt;"oui","invité (hors ligne)","ok"))))))</f>
        <v/>
      </c>
    </row>
    <row r="266" spans="1:8" x14ac:dyDescent="0.2">
      <c r="A266" s="15"/>
      <c r="B266" s="15"/>
      <c r="C266" s="10" t="str">
        <f>IF($B266="","",IFERROR(IF(ISNUMBER(FIND("[",$B266)),MID($B266,FIND("[",$B266)+1,FIND("]",$B266)-FIND("[",$B266)-1),IF(ISNUMBER($B266),INDEX(Personnes!$B$5:$B$154,MATCH($B266,Personnes!$A$5:$A$154,0)),IFERROR(INDEX(Personnes!$B$5:$B$154,MATCH($B266&amp;"*",Personnes!$C$5:$C$154,0)),INDEX(Personnes!$B$5:$B$154,MATCH($B266&amp;"*",Personnes!$D$5:$D$154,0))))),""))</f>
        <v/>
      </c>
      <c r="D266" s="10" t="str">
        <f>IFERROR(INDEX(Personnes!$C$5:$C$154,MATCH($C266,Personnes!$B$5:$B$154,0))&amp;"","")</f>
        <v/>
      </c>
      <c r="E266" s="10" t="str">
        <f>IFERROR(INDEX(Personnes!$D$5:$D$154,MATCH($C266,Personnes!$B$5:$B$154,0))&amp;"","")</f>
        <v/>
      </c>
      <c r="F266" s="15"/>
      <c r="G266" s="9"/>
      <c r="H266" s="10" t="str">
        <f>IF($B266="","",IF($C266="","apnéiste non reconnu",IF($A266="","séance non renseignée",IF(COUNTIFS($A$5:$A$504,$A266,$C$5:$C$504,$C266)&gt;1,"doublon séance / apnéiste",IF(OR($C266=IFERROR(INDEX('Calendrier'!$K$5:$K$5,MATCH($A266,'Calendrier'!$A$5:$A$5,0)),""),$C266=IFERROR(INDEX('Calendrier'!$O$5:$O$5,MATCH($A266,'Calendrier'!$A$5:$A$5,0)),"")),"encadrant et élève sur la même séance",IF(IFERROR(INDEX(Personnes!$H$5:$H$154,MATCH($C266,Personnes!$B$5:$B$154,0)),"")&lt;&gt;"oui","invité (hors ligne)","ok"))))))</f>
        <v/>
      </c>
    </row>
    <row r="267" spans="1:8" x14ac:dyDescent="0.2">
      <c r="A267" s="15"/>
      <c r="B267" s="15"/>
      <c r="C267" s="10" t="str">
        <f>IF($B267="","",IFERROR(IF(ISNUMBER(FIND("[",$B267)),MID($B267,FIND("[",$B267)+1,FIND("]",$B267)-FIND("[",$B267)-1),IF(ISNUMBER($B267),INDEX(Personnes!$B$5:$B$154,MATCH($B267,Personnes!$A$5:$A$154,0)),IFERROR(INDEX(Personnes!$B$5:$B$154,MATCH($B267&amp;"*",Personnes!$C$5:$C$154,0)),INDEX(Personnes!$B$5:$B$154,MATCH($B267&amp;"*",Personnes!$D$5:$D$154,0))))),""))</f>
        <v/>
      </c>
      <c r="D267" s="10" t="str">
        <f>IFERROR(INDEX(Personnes!$C$5:$C$154,MATCH($C267,Personnes!$B$5:$B$154,0))&amp;"","")</f>
        <v/>
      </c>
      <c r="E267" s="10" t="str">
        <f>IFERROR(INDEX(Personnes!$D$5:$D$154,MATCH($C267,Personnes!$B$5:$B$154,0))&amp;"","")</f>
        <v/>
      </c>
      <c r="F267" s="15"/>
      <c r="G267" s="9"/>
      <c r="H267" s="10" t="str">
        <f>IF($B267="","",IF($C267="","apnéiste non reconnu",IF($A267="","séance non renseignée",IF(COUNTIFS($A$5:$A$504,$A267,$C$5:$C$504,$C267)&gt;1,"doublon séance / apnéiste",IF(OR($C267=IFERROR(INDEX('Calendrier'!$K$5:$K$5,MATCH($A267,'Calendrier'!$A$5:$A$5,0)),""),$C267=IFERROR(INDEX('Calendrier'!$O$5:$O$5,MATCH($A267,'Calendrier'!$A$5:$A$5,0)),"")),"encadrant et élève sur la même séance",IF(IFERROR(INDEX(Personnes!$H$5:$H$154,MATCH($C267,Personnes!$B$5:$B$154,0)),"")&lt;&gt;"oui","invité (hors ligne)","ok"))))))</f>
        <v/>
      </c>
    </row>
    <row r="268" spans="1:8" x14ac:dyDescent="0.2">
      <c r="A268" s="15"/>
      <c r="B268" s="15"/>
      <c r="C268" s="10" t="str">
        <f>IF($B268="","",IFERROR(IF(ISNUMBER(FIND("[",$B268)),MID($B268,FIND("[",$B268)+1,FIND("]",$B268)-FIND("[",$B268)-1),IF(ISNUMBER($B268),INDEX(Personnes!$B$5:$B$154,MATCH($B268,Personnes!$A$5:$A$154,0)),IFERROR(INDEX(Personnes!$B$5:$B$154,MATCH($B268&amp;"*",Personnes!$C$5:$C$154,0)),INDEX(Personnes!$B$5:$B$154,MATCH($B268&amp;"*",Personnes!$D$5:$D$154,0))))),""))</f>
        <v/>
      </c>
      <c r="D268" s="10" t="str">
        <f>IFERROR(INDEX(Personnes!$C$5:$C$154,MATCH($C268,Personnes!$B$5:$B$154,0))&amp;"","")</f>
        <v/>
      </c>
      <c r="E268" s="10" t="str">
        <f>IFERROR(INDEX(Personnes!$D$5:$D$154,MATCH($C268,Personnes!$B$5:$B$154,0))&amp;"","")</f>
        <v/>
      </c>
      <c r="F268" s="15"/>
      <c r="G268" s="9"/>
      <c r="H268" s="10" t="str">
        <f>IF($B268="","",IF($C268="","apnéiste non reconnu",IF($A268="","séance non renseignée",IF(COUNTIFS($A$5:$A$504,$A268,$C$5:$C$504,$C268)&gt;1,"doublon séance / apnéiste",IF(OR($C268=IFERROR(INDEX('Calendrier'!$K$5:$K$5,MATCH($A268,'Calendrier'!$A$5:$A$5,0)),""),$C268=IFERROR(INDEX('Calendrier'!$O$5:$O$5,MATCH($A268,'Calendrier'!$A$5:$A$5,0)),"")),"encadrant et élève sur la même séance",IF(IFERROR(INDEX(Personnes!$H$5:$H$154,MATCH($C268,Personnes!$B$5:$B$154,0)),"")&lt;&gt;"oui","invité (hors ligne)","ok"))))))</f>
        <v/>
      </c>
    </row>
    <row r="269" spans="1:8" x14ac:dyDescent="0.2">
      <c r="A269" s="15"/>
      <c r="B269" s="15"/>
      <c r="C269" s="10" t="str">
        <f>IF($B269="","",IFERROR(IF(ISNUMBER(FIND("[",$B269)),MID($B269,FIND("[",$B269)+1,FIND("]",$B269)-FIND("[",$B269)-1),IF(ISNUMBER($B269),INDEX(Personnes!$B$5:$B$154,MATCH($B269,Personnes!$A$5:$A$154,0)),IFERROR(INDEX(Personnes!$B$5:$B$154,MATCH($B269&amp;"*",Personnes!$C$5:$C$154,0)),INDEX(Personnes!$B$5:$B$154,MATCH($B269&amp;"*",Personnes!$D$5:$D$154,0))))),""))</f>
        <v/>
      </c>
      <c r="D269" s="10" t="str">
        <f>IFERROR(INDEX(Personnes!$C$5:$C$154,MATCH($C269,Personnes!$B$5:$B$154,0))&amp;"","")</f>
        <v/>
      </c>
      <c r="E269" s="10" t="str">
        <f>IFERROR(INDEX(Personnes!$D$5:$D$154,MATCH($C269,Personnes!$B$5:$B$154,0))&amp;"","")</f>
        <v/>
      </c>
      <c r="F269" s="15"/>
      <c r="G269" s="9"/>
      <c r="H269" s="10" t="str">
        <f>IF($B269="","",IF($C269="","apnéiste non reconnu",IF($A269="","séance non renseignée",IF(COUNTIFS($A$5:$A$504,$A269,$C$5:$C$504,$C269)&gt;1,"doublon séance / apnéiste",IF(OR($C269=IFERROR(INDEX('Calendrier'!$K$5:$K$5,MATCH($A269,'Calendrier'!$A$5:$A$5,0)),""),$C269=IFERROR(INDEX('Calendrier'!$O$5:$O$5,MATCH($A269,'Calendrier'!$A$5:$A$5,0)),"")),"encadrant et élève sur la même séance",IF(IFERROR(INDEX(Personnes!$H$5:$H$154,MATCH($C269,Personnes!$B$5:$B$154,0)),"")&lt;&gt;"oui","invité (hors ligne)","ok"))))))</f>
        <v/>
      </c>
    </row>
    <row r="270" spans="1:8" x14ac:dyDescent="0.2">
      <c r="A270" s="15"/>
      <c r="B270" s="15"/>
      <c r="C270" s="10" t="str">
        <f>IF($B270="","",IFERROR(IF(ISNUMBER(FIND("[",$B270)),MID($B270,FIND("[",$B270)+1,FIND("]",$B270)-FIND("[",$B270)-1),IF(ISNUMBER($B270),INDEX(Personnes!$B$5:$B$154,MATCH($B270,Personnes!$A$5:$A$154,0)),IFERROR(INDEX(Personnes!$B$5:$B$154,MATCH($B270&amp;"*",Personnes!$C$5:$C$154,0)),INDEX(Personnes!$B$5:$B$154,MATCH($B270&amp;"*",Personnes!$D$5:$D$154,0))))),""))</f>
        <v/>
      </c>
      <c r="D270" s="10" t="str">
        <f>IFERROR(INDEX(Personnes!$C$5:$C$154,MATCH($C270,Personnes!$B$5:$B$154,0))&amp;"","")</f>
        <v/>
      </c>
      <c r="E270" s="10" t="str">
        <f>IFERROR(INDEX(Personnes!$D$5:$D$154,MATCH($C270,Personnes!$B$5:$B$154,0))&amp;"","")</f>
        <v/>
      </c>
      <c r="F270" s="15"/>
      <c r="G270" s="9"/>
      <c r="H270" s="10" t="str">
        <f>IF($B270="","",IF($C270="","apnéiste non reconnu",IF($A270="","séance non renseignée",IF(COUNTIFS($A$5:$A$504,$A270,$C$5:$C$504,$C270)&gt;1,"doublon séance / apnéiste",IF(OR($C270=IFERROR(INDEX('Calendrier'!$K$5:$K$5,MATCH($A270,'Calendrier'!$A$5:$A$5,0)),""),$C270=IFERROR(INDEX('Calendrier'!$O$5:$O$5,MATCH($A270,'Calendrier'!$A$5:$A$5,0)),"")),"encadrant et élève sur la même séance",IF(IFERROR(INDEX(Personnes!$H$5:$H$154,MATCH($C270,Personnes!$B$5:$B$154,0)),"")&lt;&gt;"oui","invité (hors ligne)","ok"))))))</f>
        <v/>
      </c>
    </row>
    <row r="271" spans="1:8" x14ac:dyDescent="0.2">
      <c r="A271" s="15"/>
      <c r="B271" s="15"/>
      <c r="C271" s="10" t="str">
        <f>IF($B271="","",IFERROR(IF(ISNUMBER(FIND("[",$B271)),MID($B271,FIND("[",$B271)+1,FIND("]",$B271)-FIND("[",$B271)-1),IF(ISNUMBER($B271),INDEX(Personnes!$B$5:$B$154,MATCH($B271,Personnes!$A$5:$A$154,0)),IFERROR(INDEX(Personnes!$B$5:$B$154,MATCH($B271&amp;"*",Personnes!$C$5:$C$154,0)),INDEX(Personnes!$B$5:$B$154,MATCH($B271&amp;"*",Personnes!$D$5:$D$154,0))))),""))</f>
        <v/>
      </c>
      <c r="D271" s="10" t="str">
        <f>IFERROR(INDEX(Personnes!$C$5:$C$154,MATCH($C271,Personnes!$B$5:$B$154,0))&amp;"","")</f>
        <v/>
      </c>
      <c r="E271" s="10" t="str">
        <f>IFERROR(INDEX(Personnes!$D$5:$D$154,MATCH($C271,Personnes!$B$5:$B$154,0))&amp;"","")</f>
        <v/>
      </c>
      <c r="F271" s="15"/>
      <c r="G271" s="9"/>
      <c r="H271" s="10" t="str">
        <f>IF($B271="","",IF($C271="","apnéiste non reconnu",IF($A271="","séance non renseignée",IF(COUNTIFS($A$5:$A$504,$A271,$C$5:$C$504,$C271)&gt;1,"doublon séance / apnéiste",IF(OR($C271=IFERROR(INDEX('Calendrier'!$K$5:$K$5,MATCH($A271,'Calendrier'!$A$5:$A$5,0)),""),$C271=IFERROR(INDEX('Calendrier'!$O$5:$O$5,MATCH($A271,'Calendrier'!$A$5:$A$5,0)),"")),"encadrant et élève sur la même séance",IF(IFERROR(INDEX(Personnes!$H$5:$H$154,MATCH($C271,Personnes!$B$5:$B$154,0)),"")&lt;&gt;"oui","invité (hors ligne)","ok"))))))</f>
        <v/>
      </c>
    </row>
    <row r="272" spans="1:8" x14ac:dyDescent="0.2">
      <c r="A272" s="15"/>
      <c r="B272" s="15"/>
      <c r="C272" s="10" t="str">
        <f>IF($B272="","",IFERROR(IF(ISNUMBER(FIND("[",$B272)),MID($B272,FIND("[",$B272)+1,FIND("]",$B272)-FIND("[",$B272)-1),IF(ISNUMBER($B272),INDEX(Personnes!$B$5:$B$154,MATCH($B272,Personnes!$A$5:$A$154,0)),IFERROR(INDEX(Personnes!$B$5:$B$154,MATCH($B272&amp;"*",Personnes!$C$5:$C$154,0)),INDEX(Personnes!$B$5:$B$154,MATCH($B272&amp;"*",Personnes!$D$5:$D$154,0))))),""))</f>
        <v/>
      </c>
      <c r="D272" s="10" t="str">
        <f>IFERROR(INDEX(Personnes!$C$5:$C$154,MATCH($C272,Personnes!$B$5:$B$154,0))&amp;"","")</f>
        <v/>
      </c>
      <c r="E272" s="10" t="str">
        <f>IFERROR(INDEX(Personnes!$D$5:$D$154,MATCH($C272,Personnes!$B$5:$B$154,0))&amp;"","")</f>
        <v/>
      </c>
      <c r="F272" s="15"/>
      <c r="G272" s="9"/>
      <c r="H272" s="10" t="str">
        <f>IF($B272="","",IF($C272="","apnéiste non reconnu",IF($A272="","séance non renseignée",IF(COUNTIFS($A$5:$A$504,$A272,$C$5:$C$504,$C272)&gt;1,"doublon séance / apnéiste",IF(OR($C272=IFERROR(INDEX('Calendrier'!$K$5:$K$5,MATCH($A272,'Calendrier'!$A$5:$A$5,0)),""),$C272=IFERROR(INDEX('Calendrier'!$O$5:$O$5,MATCH($A272,'Calendrier'!$A$5:$A$5,0)),"")),"encadrant et élève sur la même séance",IF(IFERROR(INDEX(Personnes!$H$5:$H$154,MATCH($C272,Personnes!$B$5:$B$154,0)),"")&lt;&gt;"oui","invité (hors ligne)","ok"))))))</f>
        <v/>
      </c>
    </row>
    <row r="273" spans="1:8" x14ac:dyDescent="0.2">
      <c r="A273" s="15"/>
      <c r="B273" s="15"/>
      <c r="C273" s="10" t="str">
        <f>IF($B273="","",IFERROR(IF(ISNUMBER(FIND("[",$B273)),MID($B273,FIND("[",$B273)+1,FIND("]",$B273)-FIND("[",$B273)-1),IF(ISNUMBER($B273),INDEX(Personnes!$B$5:$B$154,MATCH($B273,Personnes!$A$5:$A$154,0)),IFERROR(INDEX(Personnes!$B$5:$B$154,MATCH($B273&amp;"*",Personnes!$C$5:$C$154,0)),INDEX(Personnes!$B$5:$B$154,MATCH($B273&amp;"*",Personnes!$D$5:$D$154,0))))),""))</f>
        <v/>
      </c>
      <c r="D273" s="10" t="str">
        <f>IFERROR(INDEX(Personnes!$C$5:$C$154,MATCH($C273,Personnes!$B$5:$B$154,0))&amp;"","")</f>
        <v/>
      </c>
      <c r="E273" s="10" t="str">
        <f>IFERROR(INDEX(Personnes!$D$5:$D$154,MATCH($C273,Personnes!$B$5:$B$154,0))&amp;"","")</f>
        <v/>
      </c>
      <c r="F273" s="15"/>
      <c r="G273" s="9"/>
      <c r="H273" s="10" t="str">
        <f>IF($B273="","",IF($C273="","apnéiste non reconnu",IF($A273="","séance non renseignée",IF(COUNTIFS($A$5:$A$504,$A273,$C$5:$C$504,$C273)&gt;1,"doublon séance / apnéiste",IF(OR($C273=IFERROR(INDEX('Calendrier'!$K$5:$K$5,MATCH($A273,'Calendrier'!$A$5:$A$5,0)),""),$C273=IFERROR(INDEX('Calendrier'!$O$5:$O$5,MATCH($A273,'Calendrier'!$A$5:$A$5,0)),"")),"encadrant et élève sur la même séance",IF(IFERROR(INDEX(Personnes!$H$5:$H$154,MATCH($C273,Personnes!$B$5:$B$154,0)),"")&lt;&gt;"oui","invité (hors ligne)","ok"))))))</f>
        <v/>
      </c>
    </row>
    <row r="274" spans="1:8" x14ac:dyDescent="0.2">
      <c r="A274" s="15"/>
      <c r="B274" s="15"/>
      <c r="C274" s="10" t="str">
        <f>IF($B274="","",IFERROR(IF(ISNUMBER(FIND("[",$B274)),MID($B274,FIND("[",$B274)+1,FIND("]",$B274)-FIND("[",$B274)-1),IF(ISNUMBER($B274),INDEX(Personnes!$B$5:$B$154,MATCH($B274,Personnes!$A$5:$A$154,0)),IFERROR(INDEX(Personnes!$B$5:$B$154,MATCH($B274&amp;"*",Personnes!$C$5:$C$154,0)),INDEX(Personnes!$B$5:$B$154,MATCH($B274&amp;"*",Personnes!$D$5:$D$154,0))))),""))</f>
        <v/>
      </c>
      <c r="D274" s="10" t="str">
        <f>IFERROR(INDEX(Personnes!$C$5:$C$154,MATCH($C274,Personnes!$B$5:$B$154,0))&amp;"","")</f>
        <v/>
      </c>
      <c r="E274" s="10" t="str">
        <f>IFERROR(INDEX(Personnes!$D$5:$D$154,MATCH($C274,Personnes!$B$5:$B$154,0))&amp;"","")</f>
        <v/>
      </c>
      <c r="F274" s="15"/>
      <c r="G274" s="9"/>
      <c r="H274" s="10" t="str">
        <f>IF($B274="","",IF($C274="","apnéiste non reconnu",IF($A274="","séance non renseignée",IF(COUNTIFS($A$5:$A$504,$A274,$C$5:$C$504,$C274)&gt;1,"doublon séance / apnéiste",IF(OR($C274=IFERROR(INDEX('Calendrier'!$K$5:$K$5,MATCH($A274,'Calendrier'!$A$5:$A$5,0)),""),$C274=IFERROR(INDEX('Calendrier'!$O$5:$O$5,MATCH($A274,'Calendrier'!$A$5:$A$5,0)),"")),"encadrant et élève sur la même séance",IF(IFERROR(INDEX(Personnes!$H$5:$H$154,MATCH($C274,Personnes!$B$5:$B$154,0)),"")&lt;&gt;"oui","invité (hors ligne)","ok"))))))</f>
        <v/>
      </c>
    </row>
    <row r="275" spans="1:8" x14ac:dyDescent="0.2">
      <c r="A275" s="15"/>
      <c r="B275" s="15"/>
      <c r="C275" s="10" t="str">
        <f>IF($B275="","",IFERROR(IF(ISNUMBER(FIND("[",$B275)),MID($B275,FIND("[",$B275)+1,FIND("]",$B275)-FIND("[",$B275)-1),IF(ISNUMBER($B275),INDEX(Personnes!$B$5:$B$154,MATCH($B275,Personnes!$A$5:$A$154,0)),IFERROR(INDEX(Personnes!$B$5:$B$154,MATCH($B275&amp;"*",Personnes!$C$5:$C$154,0)),INDEX(Personnes!$B$5:$B$154,MATCH($B275&amp;"*",Personnes!$D$5:$D$154,0))))),""))</f>
        <v/>
      </c>
      <c r="D275" s="10" t="str">
        <f>IFERROR(INDEX(Personnes!$C$5:$C$154,MATCH($C275,Personnes!$B$5:$B$154,0))&amp;"","")</f>
        <v/>
      </c>
      <c r="E275" s="10" t="str">
        <f>IFERROR(INDEX(Personnes!$D$5:$D$154,MATCH($C275,Personnes!$B$5:$B$154,0))&amp;"","")</f>
        <v/>
      </c>
      <c r="F275" s="15"/>
      <c r="G275" s="9"/>
      <c r="H275" s="10" t="str">
        <f>IF($B275="","",IF($C275="","apnéiste non reconnu",IF($A275="","séance non renseignée",IF(COUNTIFS($A$5:$A$504,$A275,$C$5:$C$504,$C275)&gt;1,"doublon séance / apnéiste",IF(OR($C275=IFERROR(INDEX('Calendrier'!$K$5:$K$5,MATCH($A275,'Calendrier'!$A$5:$A$5,0)),""),$C275=IFERROR(INDEX('Calendrier'!$O$5:$O$5,MATCH($A275,'Calendrier'!$A$5:$A$5,0)),"")),"encadrant et élève sur la même séance",IF(IFERROR(INDEX(Personnes!$H$5:$H$154,MATCH($C275,Personnes!$B$5:$B$154,0)),"")&lt;&gt;"oui","invité (hors ligne)","ok"))))))</f>
        <v/>
      </c>
    </row>
    <row r="276" spans="1:8" x14ac:dyDescent="0.2">
      <c r="A276" s="15"/>
      <c r="B276" s="15"/>
      <c r="C276" s="10" t="str">
        <f>IF($B276="","",IFERROR(IF(ISNUMBER(FIND("[",$B276)),MID($B276,FIND("[",$B276)+1,FIND("]",$B276)-FIND("[",$B276)-1),IF(ISNUMBER($B276),INDEX(Personnes!$B$5:$B$154,MATCH($B276,Personnes!$A$5:$A$154,0)),IFERROR(INDEX(Personnes!$B$5:$B$154,MATCH($B276&amp;"*",Personnes!$C$5:$C$154,0)),INDEX(Personnes!$B$5:$B$154,MATCH($B276&amp;"*",Personnes!$D$5:$D$154,0))))),""))</f>
        <v/>
      </c>
      <c r="D276" s="10" t="str">
        <f>IFERROR(INDEX(Personnes!$C$5:$C$154,MATCH($C276,Personnes!$B$5:$B$154,0))&amp;"","")</f>
        <v/>
      </c>
      <c r="E276" s="10" t="str">
        <f>IFERROR(INDEX(Personnes!$D$5:$D$154,MATCH($C276,Personnes!$B$5:$B$154,0))&amp;"","")</f>
        <v/>
      </c>
      <c r="F276" s="15"/>
      <c r="G276" s="9"/>
      <c r="H276" s="10" t="str">
        <f>IF($B276="","",IF($C276="","apnéiste non reconnu",IF($A276="","séance non renseignée",IF(COUNTIFS($A$5:$A$504,$A276,$C$5:$C$504,$C276)&gt;1,"doublon séance / apnéiste",IF(OR($C276=IFERROR(INDEX('Calendrier'!$K$5:$K$5,MATCH($A276,'Calendrier'!$A$5:$A$5,0)),""),$C276=IFERROR(INDEX('Calendrier'!$O$5:$O$5,MATCH($A276,'Calendrier'!$A$5:$A$5,0)),"")),"encadrant et élève sur la même séance",IF(IFERROR(INDEX(Personnes!$H$5:$H$154,MATCH($C276,Personnes!$B$5:$B$154,0)),"")&lt;&gt;"oui","invité (hors ligne)","ok"))))))</f>
        <v/>
      </c>
    </row>
    <row r="277" spans="1:8" x14ac:dyDescent="0.2">
      <c r="A277" s="15"/>
      <c r="B277" s="15"/>
      <c r="C277" s="10" t="str">
        <f>IF($B277="","",IFERROR(IF(ISNUMBER(FIND("[",$B277)),MID($B277,FIND("[",$B277)+1,FIND("]",$B277)-FIND("[",$B277)-1),IF(ISNUMBER($B277),INDEX(Personnes!$B$5:$B$154,MATCH($B277,Personnes!$A$5:$A$154,0)),IFERROR(INDEX(Personnes!$B$5:$B$154,MATCH($B277&amp;"*",Personnes!$C$5:$C$154,0)),INDEX(Personnes!$B$5:$B$154,MATCH($B277&amp;"*",Personnes!$D$5:$D$154,0))))),""))</f>
        <v/>
      </c>
      <c r="D277" s="10" t="str">
        <f>IFERROR(INDEX(Personnes!$C$5:$C$154,MATCH($C277,Personnes!$B$5:$B$154,0))&amp;"","")</f>
        <v/>
      </c>
      <c r="E277" s="10" t="str">
        <f>IFERROR(INDEX(Personnes!$D$5:$D$154,MATCH($C277,Personnes!$B$5:$B$154,0))&amp;"","")</f>
        <v/>
      </c>
      <c r="F277" s="15"/>
      <c r="G277" s="9"/>
      <c r="H277" s="10" t="str">
        <f>IF($B277="","",IF($C277="","apnéiste non reconnu",IF($A277="","séance non renseignée",IF(COUNTIFS($A$5:$A$504,$A277,$C$5:$C$504,$C277)&gt;1,"doublon séance / apnéiste",IF(OR($C277=IFERROR(INDEX('Calendrier'!$K$5:$K$5,MATCH($A277,'Calendrier'!$A$5:$A$5,0)),""),$C277=IFERROR(INDEX('Calendrier'!$O$5:$O$5,MATCH($A277,'Calendrier'!$A$5:$A$5,0)),"")),"encadrant et élève sur la même séance",IF(IFERROR(INDEX(Personnes!$H$5:$H$154,MATCH($C277,Personnes!$B$5:$B$154,0)),"")&lt;&gt;"oui","invité (hors ligne)","ok"))))))</f>
        <v/>
      </c>
    </row>
    <row r="278" spans="1:8" x14ac:dyDescent="0.2">
      <c r="A278" s="15"/>
      <c r="B278" s="15"/>
      <c r="C278" s="10" t="str">
        <f>IF($B278="","",IFERROR(IF(ISNUMBER(FIND("[",$B278)),MID($B278,FIND("[",$B278)+1,FIND("]",$B278)-FIND("[",$B278)-1),IF(ISNUMBER($B278),INDEX(Personnes!$B$5:$B$154,MATCH($B278,Personnes!$A$5:$A$154,0)),IFERROR(INDEX(Personnes!$B$5:$B$154,MATCH($B278&amp;"*",Personnes!$C$5:$C$154,0)),INDEX(Personnes!$B$5:$B$154,MATCH($B278&amp;"*",Personnes!$D$5:$D$154,0))))),""))</f>
        <v/>
      </c>
      <c r="D278" s="10" t="str">
        <f>IFERROR(INDEX(Personnes!$C$5:$C$154,MATCH($C278,Personnes!$B$5:$B$154,0))&amp;"","")</f>
        <v/>
      </c>
      <c r="E278" s="10" t="str">
        <f>IFERROR(INDEX(Personnes!$D$5:$D$154,MATCH($C278,Personnes!$B$5:$B$154,0))&amp;"","")</f>
        <v/>
      </c>
      <c r="F278" s="15"/>
      <c r="G278" s="9"/>
      <c r="H278" s="10" t="str">
        <f>IF($B278="","",IF($C278="","apnéiste non reconnu",IF($A278="","séance non renseignée",IF(COUNTIFS($A$5:$A$504,$A278,$C$5:$C$504,$C278)&gt;1,"doublon séance / apnéiste",IF(OR($C278=IFERROR(INDEX('Calendrier'!$K$5:$K$5,MATCH($A278,'Calendrier'!$A$5:$A$5,0)),""),$C278=IFERROR(INDEX('Calendrier'!$O$5:$O$5,MATCH($A278,'Calendrier'!$A$5:$A$5,0)),"")),"encadrant et élève sur la même séance",IF(IFERROR(INDEX(Personnes!$H$5:$H$154,MATCH($C278,Personnes!$B$5:$B$154,0)),"")&lt;&gt;"oui","invité (hors ligne)","ok"))))))</f>
        <v/>
      </c>
    </row>
    <row r="279" spans="1:8" x14ac:dyDescent="0.2">
      <c r="A279" s="15"/>
      <c r="B279" s="15"/>
      <c r="C279" s="10" t="str">
        <f>IF($B279="","",IFERROR(IF(ISNUMBER(FIND("[",$B279)),MID($B279,FIND("[",$B279)+1,FIND("]",$B279)-FIND("[",$B279)-1),IF(ISNUMBER($B279),INDEX(Personnes!$B$5:$B$154,MATCH($B279,Personnes!$A$5:$A$154,0)),IFERROR(INDEX(Personnes!$B$5:$B$154,MATCH($B279&amp;"*",Personnes!$C$5:$C$154,0)),INDEX(Personnes!$B$5:$B$154,MATCH($B279&amp;"*",Personnes!$D$5:$D$154,0))))),""))</f>
        <v/>
      </c>
      <c r="D279" s="10" t="str">
        <f>IFERROR(INDEX(Personnes!$C$5:$C$154,MATCH($C279,Personnes!$B$5:$B$154,0))&amp;"","")</f>
        <v/>
      </c>
      <c r="E279" s="10" t="str">
        <f>IFERROR(INDEX(Personnes!$D$5:$D$154,MATCH($C279,Personnes!$B$5:$B$154,0))&amp;"","")</f>
        <v/>
      </c>
      <c r="F279" s="15"/>
      <c r="G279" s="9"/>
      <c r="H279" s="10" t="str">
        <f>IF($B279="","",IF($C279="","apnéiste non reconnu",IF($A279="","séance non renseignée",IF(COUNTIFS($A$5:$A$504,$A279,$C$5:$C$504,$C279)&gt;1,"doublon séance / apnéiste",IF(OR($C279=IFERROR(INDEX('Calendrier'!$K$5:$K$5,MATCH($A279,'Calendrier'!$A$5:$A$5,0)),""),$C279=IFERROR(INDEX('Calendrier'!$O$5:$O$5,MATCH($A279,'Calendrier'!$A$5:$A$5,0)),"")),"encadrant et élève sur la même séance",IF(IFERROR(INDEX(Personnes!$H$5:$H$154,MATCH($C279,Personnes!$B$5:$B$154,0)),"")&lt;&gt;"oui","invité (hors ligne)","ok"))))))</f>
        <v/>
      </c>
    </row>
    <row r="280" spans="1:8" x14ac:dyDescent="0.2">
      <c r="A280" s="15"/>
      <c r="B280" s="15"/>
      <c r="C280" s="10" t="str">
        <f>IF($B280="","",IFERROR(IF(ISNUMBER(FIND("[",$B280)),MID($B280,FIND("[",$B280)+1,FIND("]",$B280)-FIND("[",$B280)-1),IF(ISNUMBER($B280),INDEX(Personnes!$B$5:$B$154,MATCH($B280,Personnes!$A$5:$A$154,0)),IFERROR(INDEX(Personnes!$B$5:$B$154,MATCH($B280&amp;"*",Personnes!$C$5:$C$154,0)),INDEX(Personnes!$B$5:$B$154,MATCH($B280&amp;"*",Personnes!$D$5:$D$154,0))))),""))</f>
        <v/>
      </c>
      <c r="D280" s="10" t="str">
        <f>IFERROR(INDEX(Personnes!$C$5:$C$154,MATCH($C280,Personnes!$B$5:$B$154,0))&amp;"","")</f>
        <v/>
      </c>
      <c r="E280" s="10" t="str">
        <f>IFERROR(INDEX(Personnes!$D$5:$D$154,MATCH($C280,Personnes!$B$5:$B$154,0))&amp;"","")</f>
        <v/>
      </c>
      <c r="F280" s="15"/>
      <c r="G280" s="9"/>
      <c r="H280" s="10" t="str">
        <f>IF($B280="","",IF($C280="","apnéiste non reconnu",IF($A280="","séance non renseignée",IF(COUNTIFS($A$5:$A$504,$A280,$C$5:$C$504,$C280)&gt;1,"doublon séance / apnéiste",IF(OR($C280=IFERROR(INDEX('Calendrier'!$K$5:$K$5,MATCH($A280,'Calendrier'!$A$5:$A$5,0)),""),$C280=IFERROR(INDEX('Calendrier'!$O$5:$O$5,MATCH($A280,'Calendrier'!$A$5:$A$5,0)),"")),"encadrant et élève sur la même séance",IF(IFERROR(INDEX(Personnes!$H$5:$H$154,MATCH($C280,Personnes!$B$5:$B$154,0)),"")&lt;&gt;"oui","invité (hors ligne)","ok"))))))</f>
        <v/>
      </c>
    </row>
    <row r="281" spans="1:8" x14ac:dyDescent="0.2">
      <c r="A281" s="15"/>
      <c r="B281" s="15"/>
      <c r="C281" s="10" t="str">
        <f>IF($B281="","",IFERROR(IF(ISNUMBER(FIND("[",$B281)),MID($B281,FIND("[",$B281)+1,FIND("]",$B281)-FIND("[",$B281)-1),IF(ISNUMBER($B281),INDEX(Personnes!$B$5:$B$154,MATCH($B281,Personnes!$A$5:$A$154,0)),IFERROR(INDEX(Personnes!$B$5:$B$154,MATCH($B281&amp;"*",Personnes!$C$5:$C$154,0)),INDEX(Personnes!$B$5:$B$154,MATCH($B281&amp;"*",Personnes!$D$5:$D$154,0))))),""))</f>
        <v/>
      </c>
      <c r="D281" s="10" t="str">
        <f>IFERROR(INDEX(Personnes!$C$5:$C$154,MATCH($C281,Personnes!$B$5:$B$154,0))&amp;"","")</f>
        <v/>
      </c>
      <c r="E281" s="10" t="str">
        <f>IFERROR(INDEX(Personnes!$D$5:$D$154,MATCH($C281,Personnes!$B$5:$B$154,0))&amp;"","")</f>
        <v/>
      </c>
      <c r="F281" s="15"/>
      <c r="G281" s="9"/>
      <c r="H281" s="10" t="str">
        <f>IF($B281="","",IF($C281="","apnéiste non reconnu",IF($A281="","séance non renseignée",IF(COUNTIFS($A$5:$A$504,$A281,$C$5:$C$504,$C281)&gt;1,"doublon séance / apnéiste",IF(OR($C281=IFERROR(INDEX('Calendrier'!$K$5:$K$5,MATCH($A281,'Calendrier'!$A$5:$A$5,0)),""),$C281=IFERROR(INDEX('Calendrier'!$O$5:$O$5,MATCH($A281,'Calendrier'!$A$5:$A$5,0)),"")),"encadrant et élève sur la même séance",IF(IFERROR(INDEX(Personnes!$H$5:$H$154,MATCH($C281,Personnes!$B$5:$B$154,0)),"")&lt;&gt;"oui","invité (hors ligne)","ok"))))))</f>
        <v/>
      </c>
    </row>
    <row r="282" spans="1:8" x14ac:dyDescent="0.2">
      <c r="A282" s="15"/>
      <c r="B282" s="15"/>
      <c r="C282" s="10" t="str">
        <f>IF($B282="","",IFERROR(IF(ISNUMBER(FIND("[",$B282)),MID($B282,FIND("[",$B282)+1,FIND("]",$B282)-FIND("[",$B282)-1),IF(ISNUMBER($B282),INDEX(Personnes!$B$5:$B$154,MATCH($B282,Personnes!$A$5:$A$154,0)),IFERROR(INDEX(Personnes!$B$5:$B$154,MATCH($B282&amp;"*",Personnes!$C$5:$C$154,0)),INDEX(Personnes!$B$5:$B$154,MATCH($B282&amp;"*",Personnes!$D$5:$D$154,0))))),""))</f>
        <v/>
      </c>
      <c r="D282" s="10" t="str">
        <f>IFERROR(INDEX(Personnes!$C$5:$C$154,MATCH($C282,Personnes!$B$5:$B$154,0))&amp;"","")</f>
        <v/>
      </c>
      <c r="E282" s="10" t="str">
        <f>IFERROR(INDEX(Personnes!$D$5:$D$154,MATCH($C282,Personnes!$B$5:$B$154,0))&amp;"","")</f>
        <v/>
      </c>
      <c r="F282" s="15"/>
      <c r="G282" s="9"/>
      <c r="H282" s="10" t="str">
        <f>IF($B282="","",IF($C282="","apnéiste non reconnu",IF($A282="","séance non renseignée",IF(COUNTIFS($A$5:$A$504,$A282,$C$5:$C$504,$C282)&gt;1,"doublon séance / apnéiste",IF(OR($C282=IFERROR(INDEX('Calendrier'!$K$5:$K$5,MATCH($A282,'Calendrier'!$A$5:$A$5,0)),""),$C282=IFERROR(INDEX('Calendrier'!$O$5:$O$5,MATCH($A282,'Calendrier'!$A$5:$A$5,0)),"")),"encadrant et élève sur la même séance",IF(IFERROR(INDEX(Personnes!$H$5:$H$154,MATCH($C282,Personnes!$B$5:$B$154,0)),"")&lt;&gt;"oui","invité (hors ligne)","ok"))))))</f>
        <v/>
      </c>
    </row>
    <row r="283" spans="1:8" x14ac:dyDescent="0.2">
      <c r="A283" s="15"/>
      <c r="B283" s="15"/>
      <c r="C283" s="10" t="str">
        <f>IF($B283="","",IFERROR(IF(ISNUMBER(FIND("[",$B283)),MID($B283,FIND("[",$B283)+1,FIND("]",$B283)-FIND("[",$B283)-1),IF(ISNUMBER($B283),INDEX(Personnes!$B$5:$B$154,MATCH($B283,Personnes!$A$5:$A$154,0)),IFERROR(INDEX(Personnes!$B$5:$B$154,MATCH($B283&amp;"*",Personnes!$C$5:$C$154,0)),INDEX(Personnes!$B$5:$B$154,MATCH($B283&amp;"*",Personnes!$D$5:$D$154,0))))),""))</f>
        <v/>
      </c>
      <c r="D283" s="10" t="str">
        <f>IFERROR(INDEX(Personnes!$C$5:$C$154,MATCH($C283,Personnes!$B$5:$B$154,0))&amp;"","")</f>
        <v/>
      </c>
      <c r="E283" s="10" t="str">
        <f>IFERROR(INDEX(Personnes!$D$5:$D$154,MATCH($C283,Personnes!$B$5:$B$154,0))&amp;"","")</f>
        <v/>
      </c>
      <c r="F283" s="15"/>
      <c r="G283" s="9"/>
      <c r="H283" s="10" t="str">
        <f>IF($B283="","",IF($C283="","apnéiste non reconnu",IF($A283="","séance non renseignée",IF(COUNTIFS($A$5:$A$504,$A283,$C$5:$C$504,$C283)&gt;1,"doublon séance / apnéiste",IF(OR($C283=IFERROR(INDEX('Calendrier'!$K$5:$K$5,MATCH($A283,'Calendrier'!$A$5:$A$5,0)),""),$C283=IFERROR(INDEX('Calendrier'!$O$5:$O$5,MATCH($A283,'Calendrier'!$A$5:$A$5,0)),"")),"encadrant et élève sur la même séance",IF(IFERROR(INDEX(Personnes!$H$5:$H$154,MATCH($C283,Personnes!$B$5:$B$154,0)),"")&lt;&gt;"oui","invité (hors ligne)","ok"))))))</f>
        <v/>
      </c>
    </row>
    <row r="284" spans="1:8" x14ac:dyDescent="0.2">
      <c r="A284" s="15"/>
      <c r="B284" s="15"/>
      <c r="C284" s="10" t="str">
        <f>IF($B284="","",IFERROR(IF(ISNUMBER(FIND("[",$B284)),MID($B284,FIND("[",$B284)+1,FIND("]",$B284)-FIND("[",$B284)-1),IF(ISNUMBER($B284),INDEX(Personnes!$B$5:$B$154,MATCH($B284,Personnes!$A$5:$A$154,0)),IFERROR(INDEX(Personnes!$B$5:$B$154,MATCH($B284&amp;"*",Personnes!$C$5:$C$154,0)),INDEX(Personnes!$B$5:$B$154,MATCH($B284&amp;"*",Personnes!$D$5:$D$154,0))))),""))</f>
        <v/>
      </c>
      <c r="D284" s="10" t="str">
        <f>IFERROR(INDEX(Personnes!$C$5:$C$154,MATCH($C284,Personnes!$B$5:$B$154,0))&amp;"","")</f>
        <v/>
      </c>
      <c r="E284" s="10" t="str">
        <f>IFERROR(INDEX(Personnes!$D$5:$D$154,MATCH($C284,Personnes!$B$5:$B$154,0))&amp;"","")</f>
        <v/>
      </c>
      <c r="F284" s="15"/>
      <c r="G284" s="9"/>
      <c r="H284" s="10" t="str">
        <f>IF($B284="","",IF($C284="","apnéiste non reconnu",IF($A284="","séance non renseignée",IF(COUNTIFS($A$5:$A$504,$A284,$C$5:$C$504,$C284)&gt;1,"doublon séance / apnéiste",IF(OR($C284=IFERROR(INDEX('Calendrier'!$K$5:$K$5,MATCH($A284,'Calendrier'!$A$5:$A$5,0)),""),$C284=IFERROR(INDEX('Calendrier'!$O$5:$O$5,MATCH($A284,'Calendrier'!$A$5:$A$5,0)),"")),"encadrant et élève sur la même séance",IF(IFERROR(INDEX(Personnes!$H$5:$H$154,MATCH($C284,Personnes!$B$5:$B$154,0)),"")&lt;&gt;"oui","invité (hors ligne)","ok"))))))</f>
        <v/>
      </c>
    </row>
    <row r="285" spans="1:8" x14ac:dyDescent="0.2">
      <c r="A285" s="15"/>
      <c r="B285" s="15"/>
      <c r="C285" s="10" t="str">
        <f>IF($B285="","",IFERROR(IF(ISNUMBER(FIND("[",$B285)),MID($B285,FIND("[",$B285)+1,FIND("]",$B285)-FIND("[",$B285)-1),IF(ISNUMBER($B285),INDEX(Personnes!$B$5:$B$154,MATCH($B285,Personnes!$A$5:$A$154,0)),IFERROR(INDEX(Personnes!$B$5:$B$154,MATCH($B285&amp;"*",Personnes!$C$5:$C$154,0)),INDEX(Personnes!$B$5:$B$154,MATCH($B285&amp;"*",Personnes!$D$5:$D$154,0))))),""))</f>
        <v/>
      </c>
      <c r="D285" s="10" t="str">
        <f>IFERROR(INDEX(Personnes!$C$5:$C$154,MATCH($C285,Personnes!$B$5:$B$154,0))&amp;"","")</f>
        <v/>
      </c>
      <c r="E285" s="10" t="str">
        <f>IFERROR(INDEX(Personnes!$D$5:$D$154,MATCH($C285,Personnes!$B$5:$B$154,0))&amp;"","")</f>
        <v/>
      </c>
      <c r="F285" s="15"/>
      <c r="G285" s="9"/>
      <c r="H285" s="10" t="str">
        <f>IF($B285="","",IF($C285="","apnéiste non reconnu",IF($A285="","séance non renseignée",IF(COUNTIFS($A$5:$A$504,$A285,$C$5:$C$504,$C285)&gt;1,"doublon séance / apnéiste",IF(OR($C285=IFERROR(INDEX('Calendrier'!$K$5:$K$5,MATCH($A285,'Calendrier'!$A$5:$A$5,0)),""),$C285=IFERROR(INDEX('Calendrier'!$O$5:$O$5,MATCH($A285,'Calendrier'!$A$5:$A$5,0)),"")),"encadrant et élève sur la même séance",IF(IFERROR(INDEX(Personnes!$H$5:$H$154,MATCH($C285,Personnes!$B$5:$B$154,0)),"")&lt;&gt;"oui","invité (hors ligne)","ok"))))))</f>
        <v/>
      </c>
    </row>
    <row r="286" spans="1:8" x14ac:dyDescent="0.2">
      <c r="A286" s="15"/>
      <c r="B286" s="15"/>
      <c r="C286" s="10" t="str">
        <f>IF($B286="","",IFERROR(IF(ISNUMBER(FIND("[",$B286)),MID($B286,FIND("[",$B286)+1,FIND("]",$B286)-FIND("[",$B286)-1),IF(ISNUMBER($B286),INDEX(Personnes!$B$5:$B$154,MATCH($B286,Personnes!$A$5:$A$154,0)),IFERROR(INDEX(Personnes!$B$5:$B$154,MATCH($B286&amp;"*",Personnes!$C$5:$C$154,0)),INDEX(Personnes!$B$5:$B$154,MATCH($B286&amp;"*",Personnes!$D$5:$D$154,0))))),""))</f>
        <v/>
      </c>
      <c r="D286" s="10" t="str">
        <f>IFERROR(INDEX(Personnes!$C$5:$C$154,MATCH($C286,Personnes!$B$5:$B$154,0))&amp;"","")</f>
        <v/>
      </c>
      <c r="E286" s="10" t="str">
        <f>IFERROR(INDEX(Personnes!$D$5:$D$154,MATCH($C286,Personnes!$B$5:$B$154,0))&amp;"","")</f>
        <v/>
      </c>
      <c r="F286" s="15"/>
      <c r="G286" s="9"/>
      <c r="H286" s="10" t="str">
        <f>IF($B286="","",IF($C286="","apnéiste non reconnu",IF($A286="","séance non renseignée",IF(COUNTIFS($A$5:$A$504,$A286,$C$5:$C$504,$C286)&gt;1,"doublon séance / apnéiste",IF(OR($C286=IFERROR(INDEX('Calendrier'!$K$5:$K$5,MATCH($A286,'Calendrier'!$A$5:$A$5,0)),""),$C286=IFERROR(INDEX('Calendrier'!$O$5:$O$5,MATCH($A286,'Calendrier'!$A$5:$A$5,0)),"")),"encadrant et élève sur la même séance",IF(IFERROR(INDEX(Personnes!$H$5:$H$154,MATCH($C286,Personnes!$B$5:$B$154,0)),"")&lt;&gt;"oui","invité (hors ligne)","ok"))))))</f>
        <v/>
      </c>
    </row>
    <row r="287" spans="1:8" x14ac:dyDescent="0.2">
      <c r="A287" s="15"/>
      <c r="B287" s="15"/>
      <c r="C287" s="10" t="str">
        <f>IF($B287="","",IFERROR(IF(ISNUMBER(FIND("[",$B287)),MID($B287,FIND("[",$B287)+1,FIND("]",$B287)-FIND("[",$B287)-1),IF(ISNUMBER($B287),INDEX(Personnes!$B$5:$B$154,MATCH($B287,Personnes!$A$5:$A$154,0)),IFERROR(INDEX(Personnes!$B$5:$B$154,MATCH($B287&amp;"*",Personnes!$C$5:$C$154,0)),INDEX(Personnes!$B$5:$B$154,MATCH($B287&amp;"*",Personnes!$D$5:$D$154,0))))),""))</f>
        <v/>
      </c>
      <c r="D287" s="10" t="str">
        <f>IFERROR(INDEX(Personnes!$C$5:$C$154,MATCH($C287,Personnes!$B$5:$B$154,0))&amp;"","")</f>
        <v/>
      </c>
      <c r="E287" s="10" t="str">
        <f>IFERROR(INDEX(Personnes!$D$5:$D$154,MATCH($C287,Personnes!$B$5:$B$154,0))&amp;"","")</f>
        <v/>
      </c>
      <c r="F287" s="15"/>
      <c r="G287" s="9"/>
      <c r="H287" s="10" t="str">
        <f>IF($B287="","",IF($C287="","apnéiste non reconnu",IF($A287="","séance non renseignée",IF(COUNTIFS($A$5:$A$504,$A287,$C$5:$C$504,$C287)&gt;1,"doublon séance / apnéiste",IF(OR($C287=IFERROR(INDEX('Calendrier'!$K$5:$K$5,MATCH($A287,'Calendrier'!$A$5:$A$5,0)),""),$C287=IFERROR(INDEX('Calendrier'!$O$5:$O$5,MATCH($A287,'Calendrier'!$A$5:$A$5,0)),"")),"encadrant et élève sur la même séance",IF(IFERROR(INDEX(Personnes!$H$5:$H$154,MATCH($C287,Personnes!$B$5:$B$154,0)),"")&lt;&gt;"oui","invité (hors ligne)","ok"))))))</f>
        <v/>
      </c>
    </row>
    <row r="288" spans="1:8" x14ac:dyDescent="0.2">
      <c r="A288" s="15"/>
      <c r="B288" s="15"/>
      <c r="C288" s="10" t="str">
        <f>IF($B288="","",IFERROR(IF(ISNUMBER(FIND("[",$B288)),MID($B288,FIND("[",$B288)+1,FIND("]",$B288)-FIND("[",$B288)-1),IF(ISNUMBER($B288),INDEX(Personnes!$B$5:$B$154,MATCH($B288,Personnes!$A$5:$A$154,0)),IFERROR(INDEX(Personnes!$B$5:$B$154,MATCH($B288&amp;"*",Personnes!$C$5:$C$154,0)),INDEX(Personnes!$B$5:$B$154,MATCH($B288&amp;"*",Personnes!$D$5:$D$154,0))))),""))</f>
        <v/>
      </c>
      <c r="D288" s="10" t="str">
        <f>IFERROR(INDEX(Personnes!$C$5:$C$154,MATCH($C288,Personnes!$B$5:$B$154,0))&amp;"","")</f>
        <v/>
      </c>
      <c r="E288" s="10" t="str">
        <f>IFERROR(INDEX(Personnes!$D$5:$D$154,MATCH($C288,Personnes!$B$5:$B$154,0))&amp;"","")</f>
        <v/>
      </c>
      <c r="F288" s="15"/>
      <c r="G288" s="9"/>
      <c r="H288" s="10" t="str">
        <f>IF($B288="","",IF($C288="","apnéiste non reconnu",IF($A288="","séance non renseignée",IF(COUNTIFS($A$5:$A$504,$A288,$C$5:$C$504,$C288)&gt;1,"doublon séance / apnéiste",IF(OR($C288=IFERROR(INDEX('Calendrier'!$K$5:$K$5,MATCH($A288,'Calendrier'!$A$5:$A$5,0)),""),$C288=IFERROR(INDEX('Calendrier'!$O$5:$O$5,MATCH($A288,'Calendrier'!$A$5:$A$5,0)),"")),"encadrant et élève sur la même séance",IF(IFERROR(INDEX(Personnes!$H$5:$H$154,MATCH($C288,Personnes!$B$5:$B$154,0)),"")&lt;&gt;"oui","invité (hors ligne)","ok"))))))</f>
        <v/>
      </c>
    </row>
    <row r="289" spans="1:8" x14ac:dyDescent="0.2">
      <c r="A289" s="15"/>
      <c r="B289" s="15"/>
      <c r="C289" s="10" t="str">
        <f>IF($B289="","",IFERROR(IF(ISNUMBER(FIND("[",$B289)),MID($B289,FIND("[",$B289)+1,FIND("]",$B289)-FIND("[",$B289)-1),IF(ISNUMBER($B289),INDEX(Personnes!$B$5:$B$154,MATCH($B289,Personnes!$A$5:$A$154,0)),IFERROR(INDEX(Personnes!$B$5:$B$154,MATCH($B289&amp;"*",Personnes!$C$5:$C$154,0)),INDEX(Personnes!$B$5:$B$154,MATCH($B289&amp;"*",Personnes!$D$5:$D$154,0))))),""))</f>
        <v/>
      </c>
      <c r="D289" s="10" t="str">
        <f>IFERROR(INDEX(Personnes!$C$5:$C$154,MATCH($C289,Personnes!$B$5:$B$154,0))&amp;"","")</f>
        <v/>
      </c>
      <c r="E289" s="10" t="str">
        <f>IFERROR(INDEX(Personnes!$D$5:$D$154,MATCH($C289,Personnes!$B$5:$B$154,0))&amp;"","")</f>
        <v/>
      </c>
      <c r="F289" s="15"/>
      <c r="G289" s="9"/>
      <c r="H289" s="10" t="str">
        <f>IF($B289="","",IF($C289="","apnéiste non reconnu",IF($A289="","séance non renseignée",IF(COUNTIFS($A$5:$A$504,$A289,$C$5:$C$504,$C289)&gt;1,"doublon séance / apnéiste",IF(OR($C289=IFERROR(INDEX('Calendrier'!$K$5:$K$5,MATCH($A289,'Calendrier'!$A$5:$A$5,0)),""),$C289=IFERROR(INDEX('Calendrier'!$O$5:$O$5,MATCH($A289,'Calendrier'!$A$5:$A$5,0)),"")),"encadrant et élève sur la même séance",IF(IFERROR(INDEX(Personnes!$H$5:$H$154,MATCH($C289,Personnes!$B$5:$B$154,0)),"")&lt;&gt;"oui","invité (hors ligne)","ok"))))))</f>
        <v/>
      </c>
    </row>
    <row r="290" spans="1:8" x14ac:dyDescent="0.2">
      <c r="A290" s="15"/>
      <c r="B290" s="15"/>
      <c r="C290" s="10" t="str">
        <f>IF($B290="","",IFERROR(IF(ISNUMBER(FIND("[",$B290)),MID($B290,FIND("[",$B290)+1,FIND("]",$B290)-FIND("[",$B290)-1),IF(ISNUMBER($B290),INDEX(Personnes!$B$5:$B$154,MATCH($B290,Personnes!$A$5:$A$154,0)),IFERROR(INDEX(Personnes!$B$5:$B$154,MATCH($B290&amp;"*",Personnes!$C$5:$C$154,0)),INDEX(Personnes!$B$5:$B$154,MATCH($B290&amp;"*",Personnes!$D$5:$D$154,0))))),""))</f>
        <v/>
      </c>
      <c r="D290" s="10" t="str">
        <f>IFERROR(INDEX(Personnes!$C$5:$C$154,MATCH($C290,Personnes!$B$5:$B$154,0))&amp;"","")</f>
        <v/>
      </c>
      <c r="E290" s="10" t="str">
        <f>IFERROR(INDEX(Personnes!$D$5:$D$154,MATCH($C290,Personnes!$B$5:$B$154,0))&amp;"","")</f>
        <v/>
      </c>
      <c r="F290" s="15"/>
      <c r="G290" s="9"/>
      <c r="H290" s="10" t="str">
        <f>IF($B290="","",IF($C290="","apnéiste non reconnu",IF($A290="","séance non renseignée",IF(COUNTIFS($A$5:$A$504,$A290,$C$5:$C$504,$C290)&gt;1,"doublon séance / apnéiste",IF(OR($C290=IFERROR(INDEX('Calendrier'!$K$5:$K$5,MATCH($A290,'Calendrier'!$A$5:$A$5,0)),""),$C290=IFERROR(INDEX('Calendrier'!$O$5:$O$5,MATCH($A290,'Calendrier'!$A$5:$A$5,0)),"")),"encadrant et élève sur la même séance",IF(IFERROR(INDEX(Personnes!$H$5:$H$154,MATCH($C290,Personnes!$B$5:$B$154,0)),"")&lt;&gt;"oui","invité (hors ligne)","ok"))))))</f>
        <v/>
      </c>
    </row>
    <row r="291" spans="1:8" x14ac:dyDescent="0.2">
      <c r="A291" s="15"/>
      <c r="B291" s="15"/>
      <c r="C291" s="10" t="str">
        <f>IF($B291="","",IFERROR(IF(ISNUMBER(FIND("[",$B291)),MID($B291,FIND("[",$B291)+1,FIND("]",$B291)-FIND("[",$B291)-1),IF(ISNUMBER($B291),INDEX(Personnes!$B$5:$B$154,MATCH($B291,Personnes!$A$5:$A$154,0)),IFERROR(INDEX(Personnes!$B$5:$B$154,MATCH($B291&amp;"*",Personnes!$C$5:$C$154,0)),INDEX(Personnes!$B$5:$B$154,MATCH($B291&amp;"*",Personnes!$D$5:$D$154,0))))),""))</f>
        <v/>
      </c>
      <c r="D291" s="10" t="str">
        <f>IFERROR(INDEX(Personnes!$C$5:$C$154,MATCH($C291,Personnes!$B$5:$B$154,0))&amp;"","")</f>
        <v/>
      </c>
      <c r="E291" s="10" t="str">
        <f>IFERROR(INDEX(Personnes!$D$5:$D$154,MATCH($C291,Personnes!$B$5:$B$154,0))&amp;"","")</f>
        <v/>
      </c>
      <c r="F291" s="15"/>
      <c r="G291" s="9"/>
      <c r="H291" s="10" t="str">
        <f>IF($B291="","",IF($C291="","apnéiste non reconnu",IF($A291="","séance non renseignée",IF(COUNTIFS($A$5:$A$504,$A291,$C$5:$C$504,$C291)&gt;1,"doublon séance / apnéiste",IF(OR($C291=IFERROR(INDEX('Calendrier'!$K$5:$K$5,MATCH($A291,'Calendrier'!$A$5:$A$5,0)),""),$C291=IFERROR(INDEX('Calendrier'!$O$5:$O$5,MATCH($A291,'Calendrier'!$A$5:$A$5,0)),"")),"encadrant et élève sur la même séance",IF(IFERROR(INDEX(Personnes!$H$5:$H$154,MATCH($C291,Personnes!$B$5:$B$154,0)),"")&lt;&gt;"oui","invité (hors ligne)","ok"))))))</f>
        <v/>
      </c>
    </row>
    <row r="292" spans="1:8" x14ac:dyDescent="0.2">
      <c r="A292" s="15"/>
      <c r="B292" s="15"/>
      <c r="C292" s="10" t="str">
        <f>IF($B292="","",IFERROR(IF(ISNUMBER(FIND("[",$B292)),MID($B292,FIND("[",$B292)+1,FIND("]",$B292)-FIND("[",$B292)-1),IF(ISNUMBER($B292),INDEX(Personnes!$B$5:$B$154,MATCH($B292,Personnes!$A$5:$A$154,0)),IFERROR(INDEX(Personnes!$B$5:$B$154,MATCH($B292&amp;"*",Personnes!$C$5:$C$154,0)),INDEX(Personnes!$B$5:$B$154,MATCH($B292&amp;"*",Personnes!$D$5:$D$154,0))))),""))</f>
        <v/>
      </c>
      <c r="D292" s="10" t="str">
        <f>IFERROR(INDEX(Personnes!$C$5:$C$154,MATCH($C292,Personnes!$B$5:$B$154,0))&amp;"","")</f>
        <v/>
      </c>
      <c r="E292" s="10" t="str">
        <f>IFERROR(INDEX(Personnes!$D$5:$D$154,MATCH($C292,Personnes!$B$5:$B$154,0))&amp;"","")</f>
        <v/>
      </c>
      <c r="F292" s="15"/>
      <c r="G292" s="9"/>
      <c r="H292" s="10" t="str">
        <f>IF($B292="","",IF($C292="","apnéiste non reconnu",IF($A292="","séance non renseignée",IF(COUNTIFS($A$5:$A$504,$A292,$C$5:$C$504,$C292)&gt;1,"doublon séance / apnéiste",IF(OR($C292=IFERROR(INDEX('Calendrier'!$K$5:$K$5,MATCH($A292,'Calendrier'!$A$5:$A$5,0)),""),$C292=IFERROR(INDEX('Calendrier'!$O$5:$O$5,MATCH($A292,'Calendrier'!$A$5:$A$5,0)),"")),"encadrant et élève sur la même séance",IF(IFERROR(INDEX(Personnes!$H$5:$H$154,MATCH($C292,Personnes!$B$5:$B$154,0)),"")&lt;&gt;"oui","invité (hors ligne)","ok"))))))</f>
        <v/>
      </c>
    </row>
    <row r="293" spans="1:8" x14ac:dyDescent="0.2">
      <c r="A293" s="15"/>
      <c r="B293" s="15"/>
      <c r="C293" s="10" t="str">
        <f>IF($B293="","",IFERROR(IF(ISNUMBER(FIND("[",$B293)),MID($B293,FIND("[",$B293)+1,FIND("]",$B293)-FIND("[",$B293)-1),IF(ISNUMBER($B293),INDEX(Personnes!$B$5:$B$154,MATCH($B293,Personnes!$A$5:$A$154,0)),IFERROR(INDEX(Personnes!$B$5:$B$154,MATCH($B293&amp;"*",Personnes!$C$5:$C$154,0)),INDEX(Personnes!$B$5:$B$154,MATCH($B293&amp;"*",Personnes!$D$5:$D$154,0))))),""))</f>
        <v/>
      </c>
      <c r="D293" s="10" t="str">
        <f>IFERROR(INDEX(Personnes!$C$5:$C$154,MATCH($C293,Personnes!$B$5:$B$154,0))&amp;"","")</f>
        <v/>
      </c>
      <c r="E293" s="10" t="str">
        <f>IFERROR(INDEX(Personnes!$D$5:$D$154,MATCH($C293,Personnes!$B$5:$B$154,0))&amp;"","")</f>
        <v/>
      </c>
      <c r="F293" s="15"/>
      <c r="G293" s="9"/>
      <c r="H293" s="10" t="str">
        <f>IF($B293="","",IF($C293="","apnéiste non reconnu",IF($A293="","séance non renseignée",IF(COUNTIFS($A$5:$A$504,$A293,$C$5:$C$504,$C293)&gt;1,"doublon séance / apnéiste",IF(OR($C293=IFERROR(INDEX('Calendrier'!$K$5:$K$5,MATCH($A293,'Calendrier'!$A$5:$A$5,0)),""),$C293=IFERROR(INDEX('Calendrier'!$O$5:$O$5,MATCH($A293,'Calendrier'!$A$5:$A$5,0)),"")),"encadrant et élève sur la même séance",IF(IFERROR(INDEX(Personnes!$H$5:$H$154,MATCH($C293,Personnes!$B$5:$B$154,0)),"")&lt;&gt;"oui","invité (hors ligne)","ok"))))))</f>
        <v/>
      </c>
    </row>
    <row r="294" spans="1:8" x14ac:dyDescent="0.2">
      <c r="A294" s="15"/>
      <c r="B294" s="15"/>
      <c r="C294" s="10" t="str">
        <f>IF($B294="","",IFERROR(IF(ISNUMBER(FIND("[",$B294)),MID($B294,FIND("[",$B294)+1,FIND("]",$B294)-FIND("[",$B294)-1),IF(ISNUMBER($B294),INDEX(Personnes!$B$5:$B$154,MATCH($B294,Personnes!$A$5:$A$154,0)),IFERROR(INDEX(Personnes!$B$5:$B$154,MATCH($B294&amp;"*",Personnes!$C$5:$C$154,0)),INDEX(Personnes!$B$5:$B$154,MATCH($B294&amp;"*",Personnes!$D$5:$D$154,0))))),""))</f>
        <v/>
      </c>
      <c r="D294" s="10" t="str">
        <f>IFERROR(INDEX(Personnes!$C$5:$C$154,MATCH($C294,Personnes!$B$5:$B$154,0))&amp;"","")</f>
        <v/>
      </c>
      <c r="E294" s="10" t="str">
        <f>IFERROR(INDEX(Personnes!$D$5:$D$154,MATCH($C294,Personnes!$B$5:$B$154,0))&amp;"","")</f>
        <v/>
      </c>
      <c r="F294" s="15"/>
      <c r="G294" s="9"/>
      <c r="H294" s="10" t="str">
        <f>IF($B294="","",IF($C294="","apnéiste non reconnu",IF($A294="","séance non renseignée",IF(COUNTIFS($A$5:$A$504,$A294,$C$5:$C$504,$C294)&gt;1,"doublon séance / apnéiste",IF(OR($C294=IFERROR(INDEX('Calendrier'!$K$5:$K$5,MATCH($A294,'Calendrier'!$A$5:$A$5,0)),""),$C294=IFERROR(INDEX('Calendrier'!$O$5:$O$5,MATCH($A294,'Calendrier'!$A$5:$A$5,0)),"")),"encadrant et élève sur la même séance",IF(IFERROR(INDEX(Personnes!$H$5:$H$154,MATCH($C294,Personnes!$B$5:$B$154,0)),"")&lt;&gt;"oui","invité (hors ligne)","ok"))))))</f>
        <v/>
      </c>
    </row>
    <row r="295" spans="1:8" x14ac:dyDescent="0.2">
      <c r="A295" s="15"/>
      <c r="B295" s="15"/>
      <c r="C295" s="10" t="str">
        <f>IF($B295="","",IFERROR(IF(ISNUMBER(FIND("[",$B295)),MID($B295,FIND("[",$B295)+1,FIND("]",$B295)-FIND("[",$B295)-1),IF(ISNUMBER($B295),INDEX(Personnes!$B$5:$B$154,MATCH($B295,Personnes!$A$5:$A$154,0)),IFERROR(INDEX(Personnes!$B$5:$B$154,MATCH($B295&amp;"*",Personnes!$C$5:$C$154,0)),INDEX(Personnes!$B$5:$B$154,MATCH($B295&amp;"*",Personnes!$D$5:$D$154,0))))),""))</f>
        <v/>
      </c>
      <c r="D295" s="10" t="str">
        <f>IFERROR(INDEX(Personnes!$C$5:$C$154,MATCH($C295,Personnes!$B$5:$B$154,0))&amp;"","")</f>
        <v/>
      </c>
      <c r="E295" s="10" t="str">
        <f>IFERROR(INDEX(Personnes!$D$5:$D$154,MATCH($C295,Personnes!$B$5:$B$154,0))&amp;"","")</f>
        <v/>
      </c>
      <c r="F295" s="15"/>
      <c r="G295" s="9"/>
      <c r="H295" s="10" t="str">
        <f>IF($B295="","",IF($C295="","apnéiste non reconnu",IF($A295="","séance non renseignée",IF(COUNTIFS($A$5:$A$504,$A295,$C$5:$C$504,$C295)&gt;1,"doublon séance / apnéiste",IF(OR($C295=IFERROR(INDEX('Calendrier'!$K$5:$K$5,MATCH($A295,'Calendrier'!$A$5:$A$5,0)),""),$C295=IFERROR(INDEX('Calendrier'!$O$5:$O$5,MATCH($A295,'Calendrier'!$A$5:$A$5,0)),"")),"encadrant et élève sur la même séance",IF(IFERROR(INDEX(Personnes!$H$5:$H$154,MATCH($C295,Personnes!$B$5:$B$154,0)),"")&lt;&gt;"oui","invité (hors ligne)","ok"))))))</f>
        <v/>
      </c>
    </row>
    <row r="296" spans="1:8" x14ac:dyDescent="0.2">
      <c r="A296" s="15"/>
      <c r="B296" s="15"/>
      <c r="C296" s="10" t="str">
        <f>IF($B296="","",IFERROR(IF(ISNUMBER(FIND("[",$B296)),MID($B296,FIND("[",$B296)+1,FIND("]",$B296)-FIND("[",$B296)-1),IF(ISNUMBER($B296),INDEX(Personnes!$B$5:$B$154,MATCH($B296,Personnes!$A$5:$A$154,0)),IFERROR(INDEX(Personnes!$B$5:$B$154,MATCH($B296&amp;"*",Personnes!$C$5:$C$154,0)),INDEX(Personnes!$B$5:$B$154,MATCH($B296&amp;"*",Personnes!$D$5:$D$154,0))))),""))</f>
        <v/>
      </c>
      <c r="D296" s="10" t="str">
        <f>IFERROR(INDEX(Personnes!$C$5:$C$154,MATCH($C296,Personnes!$B$5:$B$154,0))&amp;"","")</f>
        <v/>
      </c>
      <c r="E296" s="10" t="str">
        <f>IFERROR(INDEX(Personnes!$D$5:$D$154,MATCH($C296,Personnes!$B$5:$B$154,0))&amp;"","")</f>
        <v/>
      </c>
      <c r="F296" s="15"/>
      <c r="G296" s="9"/>
      <c r="H296" s="10" t="str">
        <f>IF($B296="","",IF($C296="","apnéiste non reconnu",IF($A296="","séance non renseignée",IF(COUNTIFS($A$5:$A$504,$A296,$C$5:$C$504,$C296)&gt;1,"doublon séance / apnéiste",IF(OR($C296=IFERROR(INDEX('Calendrier'!$K$5:$K$5,MATCH($A296,'Calendrier'!$A$5:$A$5,0)),""),$C296=IFERROR(INDEX('Calendrier'!$O$5:$O$5,MATCH($A296,'Calendrier'!$A$5:$A$5,0)),"")),"encadrant et élève sur la même séance",IF(IFERROR(INDEX(Personnes!$H$5:$H$154,MATCH($C296,Personnes!$B$5:$B$154,0)),"")&lt;&gt;"oui","invité (hors ligne)","ok"))))))</f>
        <v/>
      </c>
    </row>
    <row r="297" spans="1:8" x14ac:dyDescent="0.2">
      <c r="A297" s="15"/>
      <c r="B297" s="15"/>
      <c r="C297" s="10" t="str">
        <f>IF($B297="","",IFERROR(IF(ISNUMBER(FIND("[",$B297)),MID($B297,FIND("[",$B297)+1,FIND("]",$B297)-FIND("[",$B297)-1),IF(ISNUMBER($B297),INDEX(Personnes!$B$5:$B$154,MATCH($B297,Personnes!$A$5:$A$154,0)),IFERROR(INDEX(Personnes!$B$5:$B$154,MATCH($B297&amp;"*",Personnes!$C$5:$C$154,0)),INDEX(Personnes!$B$5:$B$154,MATCH($B297&amp;"*",Personnes!$D$5:$D$154,0))))),""))</f>
        <v/>
      </c>
      <c r="D297" s="10" t="str">
        <f>IFERROR(INDEX(Personnes!$C$5:$C$154,MATCH($C297,Personnes!$B$5:$B$154,0))&amp;"","")</f>
        <v/>
      </c>
      <c r="E297" s="10" t="str">
        <f>IFERROR(INDEX(Personnes!$D$5:$D$154,MATCH($C297,Personnes!$B$5:$B$154,0))&amp;"","")</f>
        <v/>
      </c>
      <c r="F297" s="15"/>
      <c r="G297" s="9"/>
      <c r="H297" s="10" t="str">
        <f>IF($B297="","",IF($C297="","apnéiste non reconnu",IF($A297="","séance non renseignée",IF(COUNTIFS($A$5:$A$504,$A297,$C$5:$C$504,$C297)&gt;1,"doublon séance / apnéiste",IF(OR($C297=IFERROR(INDEX('Calendrier'!$K$5:$K$5,MATCH($A297,'Calendrier'!$A$5:$A$5,0)),""),$C297=IFERROR(INDEX('Calendrier'!$O$5:$O$5,MATCH($A297,'Calendrier'!$A$5:$A$5,0)),"")),"encadrant et élève sur la même séance",IF(IFERROR(INDEX(Personnes!$H$5:$H$154,MATCH($C297,Personnes!$B$5:$B$154,0)),"")&lt;&gt;"oui","invité (hors ligne)","ok"))))))</f>
        <v/>
      </c>
    </row>
    <row r="298" spans="1:8" x14ac:dyDescent="0.2">
      <c r="A298" s="15"/>
      <c r="B298" s="15"/>
      <c r="C298" s="10" t="str">
        <f>IF($B298="","",IFERROR(IF(ISNUMBER(FIND("[",$B298)),MID($B298,FIND("[",$B298)+1,FIND("]",$B298)-FIND("[",$B298)-1),IF(ISNUMBER($B298),INDEX(Personnes!$B$5:$B$154,MATCH($B298,Personnes!$A$5:$A$154,0)),IFERROR(INDEX(Personnes!$B$5:$B$154,MATCH($B298&amp;"*",Personnes!$C$5:$C$154,0)),INDEX(Personnes!$B$5:$B$154,MATCH($B298&amp;"*",Personnes!$D$5:$D$154,0))))),""))</f>
        <v/>
      </c>
      <c r="D298" s="10" t="str">
        <f>IFERROR(INDEX(Personnes!$C$5:$C$154,MATCH($C298,Personnes!$B$5:$B$154,0))&amp;"","")</f>
        <v/>
      </c>
      <c r="E298" s="10" t="str">
        <f>IFERROR(INDEX(Personnes!$D$5:$D$154,MATCH($C298,Personnes!$B$5:$B$154,0))&amp;"","")</f>
        <v/>
      </c>
      <c r="F298" s="15"/>
      <c r="G298" s="9"/>
      <c r="H298" s="10" t="str">
        <f>IF($B298="","",IF($C298="","apnéiste non reconnu",IF($A298="","séance non renseignée",IF(COUNTIFS($A$5:$A$504,$A298,$C$5:$C$504,$C298)&gt;1,"doublon séance / apnéiste",IF(OR($C298=IFERROR(INDEX('Calendrier'!$K$5:$K$5,MATCH($A298,'Calendrier'!$A$5:$A$5,0)),""),$C298=IFERROR(INDEX('Calendrier'!$O$5:$O$5,MATCH($A298,'Calendrier'!$A$5:$A$5,0)),"")),"encadrant et élève sur la même séance",IF(IFERROR(INDEX(Personnes!$H$5:$H$154,MATCH($C298,Personnes!$B$5:$B$154,0)),"")&lt;&gt;"oui","invité (hors ligne)","ok"))))))</f>
        <v/>
      </c>
    </row>
    <row r="299" spans="1:8" x14ac:dyDescent="0.2">
      <c r="A299" s="15"/>
      <c r="B299" s="15"/>
      <c r="C299" s="10" t="str">
        <f>IF($B299="","",IFERROR(IF(ISNUMBER(FIND("[",$B299)),MID($B299,FIND("[",$B299)+1,FIND("]",$B299)-FIND("[",$B299)-1),IF(ISNUMBER($B299),INDEX(Personnes!$B$5:$B$154,MATCH($B299,Personnes!$A$5:$A$154,0)),IFERROR(INDEX(Personnes!$B$5:$B$154,MATCH($B299&amp;"*",Personnes!$C$5:$C$154,0)),INDEX(Personnes!$B$5:$B$154,MATCH($B299&amp;"*",Personnes!$D$5:$D$154,0))))),""))</f>
        <v/>
      </c>
      <c r="D299" s="10" t="str">
        <f>IFERROR(INDEX(Personnes!$C$5:$C$154,MATCH($C299,Personnes!$B$5:$B$154,0))&amp;"","")</f>
        <v/>
      </c>
      <c r="E299" s="10" t="str">
        <f>IFERROR(INDEX(Personnes!$D$5:$D$154,MATCH($C299,Personnes!$B$5:$B$154,0))&amp;"","")</f>
        <v/>
      </c>
      <c r="F299" s="15"/>
      <c r="G299" s="9"/>
      <c r="H299" s="10" t="str">
        <f>IF($B299="","",IF($C299="","apnéiste non reconnu",IF($A299="","séance non renseignée",IF(COUNTIFS($A$5:$A$504,$A299,$C$5:$C$504,$C299)&gt;1,"doublon séance / apnéiste",IF(OR($C299=IFERROR(INDEX('Calendrier'!$K$5:$K$5,MATCH($A299,'Calendrier'!$A$5:$A$5,0)),""),$C299=IFERROR(INDEX('Calendrier'!$O$5:$O$5,MATCH($A299,'Calendrier'!$A$5:$A$5,0)),"")),"encadrant et élève sur la même séance",IF(IFERROR(INDEX(Personnes!$H$5:$H$154,MATCH($C299,Personnes!$B$5:$B$154,0)),"")&lt;&gt;"oui","invité (hors ligne)","ok"))))))</f>
        <v/>
      </c>
    </row>
    <row r="300" spans="1:8" x14ac:dyDescent="0.2">
      <c r="A300" s="15"/>
      <c r="B300" s="15"/>
      <c r="C300" s="10" t="str">
        <f>IF($B300="","",IFERROR(IF(ISNUMBER(FIND("[",$B300)),MID($B300,FIND("[",$B300)+1,FIND("]",$B300)-FIND("[",$B300)-1),IF(ISNUMBER($B300),INDEX(Personnes!$B$5:$B$154,MATCH($B300,Personnes!$A$5:$A$154,0)),IFERROR(INDEX(Personnes!$B$5:$B$154,MATCH($B300&amp;"*",Personnes!$C$5:$C$154,0)),INDEX(Personnes!$B$5:$B$154,MATCH($B300&amp;"*",Personnes!$D$5:$D$154,0))))),""))</f>
        <v/>
      </c>
      <c r="D300" s="10" t="str">
        <f>IFERROR(INDEX(Personnes!$C$5:$C$154,MATCH($C300,Personnes!$B$5:$B$154,0))&amp;"","")</f>
        <v/>
      </c>
      <c r="E300" s="10" t="str">
        <f>IFERROR(INDEX(Personnes!$D$5:$D$154,MATCH($C300,Personnes!$B$5:$B$154,0))&amp;"","")</f>
        <v/>
      </c>
      <c r="F300" s="15"/>
      <c r="G300" s="9"/>
      <c r="H300" s="10" t="str">
        <f>IF($B300="","",IF($C300="","apnéiste non reconnu",IF($A300="","séance non renseignée",IF(COUNTIFS($A$5:$A$504,$A300,$C$5:$C$504,$C300)&gt;1,"doublon séance / apnéiste",IF(OR($C300=IFERROR(INDEX('Calendrier'!$K$5:$K$5,MATCH($A300,'Calendrier'!$A$5:$A$5,0)),""),$C300=IFERROR(INDEX('Calendrier'!$O$5:$O$5,MATCH($A300,'Calendrier'!$A$5:$A$5,0)),"")),"encadrant et élève sur la même séance",IF(IFERROR(INDEX(Personnes!$H$5:$H$154,MATCH($C300,Personnes!$B$5:$B$154,0)),"")&lt;&gt;"oui","invité (hors ligne)","ok"))))))</f>
        <v/>
      </c>
    </row>
    <row r="301" spans="1:8" x14ac:dyDescent="0.2">
      <c r="A301" s="15"/>
      <c r="B301" s="15"/>
      <c r="C301" s="10" t="str">
        <f>IF($B301="","",IFERROR(IF(ISNUMBER(FIND("[",$B301)),MID($B301,FIND("[",$B301)+1,FIND("]",$B301)-FIND("[",$B301)-1),IF(ISNUMBER($B301),INDEX(Personnes!$B$5:$B$154,MATCH($B301,Personnes!$A$5:$A$154,0)),IFERROR(INDEX(Personnes!$B$5:$B$154,MATCH($B301&amp;"*",Personnes!$C$5:$C$154,0)),INDEX(Personnes!$B$5:$B$154,MATCH($B301&amp;"*",Personnes!$D$5:$D$154,0))))),""))</f>
        <v/>
      </c>
      <c r="D301" s="10" t="str">
        <f>IFERROR(INDEX(Personnes!$C$5:$C$154,MATCH($C301,Personnes!$B$5:$B$154,0))&amp;"","")</f>
        <v/>
      </c>
      <c r="E301" s="10" t="str">
        <f>IFERROR(INDEX(Personnes!$D$5:$D$154,MATCH($C301,Personnes!$B$5:$B$154,0))&amp;"","")</f>
        <v/>
      </c>
      <c r="F301" s="15"/>
      <c r="G301" s="9"/>
      <c r="H301" s="10" t="str">
        <f>IF($B301="","",IF($C301="","apnéiste non reconnu",IF($A301="","séance non renseignée",IF(COUNTIFS($A$5:$A$504,$A301,$C$5:$C$504,$C301)&gt;1,"doublon séance / apnéiste",IF(OR($C301=IFERROR(INDEX('Calendrier'!$K$5:$K$5,MATCH($A301,'Calendrier'!$A$5:$A$5,0)),""),$C301=IFERROR(INDEX('Calendrier'!$O$5:$O$5,MATCH($A301,'Calendrier'!$A$5:$A$5,0)),"")),"encadrant et élève sur la même séance",IF(IFERROR(INDEX(Personnes!$H$5:$H$154,MATCH($C301,Personnes!$B$5:$B$154,0)),"")&lt;&gt;"oui","invité (hors ligne)","ok"))))))</f>
        <v/>
      </c>
    </row>
    <row r="302" spans="1:8" x14ac:dyDescent="0.2">
      <c r="A302" s="15"/>
      <c r="B302" s="15"/>
      <c r="C302" s="10" t="str">
        <f>IF($B302="","",IFERROR(IF(ISNUMBER(FIND("[",$B302)),MID($B302,FIND("[",$B302)+1,FIND("]",$B302)-FIND("[",$B302)-1),IF(ISNUMBER($B302),INDEX(Personnes!$B$5:$B$154,MATCH($B302,Personnes!$A$5:$A$154,0)),IFERROR(INDEX(Personnes!$B$5:$B$154,MATCH($B302&amp;"*",Personnes!$C$5:$C$154,0)),INDEX(Personnes!$B$5:$B$154,MATCH($B302&amp;"*",Personnes!$D$5:$D$154,0))))),""))</f>
        <v/>
      </c>
      <c r="D302" s="10" t="str">
        <f>IFERROR(INDEX(Personnes!$C$5:$C$154,MATCH($C302,Personnes!$B$5:$B$154,0))&amp;"","")</f>
        <v/>
      </c>
      <c r="E302" s="10" t="str">
        <f>IFERROR(INDEX(Personnes!$D$5:$D$154,MATCH($C302,Personnes!$B$5:$B$154,0))&amp;"","")</f>
        <v/>
      </c>
      <c r="F302" s="15"/>
      <c r="G302" s="9"/>
      <c r="H302" s="10" t="str">
        <f>IF($B302="","",IF($C302="","apnéiste non reconnu",IF($A302="","séance non renseignée",IF(COUNTIFS($A$5:$A$504,$A302,$C$5:$C$504,$C302)&gt;1,"doublon séance / apnéiste",IF(OR($C302=IFERROR(INDEX('Calendrier'!$K$5:$K$5,MATCH($A302,'Calendrier'!$A$5:$A$5,0)),""),$C302=IFERROR(INDEX('Calendrier'!$O$5:$O$5,MATCH($A302,'Calendrier'!$A$5:$A$5,0)),"")),"encadrant et élève sur la même séance",IF(IFERROR(INDEX(Personnes!$H$5:$H$154,MATCH($C302,Personnes!$B$5:$B$154,0)),"")&lt;&gt;"oui","invité (hors ligne)","ok"))))))</f>
        <v/>
      </c>
    </row>
    <row r="303" spans="1:8" x14ac:dyDescent="0.2">
      <c r="A303" s="15"/>
      <c r="B303" s="15"/>
      <c r="C303" s="10" t="str">
        <f>IF($B303="","",IFERROR(IF(ISNUMBER(FIND("[",$B303)),MID($B303,FIND("[",$B303)+1,FIND("]",$B303)-FIND("[",$B303)-1),IF(ISNUMBER($B303),INDEX(Personnes!$B$5:$B$154,MATCH($B303,Personnes!$A$5:$A$154,0)),IFERROR(INDEX(Personnes!$B$5:$B$154,MATCH($B303&amp;"*",Personnes!$C$5:$C$154,0)),INDEX(Personnes!$B$5:$B$154,MATCH($B303&amp;"*",Personnes!$D$5:$D$154,0))))),""))</f>
        <v/>
      </c>
      <c r="D303" s="10" t="str">
        <f>IFERROR(INDEX(Personnes!$C$5:$C$154,MATCH($C303,Personnes!$B$5:$B$154,0))&amp;"","")</f>
        <v/>
      </c>
      <c r="E303" s="10" t="str">
        <f>IFERROR(INDEX(Personnes!$D$5:$D$154,MATCH($C303,Personnes!$B$5:$B$154,0))&amp;"","")</f>
        <v/>
      </c>
      <c r="F303" s="15"/>
      <c r="G303" s="9"/>
      <c r="H303" s="10" t="str">
        <f>IF($B303="","",IF($C303="","apnéiste non reconnu",IF($A303="","séance non renseignée",IF(COUNTIFS($A$5:$A$504,$A303,$C$5:$C$504,$C303)&gt;1,"doublon séance / apnéiste",IF(OR($C303=IFERROR(INDEX('Calendrier'!$K$5:$K$5,MATCH($A303,'Calendrier'!$A$5:$A$5,0)),""),$C303=IFERROR(INDEX('Calendrier'!$O$5:$O$5,MATCH($A303,'Calendrier'!$A$5:$A$5,0)),"")),"encadrant et élève sur la même séance",IF(IFERROR(INDEX(Personnes!$H$5:$H$154,MATCH($C303,Personnes!$B$5:$B$154,0)),"")&lt;&gt;"oui","invité (hors ligne)","ok"))))))</f>
        <v/>
      </c>
    </row>
    <row r="304" spans="1:8" x14ac:dyDescent="0.2">
      <c r="A304" s="15"/>
      <c r="B304" s="15"/>
      <c r="C304" s="10" t="str">
        <f>IF($B304="","",IFERROR(IF(ISNUMBER(FIND("[",$B304)),MID($B304,FIND("[",$B304)+1,FIND("]",$B304)-FIND("[",$B304)-1),IF(ISNUMBER($B304),INDEX(Personnes!$B$5:$B$154,MATCH($B304,Personnes!$A$5:$A$154,0)),IFERROR(INDEX(Personnes!$B$5:$B$154,MATCH($B304&amp;"*",Personnes!$C$5:$C$154,0)),INDEX(Personnes!$B$5:$B$154,MATCH($B304&amp;"*",Personnes!$D$5:$D$154,0))))),""))</f>
        <v/>
      </c>
      <c r="D304" s="10" t="str">
        <f>IFERROR(INDEX(Personnes!$C$5:$C$154,MATCH($C304,Personnes!$B$5:$B$154,0))&amp;"","")</f>
        <v/>
      </c>
      <c r="E304" s="10" t="str">
        <f>IFERROR(INDEX(Personnes!$D$5:$D$154,MATCH($C304,Personnes!$B$5:$B$154,0))&amp;"","")</f>
        <v/>
      </c>
      <c r="F304" s="15"/>
      <c r="G304" s="9"/>
      <c r="H304" s="10" t="str">
        <f>IF($B304="","",IF($C304="","apnéiste non reconnu",IF($A304="","séance non renseignée",IF(COUNTIFS($A$5:$A$504,$A304,$C$5:$C$504,$C304)&gt;1,"doublon séance / apnéiste",IF(OR($C304=IFERROR(INDEX('Calendrier'!$K$5:$K$5,MATCH($A304,'Calendrier'!$A$5:$A$5,0)),""),$C304=IFERROR(INDEX('Calendrier'!$O$5:$O$5,MATCH($A304,'Calendrier'!$A$5:$A$5,0)),"")),"encadrant et élève sur la même séance",IF(IFERROR(INDEX(Personnes!$H$5:$H$154,MATCH($C304,Personnes!$B$5:$B$154,0)),"")&lt;&gt;"oui","invité (hors ligne)","ok"))))))</f>
        <v/>
      </c>
    </row>
    <row r="305" spans="1:8" x14ac:dyDescent="0.2">
      <c r="A305" s="15"/>
      <c r="B305" s="15"/>
      <c r="C305" s="10" t="str">
        <f>IF($B305="","",IFERROR(IF(ISNUMBER(FIND("[",$B305)),MID($B305,FIND("[",$B305)+1,FIND("]",$B305)-FIND("[",$B305)-1),IF(ISNUMBER($B305),INDEX(Personnes!$B$5:$B$154,MATCH($B305,Personnes!$A$5:$A$154,0)),IFERROR(INDEX(Personnes!$B$5:$B$154,MATCH($B305&amp;"*",Personnes!$C$5:$C$154,0)),INDEX(Personnes!$B$5:$B$154,MATCH($B305&amp;"*",Personnes!$D$5:$D$154,0))))),""))</f>
        <v/>
      </c>
      <c r="D305" s="10" t="str">
        <f>IFERROR(INDEX(Personnes!$C$5:$C$154,MATCH($C305,Personnes!$B$5:$B$154,0))&amp;"","")</f>
        <v/>
      </c>
      <c r="E305" s="10" t="str">
        <f>IFERROR(INDEX(Personnes!$D$5:$D$154,MATCH($C305,Personnes!$B$5:$B$154,0))&amp;"","")</f>
        <v/>
      </c>
      <c r="F305" s="15"/>
      <c r="G305" s="9"/>
      <c r="H305" s="10" t="str">
        <f>IF($B305="","",IF($C305="","apnéiste non reconnu",IF($A305="","séance non renseignée",IF(COUNTIFS($A$5:$A$504,$A305,$C$5:$C$504,$C305)&gt;1,"doublon séance / apnéiste",IF(OR($C305=IFERROR(INDEX('Calendrier'!$K$5:$K$5,MATCH($A305,'Calendrier'!$A$5:$A$5,0)),""),$C305=IFERROR(INDEX('Calendrier'!$O$5:$O$5,MATCH($A305,'Calendrier'!$A$5:$A$5,0)),"")),"encadrant et élève sur la même séance",IF(IFERROR(INDEX(Personnes!$H$5:$H$154,MATCH($C305,Personnes!$B$5:$B$154,0)),"")&lt;&gt;"oui","invité (hors ligne)","ok"))))))</f>
        <v/>
      </c>
    </row>
    <row r="306" spans="1:8" x14ac:dyDescent="0.2">
      <c r="A306" s="15"/>
      <c r="B306" s="15"/>
      <c r="C306" s="10" t="str">
        <f>IF($B306="","",IFERROR(IF(ISNUMBER(FIND("[",$B306)),MID($B306,FIND("[",$B306)+1,FIND("]",$B306)-FIND("[",$B306)-1),IF(ISNUMBER($B306),INDEX(Personnes!$B$5:$B$154,MATCH($B306,Personnes!$A$5:$A$154,0)),IFERROR(INDEX(Personnes!$B$5:$B$154,MATCH($B306&amp;"*",Personnes!$C$5:$C$154,0)),INDEX(Personnes!$B$5:$B$154,MATCH($B306&amp;"*",Personnes!$D$5:$D$154,0))))),""))</f>
        <v/>
      </c>
      <c r="D306" s="10" t="str">
        <f>IFERROR(INDEX(Personnes!$C$5:$C$154,MATCH($C306,Personnes!$B$5:$B$154,0))&amp;"","")</f>
        <v/>
      </c>
      <c r="E306" s="10" t="str">
        <f>IFERROR(INDEX(Personnes!$D$5:$D$154,MATCH($C306,Personnes!$B$5:$B$154,0))&amp;"","")</f>
        <v/>
      </c>
      <c r="F306" s="15"/>
      <c r="G306" s="9"/>
      <c r="H306" s="10" t="str">
        <f>IF($B306="","",IF($C306="","apnéiste non reconnu",IF($A306="","séance non renseignée",IF(COUNTIFS($A$5:$A$504,$A306,$C$5:$C$504,$C306)&gt;1,"doublon séance / apnéiste",IF(OR($C306=IFERROR(INDEX('Calendrier'!$K$5:$K$5,MATCH($A306,'Calendrier'!$A$5:$A$5,0)),""),$C306=IFERROR(INDEX('Calendrier'!$O$5:$O$5,MATCH($A306,'Calendrier'!$A$5:$A$5,0)),"")),"encadrant et élève sur la même séance",IF(IFERROR(INDEX(Personnes!$H$5:$H$154,MATCH($C306,Personnes!$B$5:$B$154,0)),"")&lt;&gt;"oui","invité (hors ligne)","ok"))))))</f>
        <v/>
      </c>
    </row>
    <row r="307" spans="1:8" x14ac:dyDescent="0.2">
      <c r="A307" s="15"/>
      <c r="B307" s="15"/>
      <c r="C307" s="10" t="str">
        <f>IF($B307="","",IFERROR(IF(ISNUMBER(FIND("[",$B307)),MID($B307,FIND("[",$B307)+1,FIND("]",$B307)-FIND("[",$B307)-1),IF(ISNUMBER($B307),INDEX(Personnes!$B$5:$B$154,MATCH($B307,Personnes!$A$5:$A$154,0)),IFERROR(INDEX(Personnes!$B$5:$B$154,MATCH($B307&amp;"*",Personnes!$C$5:$C$154,0)),INDEX(Personnes!$B$5:$B$154,MATCH($B307&amp;"*",Personnes!$D$5:$D$154,0))))),""))</f>
        <v/>
      </c>
      <c r="D307" s="10" t="str">
        <f>IFERROR(INDEX(Personnes!$C$5:$C$154,MATCH($C307,Personnes!$B$5:$B$154,0))&amp;"","")</f>
        <v/>
      </c>
      <c r="E307" s="10" t="str">
        <f>IFERROR(INDEX(Personnes!$D$5:$D$154,MATCH($C307,Personnes!$B$5:$B$154,0))&amp;"","")</f>
        <v/>
      </c>
      <c r="F307" s="15"/>
      <c r="G307" s="9"/>
      <c r="H307" s="10" t="str">
        <f>IF($B307="","",IF($C307="","apnéiste non reconnu",IF($A307="","séance non renseignée",IF(COUNTIFS($A$5:$A$504,$A307,$C$5:$C$504,$C307)&gt;1,"doublon séance / apnéiste",IF(OR($C307=IFERROR(INDEX('Calendrier'!$K$5:$K$5,MATCH($A307,'Calendrier'!$A$5:$A$5,0)),""),$C307=IFERROR(INDEX('Calendrier'!$O$5:$O$5,MATCH($A307,'Calendrier'!$A$5:$A$5,0)),"")),"encadrant et élève sur la même séance",IF(IFERROR(INDEX(Personnes!$H$5:$H$154,MATCH($C307,Personnes!$B$5:$B$154,0)),"")&lt;&gt;"oui","invité (hors ligne)","ok"))))))</f>
        <v/>
      </c>
    </row>
    <row r="308" spans="1:8" x14ac:dyDescent="0.2">
      <c r="A308" s="15"/>
      <c r="B308" s="15"/>
      <c r="C308" s="10" t="str">
        <f>IF($B308="","",IFERROR(IF(ISNUMBER(FIND("[",$B308)),MID($B308,FIND("[",$B308)+1,FIND("]",$B308)-FIND("[",$B308)-1),IF(ISNUMBER($B308),INDEX(Personnes!$B$5:$B$154,MATCH($B308,Personnes!$A$5:$A$154,0)),IFERROR(INDEX(Personnes!$B$5:$B$154,MATCH($B308&amp;"*",Personnes!$C$5:$C$154,0)),INDEX(Personnes!$B$5:$B$154,MATCH($B308&amp;"*",Personnes!$D$5:$D$154,0))))),""))</f>
        <v/>
      </c>
      <c r="D308" s="10" t="str">
        <f>IFERROR(INDEX(Personnes!$C$5:$C$154,MATCH($C308,Personnes!$B$5:$B$154,0))&amp;"","")</f>
        <v/>
      </c>
      <c r="E308" s="10" t="str">
        <f>IFERROR(INDEX(Personnes!$D$5:$D$154,MATCH($C308,Personnes!$B$5:$B$154,0))&amp;"","")</f>
        <v/>
      </c>
      <c r="F308" s="15"/>
      <c r="G308" s="9"/>
      <c r="H308" s="10" t="str">
        <f>IF($B308="","",IF($C308="","apnéiste non reconnu",IF($A308="","séance non renseignée",IF(COUNTIFS($A$5:$A$504,$A308,$C$5:$C$504,$C308)&gt;1,"doublon séance / apnéiste",IF(OR($C308=IFERROR(INDEX('Calendrier'!$K$5:$K$5,MATCH($A308,'Calendrier'!$A$5:$A$5,0)),""),$C308=IFERROR(INDEX('Calendrier'!$O$5:$O$5,MATCH($A308,'Calendrier'!$A$5:$A$5,0)),"")),"encadrant et élève sur la même séance",IF(IFERROR(INDEX(Personnes!$H$5:$H$154,MATCH($C308,Personnes!$B$5:$B$154,0)),"")&lt;&gt;"oui","invité (hors ligne)","ok"))))))</f>
        <v/>
      </c>
    </row>
    <row r="309" spans="1:8" x14ac:dyDescent="0.2">
      <c r="A309" s="15"/>
      <c r="B309" s="15"/>
      <c r="C309" s="10" t="str">
        <f>IF($B309="","",IFERROR(IF(ISNUMBER(FIND("[",$B309)),MID($B309,FIND("[",$B309)+1,FIND("]",$B309)-FIND("[",$B309)-1),IF(ISNUMBER($B309),INDEX(Personnes!$B$5:$B$154,MATCH($B309,Personnes!$A$5:$A$154,0)),IFERROR(INDEX(Personnes!$B$5:$B$154,MATCH($B309&amp;"*",Personnes!$C$5:$C$154,0)),INDEX(Personnes!$B$5:$B$154,MATCH($B309&amp;"*",Personnes!$D$5:$D$154,0))))),""))</f>
        <v/>
      </c>
      <c r="D309" s="10" t="str">
        <f>IFERROR(INDEX(Personnes!$C$5:$C$154,MATCH($C309,Personnes!$B$5:$B$154,0))&amp;"","")</f>
        <v/>
      </c>
      <c r="E309" s="10" t="str">
        <f>IFERROR(INDEX(Personnes!$D$5:$D$154,MATCH($C309,Personnes!$B$5:$B$154,0))&amp;"","")</f>
        <v/>
      </c>
      <c r="F309" s="15"/>
      <c r="G309" s="9"/>
      <c r="H309" s="10" t="str">
        <f>IF($B309="","",IF($C309="","apnéiste non reconnu",IF($A309="","séance non renseignée",IF(COUNTIFS($A$5:$A$504,$A309,$C$5:$C$504,$C309)&gt;1,"doublon séance / apnéiste",IF(OR($C309=IFERROR(INDEX('Calendrier'!$K$5:$K$5,MATCH($A309,'Calendrier'!$A$5:$A$5,0)),""),$C309=IFERROR(INDEX('Calendrier'!$O$5:$O$5,MATCH($A309,'Calendrier'!$A$5:$A$5,0)),"")),"encadrant et élève sur la même séance",IF(IFERROR(INDEX(Personnes!$H$5:$H$154,MATCH($C309,Personnes!$B$5:$B$154,0)),"")&lt;&gt;"oui","invité (hors ligne)","ok"))))))</f>
        <v/>
      </c>
    </row>
    <row r="310" spans="1:8" x14ac:dyDescent="0.2">
      <c r="A310" s="15"/>
      <c r="B310" s="15"/>
      <c r="C310" s="10" t="str">
        <f>IF($B310="","",IFERROR(IF(ISNUMBER(FIND("[",$B310)),MID($B310,FIND("[",$B310)+1,FIND("]",$B310)-FIND("[",$B310)-1),IF(ISNUMBER($B310),INDEX(Personnes!$B$5:$B$154,MATCH($B310,Personnes!$A$5:$A$154,0)),IFERROR(INDEX(Personnes!$B$5:$B$154,MATCH($B310&amp;"*",Personnes!$C$5:$C$154,0)),INDEX(Personnes!$B$5:$B$154,MATCH($B310&amp;"*",Personnes!$D$5:$D$154,0))))),""))</f>
        <v/>
      </c>
      <c r="D310" s="10" t="str">
        <f>IFERROR(INDEX(Personnes!$C$5:$C$154,MATCH($C310,Personnes!$B$5:$B$154,0))&amp;"","")</f>
        <v/>
      </c>
      <c r="E310" s="10" t="str">
        <f>IFERROR(INDEX(Personnes!$D$5:$D$154,MATCH($C310,Personnes!$B$5:$B$154,0))&amp;"","")</f>
        <v/>
      </c>
      <c r="F310" s="15"/>
      <c r="G310" s="9"/>
      <c r="H310" s="10" t="str">
        <f>IF($B310="","",IF($C310="","apnéiste non reconnu",IF($A310="","séance non renseignée",IF(COUNTIFS($A$5:$A$504,$A310,$C$5:$C$504,$C310)&gt;1,"doublon séance / apnéiste",IF(OR($C310=IFERROR(INDEX('Calendrier'!$K$5:$K$5,MATCH($A310,'Calendrier'!$A$5:$A$5,0)),""),$C310=IFERROR(INDEX('Calendrier'!$O$5:$O$5,MATCH($A310,'Calendrier'!$A$5:$A$5,0)),"")),"encadrant et élève sur la même séance",IF(IFERROR(INDEX(Personnes!$H$5:$H$154,MATCH($C310,Personnes!$B$5:$B$154,0)),"")&lt;&gt;"oui","invité (hors ligne)","ok"))))))</f>
        <v/>
      </c>
    </row>
    <row r="311" spans="1:8" x14ac:dyDescent="0.2">
      <c r="A311" s="15"/>
      <c r="B311" s="15"/>
      <c r="C311" s="10" t="str">
        <f>IF($B311="","",IFERROR(IF(ISNUMBER(FIND("[",$B311)),MID($B311,FIND("[",$B311)+1,FIND("]",$B311)-FIND("[",$B311)-1),IF(ISNUMBER($B311),INDEX(Personnes!$B$5:$B$154,MATCH($B311,Personnes!$A$5:$A$154,0)),IFERROR(INDEX(Personnes!$B$5:$B$154,MATCH($B311&amp;"*",Personnes!$C$5:$C$154,0)),INDEX(Personnes!$B$5:$B$154,MATCH($B311&amp;"*",Personnes!$D$5:$D$154,0))))),""))</f>
        <v/>
      </c>
      <c r="D311" s="10" t="str">
        <f>IFERROR(INDEX(Personnes!$C$5:$C$154,MATCH($C311,Personnes!$B$5:$B$154,0))&amp;"","")</f>
        <v/>
      </c>
      <c r="E311" s="10" t="str">
        <f>IFERROR(INDEX(Personnes!$D$5:$D$154,MATCH($C311,Personnes!$B$5:$B$154,0))&amp;"","")</f>
        <v/>
      </c>
      <c r="F311" s="15"/>
      <c r="G311" s="9"/>
      <c r="H311" s="10" t="str">
        <f>IF($B311="","",IF($C311="","apnéiste non reconnu",IF($A311="","séance non renseignée",IF(COUNTIFS($A$5:$A$504,$A311,$C$5:$C$504,$C311)&gt;1,"doublon séance / apnéiste",IF(OR($C311=IFERROR(INDEX('Calendrier'!$K$5:$K$5,MATCH($A311,'Calendrier'!$A$5:$A$5,0)),""),$C311=IFERROR(INDEX('Calendrier'!$O$5:$O$5,MATCH($A311,'Calendrier'!$A$5:$A$5,0)),"")),"encadrant et élève sur la même séance",IF(IFERROR(INDEX(Personnes!$H$5:$H$154,MATCH($C311,Personnes!$B$5:$B$154,0)),"")&lt;&gt;"oui","invité (hors ligne)","ok"))))))</f>
        <v/>
      </c>
    </row>
    <row r="312" spans="1:8" x14ac:dyDescent="0.2">
      <c r="A312" s="15"/>
      <c r="B312" s="15"/>
      <c r="C312" s="10" t="str">
        <f>IF($B312="","",IFERROR(IF(ISNUMBER(FIND("[",$B312)),MID($B312,FIND("[",$B312)+1,FIND("]",$B312)-FIND("[",$B312)-1),IF(ISNUMBER($B312),INDEX(Personnes!$B$5:$B$154,MATCH($B312,Personnes!$A$5:$A$154,0)),IFERROR(INDEX(Personnes!$B$5:$B$154,MATCH($B312&amp;"*",Personnes!$C$5:$C$154,0)),INDEX(Personnes!$B$5:$B$154,MATCH($B312&amp;"*",Personnes!$D$5:$D$154,0))))),""))</f>
        <v/>
      </c>
      <c r="D312" s="10" t="str">
        <f>IFERROR(INDEX(Personnes!$C$5:$C$154,MATCH($C312,Personnes!$B$5:$B$154,0))&amp;"","")</f>
        <v/>
      </c>
      <c r="E312" s="10" t="str">
        <f>IFERROR(INDEX(Personnes!$D$5:$D$154,MATCH($C312,Personnes!$B$5:$B$154,0))&amp;"","")</f>
        <v/>
      </c>
      <c r="F312" s="15"/>
      <c r="G312" s="9"/>
      <c r="H312" s="10" t="str">
        <f>IF($B312="","",IF($C312="","apnéiste non reconnu",IF($A312="","séance non renseignée",IF(COUNTIFS($A$5:$A$504,$A312,$C$5:$C$504,$C312)&gt;1,"doublon séance / apnéiste",IF(OR($C312=IFERROR(INDEX('Calendrier'!$K$5:$K$5,MATCH($A312,'Calendrier'!$A$5:$A$5,0)),""),$C312=IFERROR(INDEX('Calendrier'!$O$5:$O$5,MATCH($A312,'Calendrier'!$A$5:$A$5,0)),"")),"encadrant et élève sur la même séance",IF(IFERROR(INDEX(Personnes!$H$5:$H$154,MATCH($C312,Personnes!$B$5:$B$154,0)),"")&lt;&gt;"oui","invité (hors ligne)","ok"))))))</f>
        <v/>
      </c>
    </row>
    <row r="313" spans="1:8" x14ac:dyDescent="0.2">
      <c r="A313" s="15"/>
      <c r="B313" s="15"/>
      <c r="C313" s="10" t="str">
        <f>IF($B313="","",IFERROR(IF(ISNUMBER(FIND("[",$B313)),MID($B313,FIND("[",$B313)+1,FIND("]",$B313)-FIND("[",$B313)-1),IF(ISNUMBER($B313),INDEX(Personnes!$B$5:$B$154,MATCH($B313,Personnes!$A$5:$A$154,0)),IFERROR(INDEX(Personnes!$B$5:$B$154,MATCH($B313&amp;"*",Personnes!$C$5:$C$154,0)),INDEX(Personnes!$B$5:$B$154,MATCH($B313&amp;"*",Personnes!$D$5:$D$154,0))))),""))</f>
        <v/>
      </c>
      <c r="D313" s="10" t="str">
        <f>IFERROR(INDEX(Personnes!$C$5:$C$154,MATCH($C313,Personnes!$B$5:$B$154,0))&amp;"","")</f>
        <v/>
      </c>
      <c r="E313" s="10" t="str">
        <f>IFERROR(INDEX(Personnes!$D$5:$D$154,MATCH($C313,Personnes!$B$5:$B$154,0))&amp;"","")</f>
        <v/>
      </c>
      <c r="F313" s="15"/>
      <c r="G313" s="9"/>
      <c r="H313" s="10" t="str">
        <f>IF($B313="","",IF($C313="","apnéiste non reconnu",IF($A313="","séance non renseignée",IF(COUNTIFS($A$5:$A$504,$A313,$C$5:$C$504,$C313)&gt;1,"doublon séance / apnéiste",IF(OR($C313=IFERROR(INDEX('Calendrier'!$K$5:$K$5,MATCH($A313,'Calendrier'!$A$5:$A$5,0)),""),$C313=IFERROR(INDEX('Calendrier'!$O$5:$O$5,MATCH($A313,'Calendrier'!$A$5:$A$5,0)),"")),"encadrant et élève sur la même séance",IF(IFERROR(INDEX(Personnes!$H$5:$H$154,MATCH($C313,Personnes!$B$5:$B$154,0)),"")&lt;&gt;"oui","invité (hors ligne)","ok"))))))</f>
        <v/>
      </c>
    </row>
    <row r="314" spans="1:8" x14ac:dyDescent="0.2">
      <c r="A314" s="15"/>
      <c r="B314" s="15"/>
      <c r="C314" s="10" t="str">
        <f>IF($B314="","",IFERROR(IF(ISNUMBER(FIND("[",$B314)),MID($B314,FIND("[",$B314)+1,FIND("]",$B314)-FIND("[",$B314)-1),IF(ISNUMBER($B314),INDEX(Personnes!$B$5:$B$154,MATCH($B314,Personnes!$A$5:$A$154,0)),IFERROR(INDEX(Personnes!$B$5:$B$154,MATCH($B314&amp;"*",Personnes!$C$5:$C$154,0)),INDEX(Personnes!$B$5:$B$154,MATCH($B314&amp;"*",Personnes!$D$5:$D$154,0))))),""))</f>
        <v/>
      </c>
      <c r="D314" s="10" t="str">
        <f>IFERROR(INDEX(Personnes!$C$5:$C$154,MATCH($C314,Personnes!$B$5:$B$154,0))&amp;"","")</f>
        <v/>
      </c>
      <c r="E314" s="10" t="str">
        <f>IFERROR(INDEX(Personnes!$D$5:$D$154,MATCH($C314,Personnes!$B$5:$B$154,0))&amp;"","")</f>
        <v/>
      </c>
      <c r="F314" s="15"/>
      <c r="G314" s="9"/>
      <c r="H314" s="10" t="str">
        <f>IF($B314="","",IF($C314="","apnéiste non reconnu",IF($A314="","séance non renseignée",IF(COUNTIFS($A$5:$A$504,$A314,$C$5:$C$504,$C314)&gt;1,"doublon séance / apnéiste",IF(OR($C314=IFERROR(INDEX('Calendrier'!$K$5:$K$5,MATCH($A314,'Calendrier'!$A$5:$A$5,0)),""),$C314=IFERROR(INDEX('Calendrier'!$O$5:$O$5,MATCH($A314,'Calendrier'!$A$5:$A$5,0)),"")),"encadrant et élève sur la même séance",IF(IFERROR(INDEX(Personnes!$H$5:$H$154,MATCH($C314,Personnes!$B$5:$B$154,0)),"")&lt;&gt;"oui","invité (hors ligne)","ok"))))))</f>
        <v/>
      </c>
    </row>
    <row r="315" spans="1:8" x14ac:dyDescent="0.2">
      <c r="A315" s="15"/>
      <c r="B315" s="15"/>
      <c r="C315" s="10" t="str">
        <f>IF($B315="","",IFERROR(IF(ISNUMBER(FIND("[",$B315)),MID($B315,FIND("[",$B315)+1,FIND("]",$B315)-FIND("[",$B315)-1),IF(ISNUMBER($B315),INDEX(Personnes!$B$5:$B$154,MATCH($B315,Personnes!$A$5:$A$154,0)),IFERROR(INDEX(Personnes!$B$5:$B$154,MATCH($B315&amp;"*",Personnes!$C$5:$C$154,0)),INDEX(Personnes!$B$5:$B$154,MATCH($B315&amp;"*",Personnes!$D$5:$D$154,0))))),""))</f>
        <v/>
      </c>
      <c r="D315" s="10" t="str">
        <f>IFERROR(INDEX(Personnes!$C$5:$C$154,MATCH($C315,Personnes!$B$5:$B$154,0))&amp;"","")</f>
        <v/>
      </c>
      <c r="E315" s="10" t="str">
        <f>IFERROR(INDEX(Personnes!$D$5:$D$154,MATCH($C315,Personnes!$B$5:$B$154,0))&amp;"","")</f>
        <v/>
      </c>
      <c r="F315" s="15"/>
      <c r="G315" s="9"/>
      <c r="H315" s="10" t="str">
        <f>IF($B315="","",IF($C315="","apnéiste non reconnu",IF($A315="","séance non renseignée",IF(COUNTIFS($A$5:$A$504,$A315,$C$5:$C$504,$C315)&gt;1,"doublon séance / apnéiste",IF(OR($C315=IFERROR(INDEX('Calendrier'!$K$5:$K$5,MATCH($A315,'Calendrier'!$A$5:$A$5,0)),""),$C315=IFERROR(INDEX('Calendrier'!$O$5:$O$5,MATCH($A315,'Calendrier'!$A$5:$A$5,0)),"")),"encadrant et élève sur la même séance",IF(IFERROR(INDEX(Personnes!$H$5:$H$154,MATCH($C315,Personnes!$B$5:$B$154,0)),"")&lt;&gt;"oui","invité (hors ligne)","ok"))))))</f>
        <v/>
      </c>
    </row>
    <row r="316" spans="1:8" x14ac:dyDescent="0.2">
      <c r="A316" s="15"/>
      <c r="B316" s="15"/>
      <c r="C316" s="10" t="str">
        <f>IF($B316="","",IFERROR(IF(ISNUMBER(FIND("[",$B316)),MID($B316,FIND("[",$B316)+1,FIND("]",$B316)-FIND("[",$B316)-1),IF(ISNUMBER($B316),INDEX(Personnes!$B$5:$B$154,MATCH($B316,Personnes!$A$5:$A$154,0)),IFERROR(INDEX(Personnes!$B$5:$B$154,MATCH($B316&amp;"*",Personnes!$C$5:$C$154,0)),INDEX(Personnes!$B$5:$B$154,MATCH($B316&amp;"*",Personnes!$D$5:$D$154,0))))),""))</f>
        <v/>
      </c>
      <c r="D316" s="10" t="str">
        <f>IFERROR(INDEX(Personnes!$C$5:$C$154,MATCH($C316,Personnes!$B$5:$B$154,0))&amp;"","")</f>
        <v/>
      </c>
      <c r="E316" s="10" t="str">
        <f>IFERROR(INDEX(Personnes!$D$5:$D$154,MATCH($C316,Personnes!$B$5:$B$154,0))&amp;"","")</f>
        <v/>
      </c>
      <c r="F316" s="15"/>
      <c r="G316" s="9"/>
      <c r="H316" s="10" t="str">
        <f>IF($B316="","",IF($C316="","apnéiste non reconnu",IF($A316="","séance non renseignée",IF(COUNTIFS($A$5:$A$504,$A316,$C$5:$C$504,$C316)&gt;1,"doublon séance / apnéiste",IF(OR($C316=IFERROR(INDEX('Calendrier'!$K$5:$K$5,MATCH($A316,'Calendrier'!$A$5:$A$5,0)),""),$C316=IFERROR(INDEX('Calendrier'!$O$5:$O$5,MATCH($A316,'Calendrier'!$A$5:$A$5,0)),"")),"encadrant et élève sur la même séance",IF(IFERROR(INDEX(Personnes!$H$5:$H$154,MATCH($C316,Personnes!$B$5:$B$154,0)),"")&lt;&gt;"oui","invité (hors ligne)","ok"))))))</f>
        <v/>
      </c>
    </row>
    <row r="317" spans="1:8" x14ac:dyDescent="0.2">
      <c r="A317" s="15"/>
      <c r="B317" s="15"/>
      <c r="C317" s="10" t="str">
        <f>IF($B317="","",IFERROR(IF(ISNUMBER(FIND("[",$B317)),MID($B317,FIND("[",$B317)+1,FIND("]",$B317)-FIND("[",$B317)-1),IF(ISNUMBER($B317),INDEX(Personnes!$B$5:$B$154,MATCH($B317,Personnes!$A$5:$A$154,0)),IFERROR(INDEX(Personnes!$B$5:$B$154,MATCH($B317&amp;"*",Personnes!$C$5:$C$154,0)),INDEX(Personnes!$B$5:$B$154,MATCH($B317&amp;"*",Personnes!$D$5:$D$154,0))))),""))</f>
        <v/>
      </c>
      <c r="D317" s="10" t="str">
        <f>IFERROR(INDEX(Personnes!$C$5:$C$154,MATCH($C317,Personnes!$B$5:$B$154,0))&amp;"","")</f>
        <v/>
      </c>
      <c r="E317" s="10" t="str">
        <f>IFERROR(INDEX(Personnes!$D$5:$D$154,MATCH($C317,Personnes!$B$5:$B$154,0))&amp;"","")</f>
        <v/>
      </c>
      <c r="F317" s="15"/>
      <c r="G317" s="9"/>
      <c r="H317" s="10" t="str">
        <f>IF($B317="","",IF($C317="","apnéiste non reconnu",IF($A317="","séance non renseignée",IF(COUNTIFS($A$5:$A$504,$A317,$C$5:$C$504,$C317)&gt;1,"doublon séance / apnéiste",IF(OR($C317=IFERROR(INDEX('Calendrier'!$K$5:$K$5,MATCH($A317,'Calendrier'!$A$5:$A$5,0)),""),$C317=IFERROR(INDEX('Calendrier'!$O$5:$O$5,MATCH($A317,'Calendrier'!$A$5:$A$5,0)),"")),"encadrant et élève sur la même séance",IF(IFERROR(INDEX(Personnes!$H$5:$H$154,MATCH($C317,Personnes!$B$5:$B$154,0)),"")&lt;&gt;"oui","invité (hors ligne)","ok"))))))</f>
        <v/>
      </c>
    </row>
    <row r="318" spans="1:8" x14ac:dyDescent="0.2">
      <c r="A318" s="15"/>
      <c r="B318" s="15"/>
      <c r="C318" s="10" t="str">
        <f>IF($B318="","",IFERROR(IF(ISNUMBER(FIND("[",$B318)),MID($B318,FIND("[",$B318)+1,FIND("]",$B318)-FIND("[",$B318)-1),IF(ISNUMBER($B318),INDEX(Personnes!$B$5:$B$154,MATCH($B318,Personnes!$A$5:$A$154,0)),IFERROR(INDEX(Personnes!$B$5:$B$154,MATCH($B318&amp;"*",Personnes!$C$5:$C$154,0)),INDEX(Personnes!$B$5:$B$154,MATCH($B318&amp;"*",Personnes!$D$5:$D$154,0))))),""))</f>
        <v/>
      </c>
      <c r="D318" s="10" t="str">
        <f>IFERROR(INDEX(Personnes!$C$5:$C$154,MATCH($C318,Personnes!$B$5:$B$154,0))&amp;"","")</f>
        <v/>
      </c>
      <c r="E318" s="10" t="str">
        <f>IFERROR(INDEX(Personnes!$D$5:$D$154,MATCH($C318,Personnes!$B$5:$B$154,0))&amp;"","")</f>
        <v/>
      </c>
      <c r="F318" s="15"/>
      <c r="G318" s="9"/>
      <c r="H318" s="10" t="str">
        <f>IF($B318="","",IF($C318="","apnéiste non reconnu",IF($A318="","séance non renseignée",IF(COUNTIFS($A$5:$A$504,$A318,$C$5:$C$504,$C318)&gt;1,"doublon séance / apnéiste",IF(OR($C318=IFERROR(INDEX('Calendrier'!$K$5:$K$5,MATCH($A318,'Calendrier'!$A$5:$A$5,0)),""),$C318=IFERROR(INDEX('Calendrier'!$O$5:$O$5,MATCH($A318,'Calendrier'!$A$5:$A$5,0)),"")),"encadrant et élève sur la même séance",IF(IFERROR(INDEX(Personnes!$H$5:$H$154,MATCH($C318,Personnes!$B$5:$B$154,0)),"")&lt;&gt;"oui","invité (hors ligne)","ok"))))))</f>
        <v/>
      </c>
    </row>
    <row r="319" spans="1:8" x14ac:dyDescent="0.2">
      <c r="A319" s="15"/>
      <c r="B319" s="15"/>
      <c r="C319" s="10" t="str">
        <f>IF($B319="","",IFERROR(IF(ISNUMBER(FIND("[",$B319)),MID($B319,FIND("[",$B319)+1,FIND("]",$B319)-FIND("[",$B319)-1),IF(ISNUMBER($B319),INDEX(Personnes!$B$5:$B$154,MATCH($B319,Personnes!$A$5:$A$154,0)),IFERROR(INDEX(Personnes!$B$5:$B$154,MATCH($B319&amp;"*",Personnes!$C$5:$C$154,0)),INDEX(Personnes!$B$5:$B$154,MATCH($B319&amp;"*",Personnes!$D$5:$D$154,0))))),""))</f>
        <v/>
      </c>
      <c r="D319" s="10" t="str">
        <f>IFERROR(INDEX(Personnes!$C$5:$C$154,MATCH($C319,Personnes!$B$5:$B$154,0))&amp;"","")</f>
        <v/>
      </c>
      <c r="E319" s="10" t="str">
        <f>IFERROR(INDEX(Personnes!$D$5:$D$154,MATCH($C319,Personnes!$B$5:$B$154,0))&amp;"","")</f>
        <v/>
      </c>
      <c r="F319" s="15"/>
      <c r="G319" s="9"/>
      <c r="H319" s="10" t="str">
        <f>IF($B319="","",IF($C319="","apnéiste non reconnu",IF($A319="","séance non renseignée",IF(COUNTIFS($A$5:$A$504,$A319,$C$5:$C$504,$C319)&gt;1,"doublon séance / apnéiste",IF(OR($C319=IFERROR(INDEX('Calendrier'!$K$5:$K$5,MATCH($A319,'Calendrier'!$A$5:$A$5,0)),""),$C319=IFERROR(INDEX('Calendrier'!$O$5:$O$5,MATCH($A319,'Calendrier'!$A$5:$A$5,0)),"")),"encadrant et élève sur la même séance",IF(IFERROR(INDEX(Personnes!$H$5:$H$154,MATCH($C319,Personnes!$B$5:$B$154,0)),"")&lt;&gt;"oui","invité (hors ligne)","ok"))))))</f>
        <v/>
      </c>
    </row>
    <row r="320" spans="1:8" x14ac:dyDescent="0.2">
      <c r="A320" s="15"/>
      <c r="B320" s="15"/>
      <c r="C320" s="10" t="str">
        <f>IF($B320="","",IFERROR(IF(ISNUMBER(FIND("[",$B320)),MID($B320,FIND("[",$B320)+1,FIND("]",$B320)-FIND("[",$B320)-1),IF(ISNUMBER($B320),INDEX(Personnes!$B$5:$B$154,MATCH($B320,Personnes!$A$5:$A$154,0)),IFERROR(INDEX(Personnes!$B$5:$B$154,MATCH($B320&amp;"*",Personnes!$C$5:$C$154,0)),INDEX(Personnes!$B$5:$B$154,MATCH($B320&amp;"*",Personnes!$D$5:$D$154,0))))),""))</f>
        <v/>
      </c>
      <c r="D320" s="10" t="str">
        <f>IFERROR(INDEX(Personnes!$C$5:$C$154,MATCH($C320,Personnes!$B$5:$B$154,0))&amp;"","")</f>
        <v/>
      </c>
      <c r="E320" s="10" t="str">
        <f>IFERROR(INDEX(Personnes!$D$5:$D$154,MATCH($C320,Personnes!$B$5:$B$154,0))&amp;"","")</f>
        <v/>
      </c>
      <c r="F320" s="15"/>
      <c r="G320" s="9"/>
      <c r="H320" s="10" t="str">
        <f>IF($B320="","",IF($C320="","apnéiste non reconnu",IF($A320="","séance non renseignée",IF(COUNTIFS($A$5:$A$504,$A320,$C$5:$C$504,$C320)&gt;1,"doublon séance / apnéiste",IF(OR($C320=IFERROR(INDEX('Calendrier'!$K$5:$K$5,MATCH($A320,'Calendrier'!$A$5:$A$5,0)),""),$C320=IFERROR(INDEX('Calendrier'!$O$5:$O$5,MATCH($A320,'Calendrier'!$A$5:$A$5,0)),"")),"encadrant et élève sur la même séance",IF(IFERROR(INDEX(Personnes!$H$5:$H$154,MATCH($C320,Personnes!$B$5:$B$154,0)),"")&lt;&gt;"oui","invité (hors ligne)","ok"))))))</f>
        <v/>
      </c>
    </row>
    <row r="321" spans="1:8" x14ac:dyDescent="0.2">
      <c r="A321" s="15"/>
      <c r="B321" s="15"/>
      <c r="C321" s="10" t="str">
        <f>IF($B321="","",IFERROR(IF(ISNUMBER(FIND("[",$B321)),MID($B321,FIND("[",$B321)+1,FIND("]",$B321)-FIND("[",$B321)-1),IF(ISNUMBER($B321),INDEX(Personnes!$B$5:$B$154,MATCH($B321,Personnes!$A$5:$A$154,0)),IFERROR(INDEX(Personnes!$B$5:$B$154,MATCH($B321&amp;"*",Personnes!$C$5:$C$154,0)),INDEX(Personnes!$B$5:$B$154,MATCH($B321&amp;"*",Personnes!$D$5:$D$154,0))))),""))</f>
        <v/>
      </c>
      <c r="D321" s="10" t="str">
        <f>IFERROR(INDEX(Personnes!$C$5:$C$154,MATCH($C321,Personnes!$B$5:$B$154,0))&amp;"","")</f>
        <v/>
      </c>
      <c r="E321" s="10" t="str">
        <f>IFERROR(INDEX(Personnes!$D$5:$D$154,MATCH($C321,Personnes!$B$5:$B$154,0))&amp;"","")</f>
        <v/>
      </c>
      <c r="F321" s="15"/>
      <c r="G321" s="9"/>
      <c r="H321" s="10" t="str">
        <f>IF($B321="","",IF($C321="","apnéiste non reconnu",IF($A321="","séance non renseignée",IF(COUNTIFS($A$5:$A$504,$A321,$C$5:$C$504,$C321)&gt;1,"doublon séance / apnéiste",IF(OR($C321=IFERROR(INDEX('Calendrier'!$K$5:$K$5,MATCH($A321,'Calendrier'!$A$5:$A$5,0)),""),$C321=IFERROR(INDEX('Calendrier'!$O$5:$O$5,MATCH($A321,'Calendrier'!$A$5:$A$5,0)),"")),"encadrant et élève sur la même séance",IF(IFERROR(INDEX(Personnes!$H$5:$H$154,MATCH($C321,Personnes!$B$5:$B$154,0)),"")&lt;&gt;"oui","invité (hors ligne)","ok"))))))</f>
        <v/>
      </c>
    </row>
    <row r="322" spans="1:8" x14ac:dyDescent="0.2">
      <c r="A322" s="15"/>
      <c r="B322" s="15"/>
      <c r="C322" s="10" t="str">
        <f>IF($B322="","",IFERROR(IF(ISNUMBER(FIND("[",$B322)),MID($B322,FIND("[",$B322)+1,FIND("]",$B322)-FIND("[",$B322)-1),IF(ISNUMBER($B322),INDEX(Personnes!$B$5:$B$154,MATCH($B322,Personnes!$A$5:$A$154,0)),IFERROR(INDEX(Personnes!$B$5:$B$154,MATCH($B322&amp;"*",Personnes!$C$5:$C$154,0)),INDEX(Personnes!$B$5:$B$154,MATCH($B322&amp;"*",Personnes!$D$5:$D$154,0))))),""))</f>
        <v/>
      </c>
      <c r="D322" s="10" t="str">
        <f>IFERROR(INDEX(Personnes!$C$5:$C$154,MATCH($C322,Personnes!$B$5:$B$154,0))&amp;"","")</f>
        <v/>
      </c>
      <c r="E322" s="10" t="str">
        <f>IFERROR(INDEX(Personnes!$D$5:$D$154,MATCH($C322,Personnes!$B$5:$B$154,0))&amp;"","")</f>
        <v/>
      </c>
      <c r="F322" s="15"/>
      <c r="G322" s="9"/>
      <c r="H322" s="10" t="str">
        <f>IF($B322="","",IF($C322="","apnéiste non reconnu",IF($A322="","séance non renseignée",IF(COUNTIFS($A$5:$A$504,$A322,$C$5:$C$504,$C322)&gt;1,"doublon séance / apnéiste",IF(OR($C322=IFERROR(INDEX('Calendrier'!$K$5:$K$5,MATCH($A322,'Calendrier'!$A$5:$A$5,0)),""),$C322=IFERROR(INDEX('Calendrier'!$O$5:$O$5,MATCH($A322,'Calendrier'!$A$5:$A$5,0)),"")),"encadrant et élève sur la même séance",IF(IFERROR(INDEX(Personnes!$H$5:$H$154,MATCH($C322,Personnes!$B$5:$B$154,0)),"")&lt;&gt;"oui","invité (hors ligne)","ok"))))))</f>
        <v/>
      </c>
    </row>
    <row r="323" spans="1:8" x14ac:dyDescent="0.2">
      <c r="A323" s="15"/>
      <c r="B323" s="15"/>
      <c r="C323" s="10" t="str">
        <f>IF($B323="","",IFERROR(IF(ISNUMBER(FIND("[",$B323)),MID($B323,FIND("[",$B323)+1,FIND("]",$B323)-FIND("[",$B323)-1),IF(ISNUMBER($B323),INDEX(Personnes!$B$5:$B$154,MATCH($B323,Personnes!$A$5:$A$154,0)),IFERROR(INDEX(Personnes!$B$5:$B$154,MATCH($B323&amp;"*",Personnes!$C$5:$C$154,0)),INDEX(Personnes!$B$5:$B$154,MATCH($B323&amp;"*",Personnes!$D$5:$D$154,0))))),""))</f>
        <v/>
      </c>
      <c r="D323" s="10" t="str">
        <f>IFERROR(INDEX(Personnes!$C$5:$C$154,MATCH($C323,Personnes!$B$5:$B$154,0))&amp;"","")</f>
        <v/>
      </c>
      <c r="E323" s="10" t="str">
        <f>IFERROR(INDEX(Personnes!$D$5:$D$154,MATCH($C323,Personnes!$B$5:$B$154,0))&amp;"","")</f>
        <v/>
      </c>
      <c r="F323" s="15"/>
      <c r="G323" s="9"/>
      <c r="H323" s="10" t="str">
        <f>IF($B323="","",IF($C323="","apnéiste non reconnu",IF($A323="","séance non renseignée",IF(COUNTIFS($A$5:$A$504,$A323,$C$5:$C$504,$C323)&gt;1,"doublon séance / apnéiste",IF(OR($C323=IFERROR(INDEX('Calendrier'!$K$5:$K$5,MATCH($A323,'Calendrier'!$A$5:$A$5,0)),""),$C323=IFERROR(INDEX('Calendrier'!$O$5:$O$5,MATCH($A323,'Calendrier'!$A$5:$A$5,0)),"")),"encadrant et élève sur la même séance",IF(IFERROR(INDEX(Personnes!$H$5:$H$154,MATCH($C323,Personnes!$B$5:$B$154,0)),"")&lt;&gt;"oui","invité (hors ligne)","ok"))))))</f>
        <v/>
      </c>
    </row>
    <row r="324" spans="1:8" x14ac:dyDescent="0.2">
      <c r="A324" s="15"/>
      <c r="B324" s="15"/>
      <c r="C324" s="10" t="str">
        <f>IF($B324="","",IFERROR(IF(ISNUMBER(FIND("[",$B324)),MID($B324,FIND("[",$B324)+1,FIND("]",$B324)-FIND("[",$B324)-1),IF(ISNUMBER($B324),INDEX(Personnes!$B$5:$B$154,MATCH($B324,Personnes!$A$5:$A$154,0)),IFERROR(INDEX(Personnes!$B$5:$B$154,MATCH($B324&amp;"*",Personnes!$C$5:$C$154,0)),INDEX(Personnes!$B$5:$B$154,MATCH($B324&amp;"*",Personnes!$D$5:$D$154,0))))),""))</f>
        <v/>
      </c>
      <c r="D324" s="10" t="str">
        <f>IFERROR(INDEX(Personnes!$C$5:$C$154,MATCH($C324,Personnes!$B$5:$B$154,0))&amp;"","")</f>
        <v/>
      </c>
      <c r="E324" s="10" t="str">
        <f>IFERROR(INDEX(Personnes!$D$5:$D$154,MATCH($C324,Personnes!$B$5:$B$154,0))&amp;"","")</f>
        <v/>
      </c>
      <c r="F324" s="15"/>
      <c r="G324" s="9"/>
      <c r="H324" s="10" t="str">
        <f>IF($B324="","",IF($C324="","apnéiste non reconnu",IF($A324="","séance non renseignée",IF(COUNTIFS($A$5:$A$504,$A324,$C$5:$C$504,$C324)&gt;1,"doublon séance / apnéiste",IF(OR($C324=IFERROR(INDEX('Calendrier'!$K$5:$K$5,MATCH($A324,'Calendrier'!$A$5:$A$5,0)),""),$C324=IFERROR(INDEX('Calendrier'!$O$5:$O$5,MATCH($A324,'Calendrier'!$A$5:$A$5,0)),"")),"encadrant et élève sur la même séance",IF(IFERROR(INDEX(Personnes!$H$5:$H$154,MATCH($C324,Personnes!$B$5:$B$154,0)),"")&lt;&gt;"oui","invité (hors ligne)","ok"))))))</f>
        <v/>
      </c>
    </row>
    <row r="325" spans="1:8" x14ac:dyDescent="0.2">
      <c r="A325" s="15"/>
      <c r="B325" s="15"/>
      <c r="C325" s="10" t="str">
        <f>IF($B325="","",IFERROR(IF(ISNUMBER(FIND("[",$B325)),MID($B325,FIND("[",$B325)+1,FIND("]",$B325)-FIND("[",$B325)-1),IF(ISNUMBER($B325),INDEX(Personnes!$B$5:$B$154,MATCH($B325,Personnes!$A$5:$A$154,0)),IFERROR(INDEX(Personnes!$B$5:$B$154,MATCH($B325&amp;"*",Personnes!$C$5:$C$154,0)),INDEX(Personnes!$B$5:$B$154,MATCH($B325&amp;"*",Personnes!$D$5:$D$154,0))))),""))</f>
        <v/>
      </c>
      <c r="D325" s="10" t="str">
        <f>IFERROR(INDEX(Personnes!$C$5:$C$154,MATCH($C325,Personnes!$B$5:$B$154,0))&amp;"","")</f>
        <v/>
      </c>
      <c r="E325" s="10" t="str">
        <f>IFERROR(INDEX(Personnes!$D$5:$D$154,MATCH($C325,Personnes!$B$5:$B$154,0))&amp;"","")</f>
        <v/>
      </c>
      <c r="F325" s="15"/>
      <c r="G325" s="9"/>
      <c r="H325" s="10" t="str">
        <f>IF($B325="","",IF($C325="","apnéiste non reconnu",IF($A325="","séance non renseignée",IF(COUNTIFS($A$5:$A$504,$A325,$C$5:$C$504,$C325)&gt;1,"doublon séance / apnéiste",IF(OR($C325=IFERROR(INDEX('Calendrier'!$K$5:$K$5,MATCH($A325,'Calendrier'!$A$5:$A$5,0)),""),$C325=IFERROR(INDEX('Calendrier'!$O$5:$O$5,MATCH($A325,'Calendrier'!$A$5:$A$5,0)),"")),"encadrant et élève sur la même séance",IF(IFERROR(INDEX(Personnes!$H$5:$H$154,MATCH($C325,Personnes!$B$5:$B$154,0)),"")&lt;&gt;"oui","invité (hors ligne)","ok"))))))</f>
        <v/>
      </c>
    </row>
    <row r="326" spans="1:8" x14ac:dyDescent="0.2">
      <c r="A326" s="15"/>
      <c r="B326" s="15"/>
      <c r="C326" s="10" t="str">
        <f>IF($B326="","",IFERROR(IF(ISNUMBER(FIND("[",$B326)),MID($B326,FIND("[",$B326)+1,FIND("]",$B326)-FIND("[",$B326)-1),IF(ISNUMBER($B326),INDEX(Personnes!$B$5:$B$154,MATCH($B326,Personnes!$A$5:$A$154,0)),IFERROR(INDEX(Personnes!$B$5:$B$154,MATCH($B326&amp;"*",Personnes!$C$5:$C$154,0)),INDEX(Personnes!$B$5:$B$154,MATCH($B326&amp;"*",Personnes!$D$5:$D$154,0))))),""))</f>
        <v/>
      </c>
      <c r="D326" s="10" t="str">
        <f>IFERROR(INDEX(Personnes!$C$5:$C$154,MATCH($C326,Personnes!$B$5:$B$154,0))&amp;"","")</f>
        <v/>
      </c>
      <c r="E326" s="10" t="str">
        <f>IFERROR(INDEX(Personnes!$D$5:$D$154,MATCH($C326,Personnes!$B$5:$B$154,0))&amp;"","")</f>
        <v/>
      </c>
      <c r="F326" s="15"/>
      <c r="G326" s="9"/>
      <c r="H326" s="10" t="str">
        <f>IF($B326="","",IF($C326="","apnéiste non reconnu",IF($A326="","séance non renseignée",IF(COUNTIFS($A$5:$A$504,$A326,$C$5:$C$504,$C326)&gt;1,"doublon séance / apnéiste",IF(OR($C326=IFERROR(INDEX('Calendrier'!$K$5:$K$5,MATCH($A326,'Calendrier'!$A$5:$A$5,0)),""),$C326=IFERROR(INDEX('Calendrier'!$O$5:$O$5,MATCH($A326,'Calendrier'!$A$5:$A$5,0)),"")),"encadrant et élève sur la même séance",IF(IFERROR(INDEX(Personnes!$H$5:$H$154,MATCH($C326,Personnes!$B$5:$B$154,0)),"")&lt;&gt;"oui","invité (hors ligne)","ok"))))))</f>
        <v/>
      </c>
    </row>
    <row r="327" spans="1:8" x14ac:dyDescent="0.2">
      <c r="A327" s="15"/>
      <c r="B327" s="15"/>
      <c r="C327" s="10" t="str">
        <f>IF($B327="","",IFERROR(IF(ISNUMBER(FIND("[",$B327)),MID($B327,FIND("[",$B327)+1,FIND("]",$B327)-FIND("[",$B327)-1),IF(ISNUMBER($B327),INDEX(Personnes!$B$5:$B$154,MATCH($B327,Personnes!$A$5:$A$154,0)),IFERROR(INDEX(Personnes!$B$5:$B$154,MATCH($B327&amp;"*",Personnes!$C$5:$C$154,0)),INDEX(Personnes!$B$5:$B$154,MATCH($B327&amp;"*",Personnes!$D$5:$D$154,0))))),""))</f>
        <v/>
      </c>
      <c r="D327" s="10" t="str">
        <f>IFERROR(INDEX(Personnes!$C$5:$C$154,MATCH($C327,Personnes!$B$5:$B$154,0))&amp;"","")</f>
        <v/>
      </c>
      <c r="E327" s="10" t="str">
        <f>IFERROR(INDEX(Personnes!$D$5:$D$154,MATCH($C327,Personnes!$B$5:$B$154,0))&amp;"","")</f>
        <v/>
      </c>
      <c r="F327" s="15"/>
      <c r="G327" s="9"/>
      <c r="H327" s="10" t="str">
        <f>IF($B327="","",IF($C327="","apnéiste non reconnu",IF($A327="","séance non renseignée",IF(COUNTIFS($A$5:$A$504,$A327,$C$5:$C$504,$C327)&gt;1,"doublon séance / apnéiste",IF(OR($C327=IFERROR(INDEX('Calendrier'!$K$5:$K$5,MATCH($A327,'Calendrier'!$A$5:$A$5,0)),""),$C327=IFERROR(INDEX('Calendrier'!$O$5:$O$5,MATCH($A327,'Calendrier'!$A$5:$A$5,0)),"")),"encadrant et élève sur la même séance",IF(IFERROR(INDEX(Personnes!$H$5:$H$154,MATCH($C327,Personnes!$B$5:$B$154,0)),"")&lt;&gt;"oui","invité (hors ligne)","ok"))))))</f>
        <v/>
      </c>
    </row>
    <row r="328" spans="1:8" x14ac:dyDescent="0.2">
      <c r="A328" s="15"/>
      <c r="B328" s="15"/>
      <c r="C328" s="10" t="str">
        <f>IF($B328="","",IFERROR(IF(ISNUMBER(FIND("[",$B328)),MID($B328,FIND("[",$B328)+1,FIND("]",$B328)-FIND("[",$B328)-1),IF(ISNUMBER($B328),INDEX(Personnes!$B$5:$B$154,MATCH($B328,Personnes!$A$5:$A$154,0)),IFERROR(INDEX(Personnes!$B$5:$B$154,MATCH($B328&amp;"*",Personnes!$C$5:$C$154,0)),INDEX(Personnes!$B$5:$B$154,MATCH($B328&amp;"*",Personnes!$D$5:$D$154,0))))),""))</f>
        <v/>
      </c>
      <c r="D328" s="10" t="str">
        <f>IFERROR(INDEX(Personnes!$C$5:$C$154,MATCH($C328,Personnes!$B$5:$B$154,0))&amp;"","")</f>
        <v/>
      </c>
      <c r="E328" s="10" t="str">
        <f>IFERROR(INDEX(Personnes!$D$5:$D$154,MATCH($C328,Personnes!$B$5:$B$154,0))&amp;"","")</f>
        <v/>
      </c>
      <c r="F328" s="15"/>
      <c r="G328" s="9"/>
      <c r="H328" s="10" t="str">
        <f>IF($B328="","",IF($C328="","apnéiste non reconnu",IF($A328="","séance non renseignée",IF(COUNTIFS($A$5:$A$504,$A328,$C$5:$C$504,$C328)&gt;1,"doublon séance / apnéiste",IF(OR($C328=IFERROR(INDEX('Calendrier'!$K$5:$K$5,MATCH($A328,'Calendrier'!$A$5:$A$5,0)),""),$C328=IFERROR(INDEX('Calendrier'!$O$5:$O$5,MATCH($A328,'Calendrier'!$A$5:$A$5,0)),"")),"encadrant et élève sur la même séance",IF(IFERROR(INDEX(Personnes!$H$5:$H$154,MATCH($C328,Personnes!$B$5:$B$154,0)),"")&lt;&gt;"oui","invité (hors ligne)","ok"))))))</f>
        <v/>
      </c>
    </row>
    <row r="329" spans="1:8" x14ac:dyDescent="0.2">
      <c r="A329" s="15"/>
      <c r="B329" s="15"/>
      <c r="C329" s="10" t="str">
        <f>IF($B329="","",IFERROR(IF(ISNUMBER(FIND("[",$B329)),MID($B329,FIND("[",$B329)+1,FIND("]",$B329)-FIND("[",$B329)-1),IF(ISNUMBER($B329),INDEX(Personnes!$B$5:$B$154,MATCH($B329,Personnes!$A$5:$A$154,0)),IFERROR(INDEX(Personnes!$B$5:$B$154,MATCH($B329&amp;"*",Personnes!$C$5:$C$154,0)),INDEX(Personnes!$B$5:$B$154,MATCH($B329&amp;"*",Personnes!$D$5:$D$154,0))))),""))</f>
        <v/>
      </c>
      <c r="D329" s="10" t="str">
        <f>IFERROR(INDEX(Personnes!$C$5:$C$154,MATCH($C329,Personnes!$B$5:$B$154,0))&amp;"","")</f>
        <v/>
      </c>
      <c r="E329" s="10" t="str">
        <f>IFERROR(INDEX(Personnes!$D$5:$D$154,MATCH($C329,Personnes!$B$5:$B$154,0))&amp;"","")</f>
        <v/>
      </c>
      <c r="F329" s="15"/>
      <c r="G329" s="9"/>
      <c r="H329" s="10" t="str">
        <f>IF($B329="","",IF($C329="","apnéiste non reconnu",IF($A329="","séance non renseignée",IF(COUNTIFS($A$5:$A$504,$A329,$C$5:$C$504,$C329)&gt;1,"doublon séance / apnéiste",IF(OR($C329=IFERROR(INDEX('Calendrier'!$K$5:$K$5,MATCH($A329,'Calendrier'!$A$5:$A$5,0)),""),$C329=IFERROR(INDEX('Calendrier'!$O$5:$O$5,MATCH($A329,'Calendrier'!$A$5:$A$5,0)),"")),"encadrant et élève sur la même séance",IF(IFERROR(INDEX(Personnes!$H$5:$H$154,MATCH($C329,Personnes!$B$5:$B$154,0)),"")&lt;&gt;"oui","invité (hors ligne)","ok"))))))</f>
        <v/>
      </c>
    </row>
    <row r="330" spans="1:8" x14ac:dyDescent="0.2">
      <c r="A330" s="15"/>
      <c r="B330" s="15"/>
      <c r="C330" s="10" t="str">
        <f>IF($B330="","",IFERROR(IF(ISNUMBER(FIND("[",$B330)),MID($B330,FIND("[",$B330)+1,FIND("]",$B330)-FIND("[",$B330)-1),IF(ISNUMBER($B330),INDEX(Personnes!$B$5:$B$154,MATCH($B330,Personnes!$A$5:$A$154,0)),IFERROR(INDEX(Personnes!$B$5:$B$154,MATCH($B330&amp;"*",Personnes!$C$5:$C$154,0)),INDEX(Personnes!$B$5:$B$154,MATCH($B330&amp;"*",Personnes!$D$5:$D$154,0))))),""))</f>
        <v/>
      </c>
      <c r="D330" s="10" t="str">
        <f>IFERROR(INDEX(Personnes!$C$5:$C$154,MATCH($C330,Personnes!$B$5:$B$154,0))&amp;"","")</f>
        <v/>
      </c>
      <c r="E330" s="10" t="str">
        <f>IFERROR(INDEX(Personnes!$D$5:$D$154,MATCH($C330,Personnes!$B$5:$B$154,0))&amp;"","")</f>
        <v/>
      </c>
      <c r="F330" s="15"/>
      <c r="G330" s="9"/>
      <c r="H330" s="10" t="str">
        <f>IF($B330="","",IF($C330="","apnéiste non reconnu",IF($A330="","séance non renseignée",IF(COUNTIFS($A$5:$A$504,$A330,$C$5:$C$504,$C330)&gt;1,"doublon séance / apnéiste",IF(OR($C330=IFERROR(INDEX('Calendrier'!$K$5:$K$5,MATCH($A330,'Calendrier'!$A$5:$A$5,0)),""),$C330=IFERROR(INDEX('Calendrier'!$O$5:$O$5,MATCH($A330,'Calendrier'!$A$5:$A$5,0)),"")),"encadrant et élève sur la même séance",IF(IFERROR(INDEX(Personnes!$H$5:$H$154,MATCH($C330,Personnes!$B$5:$B$154,0)),"")&lt;&gt;"oui","invité (hors ligne)","ok"))))))</f>
        <v/>
      </c>
    </row>
    <row r="331" spans="1:8" x14ac:dyDescent="0.2">
      <c r="A331" s="15"/>
      <c r="B331" s="15"/>
      <c r="C331" s="10" t="str">
        <f>IF($B331="","",IFERROR(IF(ISNUMBER(FIND("[",$B331)),MID($B331,FIND("[",$B331)+1,FIND("]",$B331)-FIND("[",$B331)-1),IF(ISNUMBER($B331),INDEX(Personnes!$B$5:$B$154,MATCH($B331,Personnes!$A$5:$A$154,0)),IFERROR(INDEX(Personnes!$B$5:$B$154,MATCH($B331&amp;"*",Personnes!$C$5:$C$154,0)),INDEX(Personnes!$B$5:$B$154,MATCH($B331&amp;"*",Personnes!$D$5:$D$154,0))))),""))</f>
        <v/>
      </c>
      <c r="D331" s="10" t="str">
        <f>IFERROR(INDEX(Personnes!$C$5:$C$154,MATCH($C331,Personnes!$B$5:$B$154,0))&amp;"","")</f>
        <v/>
      </c>
      <c r="E331" s="10" t="str">
        <f>IFERROR(INDEX(Personnes!$D$5:$D$154,MATCH($C331,Personnes!$B$5:$B$154,0))&amp;"","")</f>
        <v/>
      </c>
      <c r="F331" s="15"/>
      <c r="G331" s="9"/>
      <c r="H331" s="10" t="str">
        <f>IF($B331="","",IF($C331="","apnéiste non reconnu",IF($A331="","séance non renseignée",IF(COUNTIFS($A$5:$A$504,$A331,$C$5:$C$504,$C331)&gt;1,"doublon séance / apnéiste",IF(OR($C331=IFERROR(INDEX('Calendrier'!$K$5:$K$5,MATCH($A331,'Calendrier'!$A$5:$A$5,0)),""),$C331=IFERROR(INDEX('Calendrier'!$O$5:$O$5,MATCH($A331,'Calendrier'!$A$5:$A$5,0)),"")),"encadrant et élève sur la même séance",IF(IFERROR(INDEX(Personnes!$H$5:$H$154,MATCH($C331,Personnes!$B$5:$B$154,0)),"")&lt;&gt;"oui","invité (hors ligne)","ok"))))))</f>
        <v/>
      </c>
    </row>
    <row r="332" spans="1:8" x14ac:dyDescent="0.2">
      <c r="A332" s="15"/>
      <c r="B332" s="15"/>
      <c r="C332" s="10" t="str">
        <f>IF($B332="","",IFERROR(IF(ISNUMBER(FIND("[",$B332)),MID($B332,FIND("[",$B332)+1,FIND("]",$B332)-FIND("[",$B332)-1),IF(ISNUMBER($B332),INDEX(Personnes!$B$5:$B$154,MATCH($B332,Personnes!$A$5:$A$154,0)),IFERROR(INDEX(Personnes!$B$5:$B$154,MATCH($B332&amp;"*",Personnes!$C$5:$C$154,0)),INDEX(Personnes!$B$5:$B$154,MATCH($B332&amp;"*",Personnes!$D$5:$D$154,0))))),""))</f>
        <v/>
      </c>
      <c r="D332" s="10" t="str">
        <f>IFERROR(INDEX(Personnes!$C$5:$C$154,MATCH($C332,Personnes!$B$5:$B$154,0))&amp;"","")</f>
        <v/>
      </c>
      <c r="E332" s="10" t="str">
        <f>IFERROR(INDEX(Personnes!$D$5:$D$154,MATCH($C332,Personnes!$B$5:$B$154,0))&amp;"","")</f>
        <v/>
      </c>
      <c r="F332" s="15"/>
      <c r="G332" s="9"/>
      <c r="H332" s="10" t="str">
        <f>IF($B332="","",IF($C332="","apnéiste non reconnu",IF($A332="","séance non renseignée",IF(COUNTIFS($A$5:$A$504,$A332,$C$5:$C$504,$C332)&gt;1,"doublon séance / apnéiste",IF(OR($C332=IFERROR(INDEX('Calendrier'!$K$5:$K$5,MATCH($A332,'Calendrier'!$A$5:$A$5,0)),""),$C332=IFERROR(INDEX('Calendrier'!$O$5:$O$5,MATCH($A332,'Calendrier'!$A$5:$A$5,0)),"")),"encadrant et élève sur la même séance",IF(IFERROR(INDEX(Personnes!$H$5:$H$154,MATCH($C332,Personnes!$B$5:$B$154,0)),"")&lt;&gt;"oui","invité (hors ligne)","ok"))))))</f>
        <v/>
      </c>
    </row>
    <row r="333" spans="1:8" x14ac:dyDescent="0.2">
      <c r="A333" s="15"/>
      <c r="B333" s="15"/>
      <c r="C333" s="10" t="str">
        <f>IF($B333="","",IFERROR(IF(ISNUMBER(FIND("[",$B333)),MID($B333,FIND("[",$B333)+1,FIND("]",$B333)-FIND("[",$B333)-1),IF(ISNUMBER($B333),INDEX(Personnes!$B$5:$B$154,MATCH($B333,Personnes!$A$5:$A$154,0)),IFERROR(INDEX(Personnes!$B$5:$B$154,MATCH($B333&amp;"*",Personnes!$C$5:$C$154,0)),INDEX(Personnes!$B$5:$B$154,MATCH($B333&amp;"*",Personnes!$D$5:$D$154,0))))),""))</f>
        <v/>
      </c>
      <c r="D333" s="10" t="str">
        <f>IFERROR(INDEX(Personnes!$C$5:$C$154,MATCH($C333,Personnes!$B$5:$B$154,0))&amp;"","")</f>
        <v/>
      </c>
      <c r="E333" s="10" t="str">
        <f>IFERROR(INDEX(Personnes!$D$5:$D$154,MATCH($C333,Personnes!$B$5:$B$154,0))&amp;"","")</f>
        <v/>
      </c>
      <c r="F333" s="15"/>
      <c r="G333" s="9"/>
      <c r="H333" s="10" t="str">
        <f>IF($B333="","",IF($C333="","apnéiste non reconnu",IF($A333="","séance non renseignée",IF(COUNTIFS($A$5:$A$504,$A333,$C$5:$C$504,$C333)&gt;1,"doublon séance / apnéiste",IF(OR($C333=IFERROR(INDEX('Calendrier'!$K$5:$K$5,MATCH($A333,'Calendrier'!$A$5:$A$5,0)),""),$C333=IFERROR(INDEX('Calendrier'!$O$5:$O$5,MATCH($A333,'Calendrier'!$A$5:$A$5,0)),"")),"encadrant et élève sur la même séance",IF(IFERROR(INDEX(Personnes!$H$5:$H$154,MATCH($C333,Personnes!$B$5:$B$154,0)),"")&lt;&gt;"oui","invité (hors ligne)","ok"))))))</f>
        <v/>
      </c>
    </row>
    <row r="334" spans="1:8" x14ac:dyDescent="0.2">
      <c r="A334" s="15"/>
      <c r="B334" s="15"/>
      <c r="C334" s="10" t="str">
        <f>IF($B334="","",IFERROR(IF(ISNUMBER(FIND("[",$B334)),MID($B334,FIND("[",$B334)+1,FIND("]",$B334)-FIND("[",$B334)-1),IF(ISNUMBER($B334),INDEX(Personnes!$B$5:$B$154,MATCH($B334,Personnes!$A$5:$A$154,0)),IFERROR(INDEX(Personnes!$B$5:$B$154,MATCH($B334&amp;"*",Personnes!$C$5:$C$154,0)),INDEX(Personnes!$B$5:$B$154,MATCH($B334&amp;"*",Personnes!$D$5:$D$154,0))))),""))</f>
        <v/>
      </c>
      <c r="D334" s="10" t="str">
        <f>IFERROR(INDEX(Personnes!$C$5:$C$154,MATCH($C334,Personnes!$B$5:$B$154,0))&amp;"","")</f>
        <v/>
      </c>
      <c r="E334" s="10" t="str">
        <f>IFERROR(INDEX(Personnes!$D$5:$D$154,MATCH($C334,Personnes!$B$5:$B$154,0))&amp;"","")</f>
        <v/>
      </c>
      <c r="F334" s="15"/>
      <c r="G334" s="9"/>
      <c r="H334" s="10" t="str">
        <f>IF($B334="","",IF($C334="","apnéiste non reconnu",IF($A334="","séance non renseignée",IF(COUNTIFS($A$5:$A$504,$A334,$C$5:$C$504,$C334)&gt;1,"doublon séance / apnéiste",IF(OR($C334=IFERROR(INDEX('Calendrier'!$K$5:$K$5,MATCH($A334,'Calendrier'!$A$5:$A$5,0)),""),$C334=IFERROR(INDEX('Calendrier'!$O$5:$O$5,MATCH($A334,'Calendrier'!$A$5:$A$5,0)),"")),"encadrant et élève sur la même séance",IF(IFERROR(INDEX(Personnes!$H$5:$H$154,MATCH($C334,Personnes!$B$5:$B$154,0)),"")&lt;&gt;"oui","invité (hors ligne)","ok"))))))</f>
        <v/>
      </c>
    </row>
    <row r="335" spans="1:8" x14ac:dyDescent="0.2">
      <c r="A335" s="15"/>
      <c r="B335" s="15"/>
      <c r="C335" s="10" t="str">
        <f>IF($B335="","",IFERROR(IF(ISNUMBER(FIND("[",$B335)),MID($B335,FIND("[",$B335)+1,FIND("]",$B335)-FIND("[",$B335)-1),IF(ISNUMBER($B335),INDEX(Personnes!$B$5:$B$154,MATCH($B335,Personnes!$A$5:$A$154,0)),IFERROR(INDEX(Personnes!$B$5:$B$154,MATCH($B335&amp;"*",Personnes!$C$5:$C$154,0)),INDEX(Personnes!$B$5:$B$154,MATCH($B335&amp;"*",Personnes!$D$5:$D$154,0))))),""))</f>
        <v/>
      </c>
      <c r="D335" s="10" t="str">
        <f>IFERROR(INDEX(Personnes!$C$5:$C$154,MATCH($C335,Personnes!$B$5:$B$154,0))&amp;"","")</f>
        <v/>
      </c>
      <c r="E335" s="10" t="str">
        <f>IFERROR(INDEX(Personnes!$D$5:$D$154,MATCH($C335,Personnes!$B$5:$B$154,0))&amp;"","")</f>
        <v/>
      </c>
      <c r="F335" s="15"/>
      <c r="G335" s="9"/>
      <c r="H335" s="10" t="str">
        <f>IF($B335="","",IF($C335="","apnéiste non reconnu",IF($A335="","séance non renseignée",IF(COUNTIFS($A$5:$A$504,$A335,$C$5:$C$504,$C335)&gt;1,"doublon séance / apnéiste",IF(OR($C335=IFERROR(INDEX('Calendrier'!$K$5:$K$5,MATCH($A335,'Calendrier'!$A$5:$A$5,0)),""),$C335=IFERROR(INDEX('Calendrier'!$O$5:$O$5,MATCH($A335,'Calendrier'!$A$5:$A$5,0)),"")),"encadrant et élève sur la même séance",IF(IFERROR(INDEX(Personnes!$H$5:$H$154,MATCH($C335,Personnes!$B$5:$B$154,0)),"")&lt;&gt;"oui","invité (hors ligne)","ok"))))))</f>
        <v/>
      </c>
    </row>
    <row r="336" spans="1:8" x14ac:dyDescent="0.2">
      <c r="A336" s="15"/>
      <c r="B336" s="15"/>
      <c r="C336" s="10" t="str">
        <f>IF($B336="","",IFERROR(IF(ISNUMBER(FIND("[",$B336)),MID($B336,FIND("[",$B336)+1,FIND("]",$B336)-FIND("[",$B336)-1),IF(ISNUMBER($B336),INDEX(Personnes!$B$5:$B$154,MATCH($B336,Personnes!$A$5:$A$154,0)),IFERROR(INDEX(Personnes!$B$5:$B$154,MATCH($B336&amp;"*",Personnes!$C$5:$C$154,0)),INDEX(Personnes!$B$5:$B$154,MATCH($B336&amp;"*",Personnes!$D$5:$D$154,0))))),""))</f>
        <v/>
      </c>
      <c r="D336" s="10" t="str">
        <f>IFERROR(INDEX(Personnes!$C$5:$C$154,MATCH($C336,Personnes!$B$5:$B$154,0))&amp;"","")</f>
        <v/>
      </c>
      <c r="E336" s="10" t="str">
        <f>IFERROR(INDEX(Personnes!$D$5:$D$154,MATCH($C336,Personnes!$B$5:$B$154,0))&amp;"","")</f>
        <v/>
      </c>
      <c r="F336" s="15"/>
      <c r="G336" s="9"/>
      <c r="H336" s="10" t="str">
        <f>IF($B336="","",IF($C336="","apnéiste non reconnu",IF($A336="","séance non renseignée",IF(COUNTIFS($A$5:$A$504,$A336,$C$5:$C$504,$C336)&gt;1,"doublon séance / apnéiste",IF(OR($C336=IFERROR(INDEX('Calendrier'!$K$5:$K$5,MATCH($A336,'Calendrier'!$A$5:$A$5,0)),""),$C336=IFERROR(INDEX('Calendrier'!$O$5:$O$5,MATCH($A336,'Calendrier'!$A$5:$A$5,0)),"")),"encadrant et élève sur la même séance",IF(IFERROR(INDEX(Personnes!$H$5:$H$154,MATCH($C336,Personnes!$B$5:$B$154,0)),"")&lt;&gt;"oui","invité (hors ligne)","ok"))))))</f>
        <v/>
      </c>
    </row>
    <row r="337" spans="1:8" x14ac:dyDescent="0.2">
      <c r="A337" s="15"/>
      <c r="B337" s="15"/>
      <c r="C337" s="10" t="str">
        <f>IF($B337="","",IFERROR(IF(ISNUMBER(FIND("[",$B337)),MID($B337,FIND("[",$B337)+1,FIND("]",$B337)-FIND("[",$B337)-1),IF(ISNUMBER($B337),INDEX(Personnes!$B$5:$B$154,MATCH($B337,Personnes!$A$5:$A$154,0)),IFERROR(INDEX(Personnes!$B$5:$B$154,MATCH($B337&amp;"*",Personnes!$C$5:$C$154,0)),INDEX(Personnes!$B$5:$B$154,MATCH($B337&amp;"*",Personnes!$D$5:$D$154,0))))),""))</f>
        <v/>
      </c>
      <c r="D337" s="10" t="str">
        <f>IFERROR(INDEX(Personnes!$C$5:$C$154,MATCH($C337,Personnes!$B$5:$B$154,0))&amp;"","")</f>
        <v/>
      </c>
      <c r="E337" s="10" t="str">
        <f>IFERROR(INDEX(Personnes!$D$5:$D$154,MATCH($C337,Personnes!$B$5:$B$154,0))&amp;"","")</f>
        <v/>
      </c>
      <c r="F337" s="15"/>
      <c r="G337" s="9"/>
      <c r="H337" s="10" t="str">
        <f>IF($B337="","",IF($C337="","apnéiste non reconnu",IF($A337="","séance non renseignée",IF(COUNTIFS($A$5:$A$504,$A337,$C$5:$C$504,$C337)&gt;1,"doublon séance / apnéiste",IF(OR($C337=IFERROR(INDEX('Calendrier'!$K$5:$K$5,MATCH($A337,'Calendrier'!$A$5:$A$5,0)),""),$C337=IFERROR(INDEX('Calendrier'!$O$5:$O$5,MATCH($A337,'Calendrier'!$A$5:$A$5,0)),"")),"encadrant et élève sur la même séance",IF(IFERROR(INDEX(Personnes!$H$5:$H$154,MATCH($C337,Personnes!$B$5:$B$154,0)),"")&lt;&gt;"oui","invité (hors ligne)","ok"))))))</f>
        <v/>
      </c>
    </row>
    <row r="338" spans="1:8" x14ac:dyDescent="0.2">
      <c r="A338" s="15"/>
      <c r="B338" s="15"/>
      <c r="C338" s="10" t="str">
        <f>IF($B338="","",IFERROR(IF(ISNUMBER(FIND("[",$B338)),MID($B338,FIND("[",$B338)+1,FIND("]",$B338)-FIND("[",$B338)-1),IF(ISNUMBER($B338),INDEX(Personnes!$B$5:$B$154,MATCH($B338,Personnes!$A$5:$A$154,0)),IFERROR(INDEX(Personnes!$B$5:$B$154,MATCH($B338&amp;"*",Personnes!$C$5:$C$154,0)),INDEX(Personnes!$B$5:$B$154,MATCH($B338&amp;"*",Personnes!$D$5:$D$154,0))))),""))</f>
        <v/>
      </c>
      <c r="D338" s="10" t="str">
        <f>IFERROR(INDEX(Personnes!$C$5:$C$154,MATCH($C338,Personnes!$B$5:$B$154,0))&amp;"","")</f>
        <v/>
      </c>
      <c r="E338" s="10" t="str">
        <f>IFERROR(INDEX(Personnes!$D$5:$D$154,MATCH($C338,Personnes!$B$5:$B$154,0))&amp;"","")</f>
        <v/>
      </c>
      <c r="F338" s="15"/>
      <c r="G338" s="9"/>
      <c r="H338" s="10" t="str">
        <f>IF($B338="","",IF($C338="","apnéiste non reconnu",IF($A338="","séance non renseignée",IF(COUNTIFS($A$5:$A$504,$A338,$C$5:$C$504,$C338)&gt;1,"doublon séance / apnéiste",IF(OR($C338=IFERROR(INDEX('Calendrier'!$K$5:$K$5,MATCH($A338,'Calendrier'!$A$5:$A$5,0)),""),$C338=IFERROR(INDEX('Calendrier'!$O$5:$O$5,MATCH($A338,'Calendrier'!$A$5:$A$5,0)),"")),"encadrant et élève sur la même séance",IF(IFERROR(INDEX(Personnes!$H$5:$H$154,MATCH($C338,Personnes!$B$5:$B$154,0)),"")&lt;&gt;"oui","invité (hors ligne)","ok"))))))</f>
        <v/>
      </c>
    </row>
    <row r="339" spans="1:8" x14ac:dyDescent="0.2">
      <c r="A339" s="15"/>
      <c r="B339" s="15"/>
      <c r="C339" s="10" t="str">
        <f>IF($B339="","",IFERROR(IF(ISNUMBER(FIND("[",$B339)),MID($B339,FIND("[",$B339)+1,FIND("]",$B339)-FIND("[",$B339)-1),IF(ISNUMBER($B339),INDEX(Personnes!$B$5:$B$154,MATCH($B339,Personnes!$A$5:$A$154,0)),IFERROR(INDEX(Personnes!$B$5:$B$154,MATCH($B339&amp;"*",Personnes!$C$5:$C$154,0)),INDEX(Personnes!$B$5:$B$154,MATCH($B339&amp;"*",Personnes!$D$5:$D$154,0))))),""))</f>
        <v/>
      </c>
      <c r="D339" s="10" t="str">
        <f>IFERROR(INDEX(Personnes!$C$5:$C$154,MATCH($C339,Personnes!$B$5:$B$154,0))&amp;"","")</f>
        <v/>
      </c>
      <c r="E339" s="10" t="str">
        <f>IFERROR(INDEX(Personnes!$D$5:$D$154,MATCH($C339,Personnes!$B$5:$B$154,0))&amp;"","")</f>
        <v/>
      </c>
      <c r="F339" s="15"/>
      <c r="G339" s="9"/>
      <c r="H339" s="10" t="str">
        <f>IF($B339="","",IF($C339="","apnéiste non reconnu",IF($A339="","séance non renseignée",IF(COUNTIFS($A$5:$A$504,$A339,$C$5:$C$504,$C339)&gt;1,"doublon séance / apnéiste",IF(OR($C339=IFERROR(INDEX('Calendrier'!$K$5:$K$5,MATCH($A339,'Calendrier'!$A$5:$A$5,0)),""),$C339=IFERROR(INDEX('Calendrier'!$O$5:$O$5,MATCH($A339,'Calendrier'!$A$5:$A$5,0)),"")),"encadrant et élève sur la même séance",IF(IFERROR(INDEX(Personnes!$H$5:$H$154,MATCH($C339,Personnes!$B$5:$B$154,0)),"")&lt;&gt;"oui","invité (hors ligne)","ok"))))))</f>
        <v/>
      </c>
    </row>
    <row r="340" spans="1:8" x14ac:dyDescent="0.2">
      <c r="A340" s="15"/>
      <c r="B340" s="15"/>
      <c r="C340" s="10" t="str">
        <f>IF($B340="","",IFERROR(IF(ISNUMBER(FIND("[",$B340)),MID($B340,FIND("[",$B340)+1,FIND("]",$B340)-FIND("[",$B340)-1),IF(ISNUMBER($B340),INDEX(Personnes!$B$5:$B$154,MATCH($B340,Personnes!$A$5:$A$154,0)),IFERROR(INDEX(Personnes!$B$5:$B$154,MATCH($B340&amp;"*",Personnes!$C$5:$C$154,0)),INDEX(Personnes!$B$5:$B$154,MATCH($B340&amp;"*",Personnes!$D$5:$D$154,0))))),""))</f>
        <v/>
      </c>
      <c r="D340" s="10" t="str">
        <f>IFERROR(INDEX(Personnes!$C$5:$C$154,MATCH($C340,Personnes!$B$5:$B$154,0))&amp;"","")</f>
        <v/>
      </c>
      <c r="E340" s="10" t="str">
        <f>IFERROR(INDEX(Personnes!$D$5:$D$154,MATCH($C340,Personnes!$B$5:$B$154,0))&amp;"","")</f>
        <v/>
      </c>
      <c r="F340" s="15"/>
      <c r="G340" s="9"/>
      <c r="H340" s="10" t="str">
        <f>IF($B340="","",IF($C340="","apnéiste non reconnu",IF($A340="","séance non renseignée",IF(COUNTIFS($A$5:$A$504,$A340,$C$5:$C$504,$C340)&gt;1,"doublon séance / apnéiste",IF(OR($C340=IFERROR(INDEX('Calendrier'!$K$5:$K$5,MATCH($A340,'Calendrier'!$A$5:$A$5,0)),""),$C340=IFERROR(INDEX('Calendrier'!$O$5:$O$5,MATCH($A340,'Calendrier'!$A$5:$A$5,0)),"")),"encadrant et élève sur la même séance",IF(IFERROR(INDEX(Personnes!$H$5:$H$154,MATCH($C340,Personnes!$B$5:$B$154,0)),"")&lt;&gt;"oui","invité (hors ligne)","ok"))))))</f>
        <v/>
      </c>
    </row>
    <row r="341" spans="1:8" x14ac:dyDescent="0.2">
      <c r="A341" s="15"/>
      <c r="B341" s="15"/>
      <c r="C341" s="10" t="str">
        <f>IF($B341="","",IFERROR(IF(ISNUMBER(FIND("[",$B341)),MID($B341,FIND("[",$B341)+1,FIND("]",$B341)-FIND("[",$B341)-1),IF(ISNUMBER($B341),INDEX(Personnes!$B$5:$B$154,MATCH($B341,Personnes!$A$5:$A$154,0)),IFERROR(INDEX(Personnes!$B$5:$B$154,MATCH($B341&amp;"*",Personnes!$C$5:$C$154,0)),INDEX(Personnes!$B$5:$B$154,MATCH($B341&amp;"*",Personnes!$D$5:$D$154,0))))),""))</f>
        <v/>
      </c>
      <c r="D341" s="10" t="str">
        <f>IFERROR(INDEX(Personnes!$C$5:$C$154,MATCH($C341,Personnes!$B$5:$B$154,0))&amp;"","")</f>
        <v/>
      </c>
      <c r="E341" s="10" t="str">
        <f>IFERROR(INDEX(Personnes!$D$5:$D$154,MATCH($C341,Personnes!$B$5:$B$154,0))&amp;"","")</f>
        <v/>
      </c>
      <c r="F341" s="15"/>
      <c r="G341" s="9"/>
      <c r="H341" s="10" t="str">
        <f>IF($B341="","",IF($C341="","apnéiste non reconnu",IF($A341="","séance non renseignée",IF(COUNTIFS($A$5:$A$504,$A341,$C$5:$C$504,$C341)&gt;1,"doublon séance / apnéiste",IF(OR($C341=IFERROR(INDEX('Calendrier'!$K$5:$K$5,MATCH($A341,'Calendrier'!$A$5:$A$5,0)),""),$C341=IFERROR(INDEX('Calendrier'!$O$5:$O$5,MATCH($A341,'Calendrier'!$A$5:$A$5,0)),"")),"encadrant et élève sur la même séance",IF(IFERROR(INDEX(Personnes!$H$5:$H$154,MATCH($C341,Personnes!$B$5:$B$154,0)),"")&lt;&gt;"oui","invité (hors ligne)","ok"))))))</f>
        <v/>
      </c>
    </row>
    <row r="342" spans="1:8" x14ac:dyDescent="0.2">
      <c r="A342" s="15"/>
      <c r="B342" s="15"/>
      <c r="C342" s="10" t="str">
        <f>IF($B342="","",IFERROR(IF(ISNUMBER(FIND("[",$B342)),MID($B342,FIND("[",$B342)+1,FIND("]",$B342)-FIND("[",$B342)-1),IF(ISNUMBER($B342),INDEX(Personnes!$B$5:$B$154,MATCH($B342,Personnes!$A$5:$A$154,0)),IFERROR(INDEX(Personnes!$B$5:$B$154,MATCH($B342&amp;"*",Personnes!$C$5:$C$154,0)),INDEX(Personnes!$B$5:$B$154,MATCH($B342&amp;"*",Personnes!$D$5:$D$154,0))))),""))</f>
        <v/>
      </c>
      <c r="D342" s="10" t="str">
        <f>IFERROR(INDEX(Personnes!$C$5:$C$154,MATCH($C342,Personnes!$B$5:$B$154,0))&amp;"","")</f>
        <v/>
      </c>
      <c r="E342" s="10" t="str">
        <f>IFERROR(INDEX(Personnes!$D$5:$D$154,MATCH($C342,Personnes!$B$5:$B$154,0))&amp;"","")</f>
        <v/>
      </c>
      <c r="F342" s="15"/>
      <c r="G342" s="9"/>
      <c r="H342" s="10" t="str">
        <f>IF($B342="","",IF($C342="","apnéiste non reconnu",IF($A342="","séance non renseignée",IF(COUNTIFS($A$5:$A$504,$A342,$C$5:$C$504,$C342)&gt;1,"doublon séance / apnéiste",IF(OR($C342=IFERROR(INDEX('Calendrier'!$K$5:$K$5,MATCH($A342,'Calendrier'!$A$5:$A$5,0)),""),$C342=IFERROR(INDEX('Calendrier'!$O$5:$O$5,MATCH($A342,'Calendrier'!$A$5:$A$5,0)),"")),"encadrant et élève sur la même séance",IF(IFERROR(INDEX(Personnes!$H$5:$H$154,MATCH($C342,Personnes!$B$5:$B$154,0)),"")&lt;&gt;"oui","invité (hors ligne)","ok"))))))</f>
        <v/>
      </c>
    </row>
    <row r="343" spans="1:8" x14ac:dyDescent="0.2">
      <c r="A343" s="15"/>
      <c r="B343" s="15"/>
      <c r="C343" s="10" t="str">
        <f>IF($B343="","",IFERROR(IF(ISNUMBER(FIND("[",$B343)),MID($B343,FIND("[",$B343)+1,FIND("]",$B343)-FIND("[",$B343)-1),IF(ISNUMBER($B343),INDEX(Personnes!$B$5:$B$154,MATCH($B343,Personnes!$A$5:$A$154,0)),IFERROR(INDEX(Personnes!$B$5:$B$154,MATCH($B343&amp;"*",Personnes!$C$5:$C$154,0)),INDEX(Personnes!$B$5:$B$154,MATCH($B343&amp;"*",Personnes!$D$5:$D$154,0))))),""))</f>
        <v/>
      </c>
      <c r="D343" s="10" t="str">
        <f>IFERROR(INDEX(Personnes!$C$5:$C$154,MATCH($C343,Personnes!$B$5:$B$154,0))&amp;"","")</f>
        <v/>
      </c>
      <c r="E343" s="10" t="str">
        <f>IFERROR(INDEX(Personnes!$D$5:$D$154,MATCH($C343,Personnes!$B$5:$B$154,0))&amp;"","")</f>
        <v/>
      </c>
      <c r="F343" s="15"/>
      <c r="G343" s="9"/>
      <c r="H343" s="10" t="str">
        <f>IF($B343="","",IF($C343="","apnéiste non reconnu",IF($A343="","séance non renseignée",IF(COUNTIFS($A$5:$A$504,$A343,$C$5:$C$504,$C343)&gt;1,"doublon séance / apnéiste",IF(OR($C343=IFERROR(INDEX('Calendrier'!$K$5:$K$5,MATCH($A343,'Calendrier'!$A$5:$A$5,0)),""),$C343=IFERROR(INDEX('Calendrier'!$O$5:$O$5,MATCH($A343,'Calendrier'!$A$5:$A$5,0)),"")),"encadrant et élève sur la même séance",IF(IFERROR(INDEX(Personnes!$H$5:$H$154,MATCH($C343,Personnes!$B$5:$B$154,0)),"")&lt;&gt;"oui","invité (hors ligne)","ok"))))))</f>
        <v/>
      </c>
    </row>
    <row r="344" spans="1:8" x14ac:dyDescent="0.2">
      <c r="A344" s="15"/>
      <c r="B344" s="15"/>
      <c r="C344" s="10" t="str">
        <f>IF($B344="","",IFERROR(IF(ISNUMBER(FIND("[",$B344)),MID($B344,FIND("[",$B344)+1,FIND("]",$B344)-FIND("[",$B344)-1),IF(ISNUMBER($B344),INDEX(Personnes!$B$5:$B$154,MATCH($B344,Personnes!$A$5:$A$154,0)),IFERROR(INDEX(Personnes!$B$5:$B$154,MATCH($B344&amp;"*",Personnes!$C$5:$C$154,0)),INDEX(Personnes!$B$5:$B$154,MATCH($B344&amp;"*",Personnes!$D$5:$D$154,0))))),""))</f>
        <v/>
      </c>
      <c r="D344" s="10" t="str">
        <f>IFERROR(INDEX(Personnes!$C$5:$C$154,MATCH($C344,Personnes!$B$5:$B$154,0))&amp;"","")</f>
        <v/>
      </c>
      <c r="E344" s="10" t="str">
        <f>IFERROR(INDEX(Personnes!$D$5:$D$154,MATCH($C344,Personnes!$B$5:$B$154,0))&amp;"","")</f>
        <v/>
      </c>
      <c r="F344" s="15"/>
      <c r="G344" s="9"/>
      <c r="H344" s="10" t="str">
        <f>IF($B344="","",IF($C344="","apnéiste non reconnu",IF($A344="","séance non renseignée",IF(COUNTIFS($A$5:$A$504,$A344,$C$5:$C$504,$C344)&gt;1,"doublon séance / apnéiste",IF(OR($C344=IFERROR(INDEX('Calendrier'!$K$5:$K$5,MATCH($A344,'Calendrier'!$A$5:$A$5,0)),""),$C344=IFERROR(INDEX('Calendrier'!$O$5:$O$5,MATCH($A344,'Calendrier'!$A$5:$A$5,0)),"")),"encadrant et élève sur la même séance",IF(IFERROR(INDEX(Personnes!$H$5:$H$154,MATCH($C344,Personnes!$B$5:$B$154,0)),"")&lt;&gt;"oui","invité (hors ligne)","ok"))))))</f>
        <v/>
      </c>
    </row>
    <row r="345" spans="1:8" x14ac:dyDescent="0.2">
      <c r="A345" s="15"/>
      <c r="B345" s="15"/>
      <c r="C345" s="10" t="str">
        <f>IF($B345="","",IFERROR(IF(ISNUMBER(FIND("[",$B345)),MID($B345,FIND("[",$B345)+1,FIND("]",$B345)-FIND("[",$B345)-1),IF(ISNUMBER($B345),INDEX(Personnes!$B$5:$B$154,MATCH($B345,Personnes!$A$5:$A$154,0)),IFERROR(INDEX(Personnes!$B$5:$B$154,MATCH($B345&amp;"*",Personnes!$C$5:$C$154,0)),INDEX(Personnes!$B$5:$B$154,MATCH($B345&amp;"*",Personnes!$D$5:$D$154,0))))),""))</f>
        <v/>
      </c>
      <c r="D345" s="10" t="str">
        <f>IFERROR(INDEX(Personnes!$C$5:$C$154,MATCH($C345,Personnes!$B$5:$B$154,0))&amp;"","")</f>
        <v/>
      </c>
      <c r="E345" s="10" t="str">
        <f>IFERROR(INDEX(Personnes!$D$5:$D$154,MATCH($C345,Personnes!$B$5:$B$154,0))&amp;"","")</f>
        <v/>
      </c>
      <c r="F345" s="15"/>
      <c r="G345" s="9"/>
      <c r="H345" s="10" t="str">
        <f>IF($B345="","",IF($C345="","apnéiste non reconnu",IF($A345="","séance non renseignée",IF(COUNTIFS($A$5:$A$504,$A345,$C$5:$C$504,$C345)&gt;1,"doublon séance / apnéiste",IF(OR($C345=IFERROR(INDEX('Calendrier'!$K$5:$K$5,MATCH($A345,'Calendrier'!$A$5:$A$5,0)),""),$C345=IFERROR(INDEX('Calendrier'!$O$5:$O$5,MATCH($A345,'Calendrier'!$A$5:$A$5,0)),"")),"encadrant et élève sur la même séance",IF(IFERROR(INDEX(Personnes!$H$5:$H$154,MATCH($C345,Personnes!$B$5:$B$154,0)),"")&lt;&gt;"oui","invité (hors ligne)","ok"))))))</f>
        <v/>
      </c>
    </row>
    <row r="346" spans="1:8" x14ac:dyDescent="0.2">
      <c r="A346" s="15"/>
      <c r="B346" s="15"/>
      <c r="C346" s="10" t="str">
        <f>IF($B346="","",IFERROR(IF(ISNUMBER(FIND("[",$B346)),MID($B346,FIND("[",$B346)+1,FIND("]",$B346)-FIND("[",$B346)-1),IF(ISNUMBER($B346),INDEX(Personnes!$B$5:$B$154,MATCH($B346,Personnes!$A$5:$A$154,0)),IFERROR(INDEX(Personnes!$B$5:$B$154,MATCH($B346&amp;"*",Personnes!$C$5:$C$154,0)),INDEX(Personnes!$B$5:$B$154,MATCH($B346&amp;"*",Personnes!$D$5:$D$154,0))))),""))</f>
        <v/>
      </c>
      <c r="D346" s="10" t="str">
        <f>IFERROR(INDEX(Personnes!$C$5:$C$154,MATCH($C346,Personnes!$B$5:$B$154,0))&amp;"","")</f>
        <v/>
      </c>
      <c r="E346" s="10" t="str">
        <f>IFERROR(INDEX(Personnes!$D$5:$D$154,MATCH($C346,Personnes!$B$5:$B$154,0))&amp;"","")</f>
        <v/>
      </c>
      <c r="F346" s="15"/>
      <c r="G346" s="9"/>
      <c r="H346" s="10" t="str">
        <f>IF($B346="","",IF($C346="","apnéiste non reconnu",IF($A346="","séance non renseignée",IF(COUNTIFS($A$5:$A$504,$A346,$C$5:$C$504,$C346)&gt;1,"doublon séance / apnéiste",IF(OR($C346=IFERROR(INDEX('Calendrier'!$K$5:$K$5,MATCH($A346,'Calendrier'!$A$5:$A$5,0)),""),$C346=IFERROR(INDEX('Calendrier'!$O$5:$O$5,MATCH($A346,'Calendrier'!$A$5:$A$5,0)),"")),"encadrant et élève sur la même séance",IF(IFERROR(INDEX(Personnes!$H$5:$H$154,MATCH($C346,Personnes!$B$5:$B$154,0)),"")&lt;&gt;"oui","invité (hors ligne)","ok"))))))</f>
        <v/>
      </c>
    </row>
    <row r="347" spans="1:8" x14ac:dyDescent="0.2">
      <c r="A347" s="15"/>
      <c r="B347" s="15"/>
      <c r="C347" s="10" t="str">
        <f>IF($B347="","",IFERROR(IF(ISNUMBER(FIND("[",$B347)),MID($B347,FIND("[",$B347)+1,FIND("]",$B347)-FIND("[",$B347)-1),IF(ISNUMBER($B347),INDEX(Personnes!$B$5:$B$154,MATCH($B347,Personnes!$A$5:$A$154,0)),IFERROR(INDEX(Personnes!$B$5:$B$154,MATCH($B347&amp;"*",Personnes!$C$5:$C$154,0)),INDEX(Personnes!$B$5:$B$154,MATCH($B347&amp;"*",Personnes!$D$5:$D$154,0))))),""))</f>
        <v/>
      </c>
      <c r="D347" s="10" t="str">
        <f>IFERROR(INDEX(Personnes!$C$5:$C$154,MATCH($C347,Personnes!$B$5:$B$154,0))&amp;"","")</f>
        <v/>
      </c>
      <c r="E347" s="10" t="str">
        <f>IFERROR(INDEX(Personnes!$D$5:$D$154,MATCH($C347,Personnes!$B$5:$B$154,0))&amp;"","")</f>
        <v/>
      </c>
      <c r="F347" s="15"/>
      <c r="G347" s="9"/>
      <c r="H347" s="10" t="str">
        <f>IF($B347="","",IF($C347="","apnéiste non reconnu",IF($A347="","séance non renseignée",IF(COUNTIFS($A$5:$A$504,$A347,$C$5:$C$504,$C347)&gt;1,"doublon séance / apnéiste",IF(OR($C347=IFERROR(INDEX('Calendrier'!$K$5:$K$5,MATCH($A347,'Calendrier'!$A$5:$A$5,0)),""),$C347=IFERROR(INDEX('Calendrier'!$O$5:$O$5,MATCH($A347,'Calendrier'!$A$5:$A$5,0)),"")),"encadrant et élève sur la même séance",IF(IFERROR(INDEX(Personnes!$H$5:$H$154,MATCH($C347,Personnes!$B$5:$B$154,0)),"")&lt;&gt;"oui","invité (hors ligne)","ok"))))))</f>
        <v/>
      </c>
    </row>
    <row r="348" spans="1:8" x14ac:dyDescent="0.2">
      <c r="A348" s="15"/>
      <c r="B348" s="15"/>
      <c r="C348" s="10" t="str">
        <f>IF($B348="","",IFERROR(IF(ISNUMBER(FIND("[",$B348)),MID($B348,FIND("[",$B348)+1,FIND("]",$B348)-FIND("[",$B348)-1),IF(ISNUMBER($B348),INDEX(Personnes!$B$5:$B$154,MATCH($B348,Personnes!$A$5:$A$154,0)),IFERROR(INDEX(Personnes!$B$5:$B$154,MATCH($B348&amp;"*",Personnes!$C$5:$C$154,0)),INDEX(Personnes!$B$5:$B$154,MATCH($B348&amp;"*",Personnes!$D$5:$D$154,0))))),""))</f>
        <v/>
      </c>
      <c r="D348" s="10" t="str">
        <f>IFERROR(INDEX(Personnes!$C$5:$C$154,MATCH($C348,Personnes!$B$5:$B$154,0))&amp;"","")</f>
        <v/>
      </c>
      <c r="E348" s="10" t="str">
        <f>IFERROR(INDEX(Personnes!$D$5:$D$154,MATCH($C348,Personnes!$B$5:$B$154,0))&amp;"","")</f>
        <v/>
      </c>
      <c r="F348" s="15"/>
      <c r="G348" s="9"/>
      <c r="H348" s="10" t="str">
        <f>IF($B348="","",IF($C348="","apnéiste non reconnu",IF($A348="","séance non renseignée",IF(COUNTIFS($A$5:$A$504,$A348,$C$5:$C$504,$C348)&gt;1,"doublon séance / apnéiste",IF(OR($C348=IFERROR(INDEX('Calendrier'!$K$5:$K$5,MATCH($A348,'Calendrier'!$A$5:$A$5,0)),""),$C348=IFERROR(INDEX('Calendrier'!$O$5:$O$5,MATCH($A348,'Calendrier'!$A$5:$A$5,0)),"")),"encadrant et élève sur la même séance",IF(IFERROR(INDEX(Personnes!$H$5:$H$154,MATCH($C348,Personnes!$B$5:$B$154,0)),"")&lt;&gt;"oui","invité (hors ligne)","ok"))))))</f>
        <v/>
      </c>
    </row>
    <row r="349" spans="1:8" x14ac:dyDescent="0.2">
      <c r="A349" s="15"/>
      <c r="B349" s="15"/>
      <c r="C349" s="10" t="str">
        <f>IF($B349="","",IFERROR(IF(ISNUMBER(FIND("[",$B349)),MID($B349,FIND("[",$B349)+1,FIND("]",$B349)-FIND("[",$B349)-1),IF(ISNUMBER($B349),INDEX(Personnes!$B$5:$B$154,MATCH($B349,Personnes!$A$5:$A$154,0)),IFERROR(INDEX(Personnes!$B$5:$B$154,MATCH($B349&amp;"*",Personnes!$C$5:$C$154,0)),INDEX(Personnes!$B$5:$B$154,MATCH($B349&amp;"*",Personnes!$D$5:$D$154,0))))),""))</f>
        <v/>
      </c>
      <c r="D349" s="10" t="str">
        <f>IFERROR(INDEX(Personnes!$C$5:$C$154,MATCH($C349,Personnes!$B$5:$B$154,0))&amp;"","")</f>
        <v/>
      </c>
      <c r="E349" s="10" t="str">
        <f>IFERROR(INDEX(Personnes!$D$5:$D$154,MATCH($C349,Personnes!$B$5:$B$154,0))&amp;"","")</f>
        <v/>
      </c>
      <c r="F349" s="15"/>
      <c r="G349" s="9"/>
      <c r="H349" s="10" t="str">
        <f>IF($B349="","",IF($C349="","apnéiste non reconnu",IF($A349="","séance non renseignée",IF(COUNTIFS($A$5:$A$504,$A349,$C$5:$C$504,$C349)&gt;1,"doublon séance / apnéiste",IF(OR($C349=IFERROR(INDEX('Calendrier'!$K$5:$K$5,MATCH($A349,'Calendrier'!$A$5:$A$5,0)),""),$C349=IFERROR(INDEX('Calendrier'!$O$5:$O$5,MATCH($A349,'Calendrier'!$A$5:$A$5,0)),"")),"encadrant et élève sur la même séance",IF(IFERROR(INDEX(Personnes!$H$5:$H$154,MATCH($C349,Personnes!$B$5:$B$154,0)),"")&lt;&gt;"oui","invité (hors ligne)","ok"))))))</f>
        <v/>
      </c>
    </row>
    <row r="350" spans="1:8" x14ac:dyDescent="0.2">
      <c r="A350" s="15"/>
      <c r="B350" s="15"/>
      <c r="C350" s="10" t="str">
        <f>IF($B350="","",IFERROR(IF(ISNUMBER(FIND("[",$B350)),MID($B350,FIND("[",$B350)+1,FIND("]",$B350)-FIND("[",$B350)-1),IF(ISNUMBER($B350),INDEX(Personnes!$B$5:$B$154,MATCH($B350,Personnes!$A$5:$A$154,0)),IFERROR(INDEX(Personnes!$B$5:$B$154,MATCH($B350&amp;"*",Personnes!$C$5:$C$154,0)),INDEX(Personnes!$B$5:$B$154,MATCH($B350&amp;"*",Personnes!$D$5:$D$154,0))))),""))</f>
        <v/>
      </c>
      <c r="D350" s="10" t="str">
        <f>IFERROR(INDEX(Personnes!$C$5:$C$154,MATCH($C350,Personnes!$B$5:$B$154,0))&amp;"","")</f>
        <v/>
      </c>
      <c r="E350" s="10" t="str">
        <f>IFERROR(INDEX(Personnes!$D$5:$D$154,MATCH($C350,Personnes!$B$5:$B$154,0))&amp;"","")</f>
        <v/>
      </c>
      <c r="F350" s="15"/>
      <c r="G350" s="9"/>
      <c r="H350" s="10" t="str">
        <f>IF($B350="","",IF($C350="","apnéiste non reconnu",IF($A350="","séance non renseignée",IF(COUNTIFS($A$5:$A$504,$A350,$C$5:$C$504,$C350)&gt;1,"doublon séance / apnéiste",IF(OR($C350=IFERROR(INDEX('Calendrier'!$K$5:$K$5,MATCH($A350,'Calendrier'!$A$5:$A$5,0)),""),$C350=IFERROR(INDEX('Calendrier'!$O$5:$O$5,MATCH($A350,'Calendrier'!$A$5:$A$5,0)),"")),"encadrant et élève sur la même séance",IF(IFERROR(INDEX(Personnes!$H$5:$H$154,MATCH($C350,Personnes!$B$5:$B$154,0)),"")&lt;&gt;"oui","invité (hors ligne)","ok"))))))</f>
        <v/>
      </c>
    </row>
    <row r="351" spans="1:8" x14ac:dyDescent="0.2">
      <c r="A351" s="15"/>
      <c r="B351" s="15"/>
      <c r="C351" s="10" t="str">
        <f>IF($B351="","",IFERROR(IF(ISNUMBER(FIND("[",$B351)),MID($B351,FIND("[",$B351)+1,FIND("]",$B351)-FIND("[",$B351)-1),IF(ISNUMBER($B351),INDEX(Personnes!$B$5:$B$154,MATCH($B351,Personnes!$A$5:$A$154,0)),IFERROR(INDEX(Personnes!$B$5:$B$154,MATCH($B351&amp;"*",Personnes!$C$5:$C$154,0)),INDEX(Personnes!$B$5:$B$154,MATCH($B351&amp;"*",Personnes!$D$5:$D$154,0))))),""))</f>
        <v/>
      </c>
      <c r="D351" s="10" t="str">
        <f>IFERROR(INDEX(Personnes!$C$5:$C$154,MATCH($C351,Personnes!$B$5:$B$154,0))&amp;"","")</f>
        <v/>
      </c>
      <c r="E351" s="10" t="str">
        <f>IFERROR(INDEX(Personnes!$D$5:$D$154,MATCH($C351,Personnes!$B$5:$B$154,0))&amp;"","")</f>
        <v/>
      </c>
      <c r="F351" s="15"/>
      <c r="G351" s="9"/>
      <c r="H351" s="10" t="str">
        <f>IF($B351="","",IF($C351="","apnéiste non reconnu",IF($A351="","séance non renseignée",IF(COUNTIFS($A$5:$A$504,$A351,$C$5:$C$504,$C351)&gt;1,"doublon séance / apnéiste",IF(OR($C351=IFERROR(INDEX('Calendrier'!$K$5:$K$5,MATCH($A351,'Calendrier'!$A$5:$A$5,0)),""),$C351=IFERROR(INDEX('Calendrier'!$O$5:$O$5,MATCH($A351,'Calendrier'!$A$5:$A$5,0)),"")),"encadrant et élève sur la même séance",IF(IFERROR(INDEX(Personnes!$H$5:$H$154,MATCH($C351,Personnes!$B$5:$B$154,0)),"")&lt;&gt;"oui","invité (hors ligne)","ok"))))))</f>
        <v/>
      </c>
    </row>
    <row r="352" spans="1:8" x14ac:dyDescent="0.2">
      <c r="A352" s="15"/>
      <c r="B352" s="15"/>
      <c r="C352" s="10" t="str">
        <f>IF($B352="","",IFERROR(IF(ISNUMBER(FIND("[",$B352)),MID($B352,FIND("[",$B352)+1,FIND("]",$B352)-FIND("[",$B352)-1),IF(ISNUMBER($B352),INDEX(Personnes!$B$5:$B$154,MATCH($B352,Personnes!$A$5:$A$154,0)),IFERROR(INDEX(Personnes!$B$5:$B$154,MATCH($B352&amp;"*",Personnes!$C$5:$C$154,0)),INDEX(Personnes!$B$5:$B$154,MATCH($B352&amp;"*",Personnes!$D$5:$D$154,0))))),""))</f>
        <v/>
      </c>
      <c r="D352" s="10" t="str">
        <f>IFERROR(INDEX(Personnes!$C$5:$C$154,MATCH($C352,Personnes!$B$5:$B$154,0))&amp;"","")</f>
        <v/>
      </c>
      <c r="E352" s="10" t="str">
        <f>IFERROR(INDEX(Personnes!$D$5:$D$154,MATCH($C352,Personnes!$B$5:$B$154,0))&amp;"","")</f>
        <v/>
      </c>
      <c r="F352" s="15"/>
      <c r="G352" s="9"/>
      <c r="H352" s="10" t="str">
        <f>IF($B352="","",IF($C352="","apnéiste non reconnu",IF($A352="","séance non renseignée",IF(COUNTIFS($A$5:$A$504,$A352,$C$5:$C$504,$C352)&gt;1,"doublon séance / apnéiste",IF(OR($C352=IFERROR(INDEX('Calendrier'!$K$5:$K$5,MATCH($A352,'Calendrier'!$A$5:$A$5,0)),""),$C352=IFERROR(INDEX('Calendrier'!$O$5:$O$5,MATCH($A352,'Calendrier'!$A$5:$A$5,0)),"")),"encadrant et élève sur la même séance",IF(IFERROR(INDEX(Personnes!$H$5:$H$154,MATCH($C352,Personnes!$B$5:$B$154,0)),"")&lt;&gt;"oui","invité (hors ligne)","ok"))))))</f>
        <v/>
      </c>
    </row>
    <row r="353" spans="1:8" x14ac:dyDescent="0.2">
      <c r="A353" s="15"/>
      <c r="B353" s="15"/>
      <c r="C353" s="10" t="str">
        <f>IF($B353="","",IFERROR(IF(ISNUMBER(FIND("[",$B353)),MID($B353,FIND("[",$B353)+1,FIND("]",$B353)-FIND("[",$B353)-1),IF(ISNUMBER($B353),INDEX(Personnes!$B$5:$B$154,MATCH($B353,Personnes!$A$5:$A$154,0)),IFERROR(INDEX(Personnes!$B$5:$B$154,MATCH($B353&amp;"*",Personnes!$C$5:$C$154,0)),INDEX(Personnes!$B$5:$B$154,MATCH($B353&amp;"*",Personnes!$D$5:$D$154,0))))),""))</f>
        <v/>
      </c>
      <c r="D353" s="10" t="str">
        <f>IFERROR(INDEX(Personnes!$C$5:$C$154,MATCH($C353,Personnes!$B$5:$B$154,0))&amp;"","")</f>
        <v/>
      </c>
      <c r="E353" s="10" t="str">
        <f>IFERROR(INDEX(Personnes!$D$5:$D$154,MATCH($C353,Personnes!$B$5:$B$154,0))&amp;"","")</f>
        <v/>
      </c>
      <c r="F353" s="15"/>
      <c r="G353" s="9"/>
      <c r="H353" s="10" t="str">
        <f>IF($B353="","",IF($C353="","apnéiste non reconnu",IF($A353="","séance non renseignée",IF(COUNTIFS($A$5:$A$504,$A353,$C$5:$C$504,$C353)&gt;1,"doublon séance / apnéiste",IF(OR($C353=IFERROR(INDEX('Calendrier'!$K$5:$K$5,MATCH($A353,'Calendrier'!$A$5:$A$5,0)),""),$C353=IFERROR(INDEX('Calendrier'!$O$5:$O$5,MATCH($A353,'Calendrier'!$A$5:$A$5,0)),"")),"encadrant et élève sur la même séance",IF(IFERROR(INDEX(Personnes!$H$5:$H$154,MATCH($C353,Personnes!$B$5:$B$154,0)),"")&lt;&gt;"oui","invité (hors ligne)","ok"))))))</f>
        <v/>
      </c>
    </row>
    <row r="354" spans="1:8" x14ac:dyDescent="0.2">
      <c r="A354" s="15"/>
      <c r="B354" s="15"/>
      <c r="C354" s="10" t="str">
        <f>IF($B354="","",IFERROR(IF(ISNUMBER(FIND("[",$B354)),MID($B354,FIND("[",$B354)+1,FIND("]",$B354)-FIND("[",$B354)-1),IF(ISNUMBER($B354),INDEX(Personnes!$B$5:$B$154,MATCH($B354,Personnes!$A$5:$A$154,0)),IFERROR(INDEX(Personnes!$B$5:$B$154,MATCH($B354&amp;"*",Personnes!$C$5:$C$154,0)),INDEX(Personnes!$B$5:$B$154,MATCH($B354&amp;"*",Personnes!$D$5:$D$154,0))))),""))</f>
        <v/>
      </c>
      <c r="D354" s="10" t="str">
        <f>IFERROR(INDEX(Personnes!$C$5:$C$154,MATCH($C354,Personnes!$B$5:$B$154,0))&amp;"","")</f>
        <v/>
      </c>
      <c r="E354" s="10" t="str">
        <f>IFERROR(INDEX(Personnes!$D$5:$D$154,MATCH($C354,Personnes!$B$5:$B$154,0))&amp;"","")</f>
        <v/>
      </c>
      <c r="F354" s="15"/>
      <c r="G354" s="9"/>
      <c r="H354" s="10" t="str">
        <f>IF($B354="","",IF($C354="","apnéiste non reconnu",IF($A354="","séance non renseignée",IF(COUNTIFS($A$5:$A$504,$A354,$C$5:$C$504,$C354)&gt;1,"doublon séance / apnéiste",IF(OR($C354=IFERROR(INDEX('Calendrier'!$K$5:$K$5,MATCH($A354,'Calendrier'!$A$5:$A$5,0)),""),$C354=IFERROR(INDEX('Calendrier'!$O$5:$O$5,MATCH($A354,'Calendrier'!$A$5:$A$5,0)),"")),"encadrant et élève sur la même séance",IF(IFERROR(INDEX(Personnes!$H$5:$H$154,MATCH($C354,Personnes!$B$5:$B$154,0)),"")&lt;&gt;"oui","invité (hors ligne)","ok"))))))</f>
        <v/>
      </c>
    </row>
    <row r="355" spans="1:8" x14ac:dyDescent="0.2">
      <c r="A355" s="15"/>
      <c r="B355" s="15"/>
      <c r="C355" s="10" t="str">
        <f>IF($B355="","",IFERROR(IF(ISNUMBER(FIND("[",$B355)),MID($B355,FIND("[",$B355)+1,FIND("]",$B355)-FIND("[",$B355)-1),IF(ISNUMBER($B355),INDEX(Personnes!$B$5:$B$154,MATCH($B355,Personnes!$A$5:$A$154,0)),IFERROR(INDEX(Personnes!$B$5:$B$154,MATCH($B355&amp;"*",Personnes!$C$5:$C$154,0)),INDEX(Personnes!$B$5:$B$154,MATCH($B355&amp;"*",Personnes!$D$5:$D$154,0))))),""))</f>
        <v/>
      </c>
      <c r="D355" s="10" t="str">
        <f>IFERROR(INDEX(Personnes!$C$5:$C$154,MATCH($C355,Personnes!$B$5:$B$154,0))&amp;"","")</f>
        <v/>
      </c>
      <c r="E355" s="10" t="str">
        <f>IFERROR(INDEX(Personnes!$D$5:$D$154,MATCH($C355,Personnes!$B$5:$B$154,0))&amp;"","")</f>
        <v/>
      </c>
      <c r="F355" s="15"/>
      <c r="G355" s="9"/>
      <c r="H355" s="10" t="str">
        <f>IF($B355="","",IF($C355="","apnéiste non reconnu",IF($A355="","séance non renseignée",IF(COUNTIFS($A$5:$A$504,$A355,$C$5:$C$504,$C355)&gt;1,"doublon séance / apnéiste",IF(OR($C355=IFERROR(INDEX('Calendrier'!$K$5:$K$5,MATCH($A355,'Calendrier'!$A$5:$A$5,0)),""),$C355=IFERROR(INDEX('Calendrier'!$O$5:$O$5,MATCH($A355,'Calendrier'!$A$5:$A$5,0)),"")),"encadrant et élève sur la même séance",IF(IFERROR(INDEX(Personnes!$H$5:$H$154,MATCH($C355,Personnes!$B$5:$B$154,0)),"")&lt;&gt;"oui","invité (hors ligne)","ok"))))))</f>
        <v/>
      </c>
    </row>
    <row r="356" spans="1:8" x14ac:dyDescent="0.2">
      <c r="A356" s="15"/>
      <c r="B356" s="15"/>
      <c r="C356" s="10" t="str">
        <f>IF($B356="","",IFERROR(IF(ISNUMBER(FIND("[",$B356)),MID($B356,FIND("[",$B356)+1,FIND("]",$B356)-FIND("[",$B356)-1),IF(ISNUMBER($B356),INDEX(Personnes!$B$5:$B$154,MATCH($B356,Personnes!$A$5:$A$154,0)),IFERROR(INDEX(Personnes!$B$5:$B$154,MATCH($B356&amp;"*",Personnes!$C$5:$C$154,0)),INDEX(Personnes!$B$5:$B$154,MATCH($B356&amp;"*",Personnes!$D$5:$D$154,0))))),""))</f>
        <v/>
      </c>
      <c r="D356" s="10" t="str">
        <f>IFERROR(INDEX(Personnes!$C$5:$C$154,MATCH($C356,Personnes!$B$5:$B$154,0))&amp;"","")</f>
        <v/>
      </c>
      <c r="E356" s="10" t="str">
        <f>IFERROR(INDEX(Personnes!$D$5:$D$154,MATCH($C356,Personnes!$B$5:$B$154,0))&amp;"","")</f>
        <v/>
      </c>
      <c r="F356" s="15"/>
      <c r="G356" s="9"/>
      <c r="H356" s="10" t="str">
        <f>IF($B356="","",IF($C356="","apnéiste non reconnu",IF($A356="","séance non renseignée",IF(COUNTIFS($A$5:$A$504,$A356,$C$5:$C$504,$C356)&gt;1,"doublon séance / apnéiste",IF(OR($C356=IFERROR(INDEX('Calendrier'!$K$5:$K$5,MATCH($A356,'Calendrier'!$A$5:$A$5,0)),""),$C356=IFERROR(INDEX('Calendrier'!$O$5:$O$5,MATCH($A356,'Calendrier'!$A$5:$A$5,0)),"")),"encadrant et élève sur la même séance",IF(IFERROR(INDEX(Personnes!$H$5:$H$154,MATCH($C356,Personnes!$B$5:$B$154,0)),"")&lt;&gt;"oui","invité (hors ligne)","ok"))))))</f>
        <v/>
      </c>
    </row>
    <row r="357" spans="1:8" x14ac:dyDescent="0.2">
      <c r="A357" s="15"/>
      <c r="B357" s="15"/>
      <c r="C357" s="10" t="str">
        <f>IF($B357="","",IFERROR(IF(ISNUMBER(FIND("[",$B357)),MID($B357,FIND("[",$B357)+1,FIND("]",$B357)-FIND("[",$B357)-1),IF(ISNUMBER($B357),INDEX(Personnes!$B$5:$B$154,MATCH($B357,Personnes!$A$5:$A$154,0)),IFERROR(INDEX(Personnes!$B$5:$B$154,MATCH($B357&amp;"*",Personnes!$C$5:$C$154,0)),INDEX(Personnes!$B$5:$B$154,MATCH($B357&amp;"*",Personnes!$D$5:$D$154,0))))),""))</f>
        <v/>
      </c>
      <c r="D357" s="10" t="str">
        <f>IFERROR(INDEX(Personnes!$C$5:$C$154,MATCH($C357,Personnes!$B$5:$B$154,0))&amp;"","")</f>
        <v/>
      </c>
      <c r="E357" s="10" t="str">
        <f>IFERROR(INDEX(Personnes!$D$5:$D$154,MATCH($C357,Personnes!$B$5:$B$154,0))&amp;"","")</f>
        <v/>
      </c>
      <c r="F357" s="15"/>
      <c r="G357" s="9"/>
      <c r="H357" s="10" t="str">
        <f>IF($B357="","",IF($C357="","apnéiste non reconnu",IF($A357="","séance non renseignée",IF(COUNTIFS($A$5:$A$504,$A357,$C$5:$C$504,$C357)&gt;1,"doublon séance / apnéiste",IF(OR($C357=IFERROR(INDEX('Calendrier'!$K$5:$K$5,MATCH($A357,'Calendrier'!$A$5:$A$5,0)),""),$C357=IFERROR(INDEX('Calendrier'!$O$5:$O$5,MATCH($A357,'Calendrier'!$A$5:$A$5,0)),"")),"encadrant et élève sur la même séance",IF(IFERROR(INDEX(Personnes!$H$5:$H$154,MATCH($C357,Personnes!$B$5:$B$154,0)),"")&lt;&gt;"oui","invité (hors ligne)","ok"))))))</f>
        <v/>
      </c>
    </row>
    <row r="358" spans="1:8" x14ac:dyDescent="0.2">
      <c r="A358" s="15"/>
      <c r="B358" s="15"/>
      <c r="C358" s="10" t="str">
        <f>IF($B358="","",IFERROR(IF(ISNUMBER(FIND("[",$B358)),MID($B358,FIND("[",$B358)+1,FIND("]",$B358)-FIND("[",$B358)-1),IF(ISNUMBER($B358),INDEX(Personnes!$B$5:$B$154,MATCH($B358,Personnes!$A$5:$A$154,0)),IFERROR(INDEX(Personnes!$B$5:$B$154,MATCH($B358&amp;"*",Personnes!$C$5:$C$154,0)),INDEX(Personnes!$B$5:$B$154,MATCH($B358&amp;"*",Personnes!$D$5:$D$154,0))))),""))</f>
        <v/>
      </c>
      <c r="D358" s="10" t="str">
        <f>IFERROR(INDEX(Personnes!$C$5:$C$154,MATCH($C358,Personnes!$B$5:$B$154,0))&amp;"","")</f>
        <v/>
      </c>
      <c r="E358" s="10" t="str">
        <f>IFERROR(INDEX(Personnes!$D$5:$D$154,MATCH($C358,Personnes!$B$5:$B$154,0))&amp;"","")</f>
        <v/>
      </c>
      <c r="F358" s="15"/>
      <c r="G358" s="9"/>
      <c r="H358" s="10" t="str">
        <f>IF($B358="","",IF($C358="","apnéiste non reconnu",IF($A358="","séance non renseignée",IF(COUNTIFS($A$5:$A$504,$A358,$C$5:$C$504,$C358)&gt;1,"doublon séance / apnéiste",IF(OR($C358=IFERROR(INDEX('Calendrier'!$K$5:$K$5,MATCH($A358,'Calendrier'!$A$5:$A$5,0)),""),$C358=IFERROR(INDEX('Calendrier'!$O$5:$O$5,MATCH($A358,'Calendrier'!$A$5:$A$5,0)),"")),"encadrant et élève sur la même séance",IF(IFERROR(INDEX(Personnes!$H$5:$H$154,MATCH($C358,Personnes!$B$5:$B$154,0)),"")&lt;&gt;"oui","invité (hors ligne)","ok"))))))</f>
        <v/>
      </c>
    </row>
    <row r="359" spans="1:8" x14ac:dyDescent="0.2">
      <c r="A359" s="15"/>
      <c r="B359" s="15"/>
      <c r="C359" s="10" t="str">
        <f>IF($B359="","",IFERROR(IF(ISNUMBER(FIND("[",$B359)),MID($B359,FIND("[",$B359)+1,FIND("]",$B359)-FIND("[",$B359)-1),IF(ISNUMBER($B359),INDEX(Personnes!$B$5:$B$154,MATCH($B359,Personnes!$A$5:$A$154,0)),IFERROR(INDEX(Personnes!$B$5:$B$154,MATCH($B359&amp;"*",Personnes!$C$5:$C$154,0)),INDEX(Personnes!$B$5:$B$154,MATCH($B359&amp;"*",Personnes!$D$5:$D$154,0))))),""))</f>
        <v/>
      </c>
      <c r="D359" s="10" t="str">
        <f>IFERROR(INDEX(Personnes!$C$5:$C$154,MATCH($C359,Personnes!$B$5:$B$154,0))&amp;"","")</f>
        <v/>
      </c>
      <c r="E359" s="10" t="str">
        <f>IFERROR(INDEX(Personnes!$D$5:$D$154,MATCH($C359,Personnes!$B$5:$B$154,0))&amp;"","")</f>
        <v/>
      </c>
      <c r="F359" s="15"/>
      <c r="G359" s="9"/>
      <c r="H359" s="10" t="str">
        <f>IF($B359="","",IF($C359="","apnéiste non reconnu",IF($A359="","séance non renseignée",IF(COUNTIFS($A$5:$A$504,$A359,$C$5:$C$504,$C359)&gt;1,"doublon séance / apnéiste",IF(OR($C359=IFERROR(INDEX('Calendrier'!$K$5:$K$5,MATCH($A359,'Calendrier'!$A$5:$A$5,0)),""),$C359=IFERROR(INDEX('Calendrier'!$O$5:$O$5,MATCH($A359,'Calendrier'!$A$5:$A$5,0)),"")),"encadrant et élève sur la même séance",IF(IFERROR(INDEX(Personnes!$H$5:$H$154,MATCH($C359,Personnes!$B$5:$B$154,0)),"")&lt;&gt;"oui","invité (hors ligne)","ok"))))))</f>
        <v/>
      </c>
    </row>
    <row r="360" spans="1:8" x14ac:dyDescent="0.2">
      <c r="A360" s="15"/>
      <c r="B360" s="15"/>
      <c r="C360" s="10" t="str">
        <f>IF($B360="","",IFERROR(IF(ISNUMBER(FIND("[",$B360)),MID($B360,FIND("[",$B360)+1,FIND("]",$B360)-FIND("[",$B360)-1),IF(ISNUMBER($B360),INDEX(Personnes!$B$5:$B$154,MATCH($B360,Personnes!$A$5:$A$154,0)),IFERROR(INDEX(Personnes!$B$5:$B$154,MATCH($B360&amp;"*",Personnes!$C$5:$C$154,0)),INDEX(Personnes!$B$5:$B$154,MATCH($B360&amp;"*",Personnes!$D$5:$D$154,0))))),""))</f>
        <v/>
      </c>
      <c r="D360" s="10" t="str">
        <f>IFERROR(INDEX(Personnes!$C$5:$C$154,MATCH($C360,Personnes!$B$5:$B$154,0))&amp;"","")</f>
        <v/>
      </c>
      <c r="E360" s="10" t="str">
        <f>IFERROR(INDEX(Personnes!$D$5:$D$154,MATCH($C360,Personnes!$B$5:$B$154,0))&amp;"","")</f>
        <v/>
      </c>
      <c r="F360" s="15"/>
      <c r="G360" s="9"/>
      <c r="H360" s="10" t="str">
        <f>IF($B360="","",IF($C360="","apnéiste non reconnu",IF($A360="","séance non renseignée",IF(COUNTIFS($A$5:$A$504,$A360,$C$5:$C$504,$C360)&gt;1,"doublon séance / apnéiste",IF(OR($C360=IFERROR(INDEX('Calendrier'!$K$5:$K$5,MATCH($A360,'Calendrier'!$A$5:$A$5,0)),""),$C360=IFERROR(INDEX('Calendrier'!$O$5:$O$5,MATCH($A360,'Calendrier'!$A$5:$A$5,0)),"")),"encadrant et élève sur la même séance",IF(IFERROR(INDEX(Personnes!$H$5:$H$154,MATCH($C360,Personnes!$B$5:$B$154,0)),"")&lt;&gt;"oui","invité (hors ligne)","ok"))))))</f>
        <v/>
      </c>
    </row>
    <row r="361" spans="1:8" x14ac:dyDescent="0.2">
      <c r="A361" s="15"/>
      <c r="B361" s="15"/>
      <c r="C361" s="10" t="str">
        <f>IF($B361="","",IFERROR(IF(ISNUMBER(FIND("[",$B361)),MID($B361,FIND("[",$B361)+1,FIND("]",$B361)-FIND("[",$B361)-1),IF(ISNUMBER($B361),INDEX(Personnes!$B$5:$B$154,MATCH($B361,Personnes!$A$5:$A$154,0)),IFERROR(INDEX(Personnes!$B$5:$B$154,MATCH($B361&amp;"*",Personnes!$C$5:$C$154,0)),INDEX(Personnes!$B$5:$B$154,MATCH($B361&amp;"*",Personnes!$D$5:$D$154,0))))),""))</f>
        <v/>
      </c>
      <c r="D361" s="10" t="str">
        <f>IFERROR(INDEX(Personnes!$C$5:$C$154,MATCH($C361,Personnes!$B$5:$B$154,0))&amp;"","")</f>
        <v/>
      </c>
      <c r="E361" s="10" t="str">
        <f>IFERROR(INDEX(Personnes!$D$5:$D$154,MATCH($C361,Personnes!$B$5:$B$154,0))&amp;"","")</f>
        <v/>
      </c>
      <c r="F361" s="15"/>
      <c r="G361" s="9"/>
      <c r="H361" s="10" t="str">
        <f>IF($B361="","",IF($C361="","apnéiste non reconnu",IF($A361="","séance non renseignée",IF(COUNTIFS($A$5:$A$504,$A361,$C$5:$C$504,$C361)&gt;1,"doublon séance / apnéiste",IF(OR($C361=IFERROR(INDEX('Calendrier'!$K$5:$K$5,MATCH($A361,'Calendrier'!$A$5:$A$5,0)),""),$C361=IFERROR(INDEX('Calendrier'!$O$5:$O$5,MATCH($A361,'Calendrier'!$A$5:$A$5,0)),"")),"encadrant et élève sur la même séance",IF(IFERROR(INDEX(Personnes!$H$5:$H$154,MATCH($C361,Personnes!$B$5:$B$154,0)),"")&lt;&gt;"oui","invité (hors ligne)","ok"))))))</f>
        <v/>
      </c>
    </row>
    <row r="362" spans="1:8" x14ac:dyDescent="0.2">
      <c r="A362" s="15"/>
      <c r="B362" s="15"/>
      <c r="C362" s="10" t="str">
        <f>IF($B362="","",IFERROR(IF(ISNUMBER(FIND("[",$B362)),MID($B362,FIND("[",$B362)+1,FIND("]",$B362)-FIND("[",$B362)-1),IF(ISNUMBER($B362),INDEX(Personnes!$B$5:$B$154,MATCH($B362,Personnes!$A$5:$A$154,0)),IFERROR(INDEX(Personnes!$B$5:$B$154,MATCH($B362&amp;"*",Personnes!$C$5:$C$154,0)),INDEX(Personnes!$B$5:$B$154,MATCH($B362&amp;"*",Personnes!$D$5:$D$154,0))))),""))</f>
        <v/>
      </c>
      <c r="D362" s="10" t="str">
        <f>IFERROR(INDEX(Personnes!$C$5:$C$154,MATCH($C362,Personnes!$B$5:$B$154,0))&amp;"","")</f>
        <v/>
      </c>
      <c r="E362" s="10" t="str">
        <f>IFERROR(INDEX(Personnes!$D$5:$D$154,MATCH($C362,Personnes!$B$5:$B$154,0))&amp;"","")</f>
        <v/>
      </c>
      <c r="F362" s="15"/>
      <c r="G362" s="9"/>
      <c r="H362" s="10" t="str">
        <f>IF($B362="","",IF($C362="","apnéiste non reconnu",IF($A362="","séance non renseignée",IF(COUNTIFS($A$5:$A$504,$A362,$C$5:$C$504,$C362)&gt;1,"doublon séance / apnéiste",IF(OR($C362=IFERROR(INDEX('Calendrier'!$K$5:$K$5,MATCH($A362,'Calendrier'!$A$5:$A$5,0)),""),$C362=IFERROR(INDEX('Calendrier'!$O$5:$O$5,MATCH($A362,'Calendrier'!$A$5:$A$5,0)),"")),"encadrant et élève sur la même séance",IF(IFERROR(INDEX(Personnes!$H$5:$H$154,MATCH($C362,Personnes!$B$5:$B$154,0)),"")&lt;&gt;"oui","invité (hors ligne)","ok"))))))</f>
        <v/>
      </c>
    </row>
    <row r="363" spans="1:8" x14ac:dyDescent="0.2">
      <c r="A363" s="15"/>
      <c r="B363" s="15"/>
      <c r="C363" s="10" t="str">
        <f>IF($B363="","",IFERROR(IF(ISNUMBER(FIND("[",$B363)),MID($B363,FIND("[",$B363)+1,FIND("]",$B363)-FIND("[",$B363)-1),IF(ISNUMBER($B363),INDEX(Personnes!$B$5:$B$154,MATCH($B363,Personnes!$A$5:$A$154,0)),IFERROR(INDEX(Personnes!$B$5:$B$154,MATCH($B363&amp;"*",Personnes!$C$5:$C$154,0)),INDEX(Personnes!$B$5:$B$154,MATCH($B363&amp;"*",Personnes!$D$5:$D$154,0))))),""))</f>
        <v/>
      </c>
      <c r="D363" s="10" t="str">
        <f>IFERROR(INDEX(Personnes!$C$5:$C$154,MATCH($C363,Personnes!$B$5:$B$154,0))&amp;"","")</f>
        <v/>
      </c>
      <c r="E363" s="10" t="str">
        <f>IFERROR(INDEX(Personnes!$D$5:$D$154,MATCH($C363,Personnes!$B$5:$B$154,0))&amp;"","")</f>
        <v/>
      </c>
      <c r="F363" s="15"/>
      <c r="G363" s="9"/>
      <c r="H363" s="10" t="str">
        <f>IF($B363="","",IF($C363="","apnéiste non reconnu",IF($A363="","séance non renseignée",IF(COUNTIFS($A$5:$A$504,$A363,$C$5:$C$504,$C363)&gt;1,"doublon séance / apnéiste",IF(OR($C363=IFERROR(INDEX('Calendrier'!$K$5:$K$5,MATCH($A363,'Calendrier'!$A$5:$A$5,0)),""),$C363=IFERROR(INDEX('Calendrier'!$O$5:$O$5,MATCH($A363,'Calendrier'!$A$5:$A$5,0)),"")),"encadrant et élève sur la même séance",IF(IFERROR(INDEX(Personnes!$H$5:$H$154,MATCH($C363,Personnes!$B$5:$B$154,0)),"")&lt;&gt;"oui","invité (hors ligne)","ok"))))))</f>
        <v/>
      </c>
    </row>
    <row r="364" spans="1:8" x14ac:dyDescent="0.2">
      <c r="A364" s="15"/>
      <c r="B364" s="15"/>
      <c r="C364" s="10" t="str">
        <f>IF($B364="","",IFERROR(IF(ISNUMBER(FIND("[",$B364)),MID($B364,FIND("[",$B364)+1,FIND("]",$B364)-FIND("[",$B364)-1),IF(ISNUMBER($B364),INDEX(Personnes!$B$5:$B$154,MATCH($B364,Personnes!$A$5:$A$154,0)),IFERROR(INDEX(Personnes!$B$5:$B$154,MATCH($B364&amp;"*",Personnes!$C$5:$C$154,0)),INDEX(Personnes!$B$5:$B$154,MATCH($B364&amp;"*",Personnes!$D$5:$D$154,0))))),""))</f>
        <v/>
      </c>
      <c r="D364" s="10" t="str">
        <f>IFERROR(INDEX(Personnes!$C$5:$C$154,MATCH($C364,Personnes!$B$5:$B$154,0))&amp;"","")</f>
        <v/>
      </c>
      <c r="E364" s="10" t="str">
        <f>IFERROR(INDEX(Personnes!$D$5:$D$154,MATCH($C364,Personnes!$B$5:$B$154,0))&amp;"","")</f>
        <v/>
      </c>
      <c r="F364" s="15"/>
      <c r="G364" s="9"/>
      <c r="H364" s="10" t="str">
        <f>IF($B364="","",IF($C364="","apnéiste non reconnu",IF($A364="","séance non renseignée",IF(COUNTIFS($A$5:$A$504,$A364,$C$5:$C$504,$C364)&gt;1,"doublon séance / apnéiste",IF(OR($C364=IFERROR(INDEX('Calendrier'!$K$5:$K$5,MATCH($A364,'Calendrier'!$A$5:$A$5,0)),""),$C364=IFERROR(INDEX('Calendrier'!$O$5:$O$5,MATCH($A364,'Calendrier'!$A$5:$A$5,0)),"")),"encadrant et élève sur la même séance",IF(IFERROR(INDEX(Personnes!$H$5:$H$154,MATCH($C364,Personnes!$B$5:$B$154,0)),"")&lt;&gt;"oui","invité (hors ligne)","ok"))))))</f>
        <v/>
      </c>
    </row>
    <row r="365" spans="1:8" x14ac:dyDescent="0.2">
      <c r="A365" s="15"/>
      <c r="B365" s="15"/>
      <c r="C365" s="10" t="str">
        <f>IF($B365="","",IFERROR(IF(ISNUMBER(FIND("[",$B365)),MID($B365,FIND("[",$B365)+1,FIND("]",$B365)-FIND("[",$B365)-1),IF(ISNUMBER($B365),INDEX(Personnes!$B$5:$B$154,MATCH($B365,Personnes!$A$5:$A$154,0)),IFERROR(INDEX(Personnes!$B$5:$B$154,MATCH($B365&amp;"*",Personnes!$C$5:$C$154,0)),INDEX(Personnes!$B$5:$B$154,MATCH($B365&amp;"*",Personnes!$D$5:$D$154,0))))),""))</f>
        <v/>
      </c>
      <c r="D365" s="10" t="str">
        <f>IFERROR(INDEX(Personnes!$C$5:$C$154,MATCH($C365,Personnes!$B$5:$B$154,0))&amp;"","")</f>
        <v/>
      </c>
      <c r="E365" s="10" t="str">
        <f>IFERROR(INDEX(Personnes!$D$5:$D$154,MATCH($C365,Personnes!$B$5:$B$154,0))&amp;"","")</f>
        <v/>
      </c>
      <c r="F365" s="15"/>
      <c r="G365" s="9"/>
      <c r="H365" s="10" t="str">
        <f>IF($B365="","",IF($C365="","apnéiste non reconnu",IF($A365="","séance non renseignée",IF(COUNTIFS($A$5:$A$504,$A365,$C$5:$C$504,$C365)&gt;1,"doublon séance / apnéiste",IF(OR($C365=IFERROR(INDEX('Calendrier'!$K$5:$K$5,MATCH($A365,'Calendrier'!$A$5:$A$5,0)),""),$C365=IFERROR(INDEX('Calendrier'!$O$5:$O$5,MATCH($A365,'Calendrier'!$A$5:$A$5,0)),"")),"encadrant et élève sur la même séance",IF(IFERROR(INDEX(Personnes!$H$5:$H$154,MATCH($C365,Personnes!$B$5:$B$154,0)),"")&lt;&gt;"oui","invité (hors ligne)","ok"))))))</f>
        <v/>
      </c>
    </row>
    <row r="366" spans="1:8" x14ac:dyDescent="0.2">
      <c r="A366" s="15"/>
      <c r="B366" s="15"/>
      <c r="C366" s="10" t="str">
        <f>IF($B366="","",IFERROR(IF(ISNUMBER(FIND("[",$B366)),MID($B366,FIND("[",$B366)+1,FIND("]",$B366)-FIND("[",$B366)-1),IF(ISNUMBER($B366),INDEX(Personnes!$B$5:$B$154,MATCH($B366,Personnes!$A$5:$A$154,0)),IFERROR(INDEX(Personnes!$B$5:$B$154,MATCH($B366&amp;"*",Personnes!$C$5:$C$154,0)),INDEX(Personnes!$B$5:$B$154,MATCH($B366&amp;"*",Personnes!$D$5:$D$154,0))))),""))</f>
        <v/>
      </c>
      <c r="D366" s="10" t="str">
        <f>IFERROR(INDEX(Personnes!$C$5:$C$154,MATCH($C366,Personnes!$B$5:$B$154,0))&amp;"","")</f>
        <v/>
      </c>
      <c r="E366" s="10" t="str">
        <f>IFERROR(INDEX(Personnes!$D$5:$D$154,MATCH($C366,Personnes!$B$5:$B$154,0))&amp;"","")</f>
        <v/>
      </c>
      <c r="F366" s="15"/>
      <c r="G366" s="9"/>
      <c r="H366" s="10" t="str">
        <f>IF($B366="","",IF($C366="","apnéiste non reconnu",IF($A366="","séance non renseignée",IF(COUNTIFS($A$5:$A$504,$A366,$C$5:$C$504,$C366)&gt;1,"doublon séance / apnéiste",IF(OR($C366=IFERROR(INDEX('Calendrier'!$K$5:$K$5,MATCH($A366,'Calendrier'!$A$5:$A$5,0)),""),$C366=IFERROR(INDEX('Calendrier'!$O$5:$O$5,MATCH($A366,'Calendrier'!$A$5:$A$5,0)),"")),"encadrant et élève sur la même séance",IF(IFERROR(INDEX(Personnes!$H$5:$H$154,MATCH($C366,Personnes!$B$5:$B$154,0)),"")&lt;&gt;"oui","invité (hors ligne)","ok"))))))</f>
        <v/>
      </c>
    </row>
    <row r="367" spans="1:8" x14ac:dyDescent="0.2">
      <c r="A367" s="15"/>
      <c r="B367" s="15"/>
      <c r="C367" s="10" t="str">
        <f>IF($B367="","",IFERROR(IF(ISNUMBER(FIND("[",$B367)),MID($B367,FIND("[",$B367)+1,FIND("]",$B367)-FIND("[",$B367)-1),IF(ISNUMBER($B367),INDEX(Personnes!$B$5:$B$154,MATCH($B367,Personnes!$A$5:$A$154,0)),IFERROR(INDEX(Personnes!$B$5:$B$154,MATCH($B367&amp;"*",Personnes!$C$5:$C$154,0)),INDEX(Personnes!$B$5:$B$154,MATCH($B367&amp;"*",Personnes!$D$5:$D$154,0))))),""))</f>
        <v/>
      </c>
      <c r="D367" s="10" t="str">
        <f>IFERROR(INDEX(Personnes!$C$5:$C$154,MATCH($C367,Personnes!$B$5:$B$154,0))&amp;"","")</f>
        <v/>
      </c>
      <c r="E367" s="10" t="str">
        <f>IFERROR(INDEX(Personnes!$D$5:$D$154,MATCH($C367,Personnes!$B$5:$B$154,0))&amp;"","")</f>
        <v/>
      </c>
      <c r="F367" s="15"/>
      <c r="G367" s="9"/>
      <c r="H367" s="10" t="str">
        <f>IF($B367="","",IF($C367="","apnéiste non reconnu",IF($A367="","séance non renseignée",IF(COUNTIFS($A$5:$A$504,$A367,$C$5:$C$504,$C367)&gt;1,"doublon séance / apnéiste",IF(OR($C367=IFERROR(INDEX('Calendrier'!$K$5:$K$5,MATCH($A367,'Calendrier'!$A$5:$A$5,0)),""),$C367=IFERROR(INDEX('Calendrier'!$O$5:$O$5,MATCH($A367,'Calendrier'!$A$5:$A$5,0)),"")),"encadrant et élève sur la même séance",IF(IFERROR(INDEX(Personnes!$H$5:$H$154,MATCH($C367,Personnes!$B$5:$B$154,0)),"")&lt;&gt;"oui","invité (hors ligne)","ok"))))))</f>
        <v/>
      </c>
    </row>
    <row r="368" spans="1:8" x14ac:dyDescent="0.2">
      <c r="A368" s="15"/>
      <c r="B368" s="15"/>
      <c r="C368" s="10" t="str">
        <f>IF($B368="","",IFERROR(IF(ISNUMBER(FIND("[",$B368)),MID($B368,FIND("[",$B368)+1,FIND("]",$B368)-FIND("[",$B368)-1),IF(ISNUMBER($B368),INDEX(Personnes!$B$5:$B$154,MATCH($B368,Personnes!$A$5:$A$154,0)),IFERROR(INDEX(Personnes!$B$5:$B$154,MATCH($B368&amp;"*",Personnes!$C$5:$C$154,0)),INDEX(Personnes!$B$5:$B$154,MATCH($B368&amp;"*",Personnes!$D$5:$D$154,0))))),""))</f>
        <v/>
      </c>
      <c r="D368" s="10" t="str">
        <f>IFERROR(INDEX(Personnes!$C$5:$C$154,MATCH($C368,Personnes!$B$5:$B$154,0))&amp;"","")</f>
        <v/>
      </c>
      <c r="E368" s="10" t="str">
        <f>IFERROR(INDEX(Personnes!$D$5:$D$154,MATCH($C368,Personnes!$B$5:$B$154,0))&amp;"","")</f>
        <v/>
      </c>
      <c r="F368" s="15"/>
      <c r="G368" s="9"/>
      <c r="H368" s="10" t="str">
        <f>IF($B368="","",IF($C368="","apnéiste non reconnu",IF($A368="","séance non renseignée",IF(COUNTIFS($A$5:$A$504,$A368,$C$5:$C$504,$C368)&gt;1,"doublon séance / apnéiste",IF(OR($C368=IFERROR(INDEX('Calendrier'!$K$5:$K$5,MATCH($A368,'Calendrier'!$A$5:$A$5,0)),""),$C368=IFERROR(INDEX('Calendrier'!$O$5:$O$5,MATCH($A368,'Calendrier'!$A$5:$A$5,0)),"")),"encadrant et élève sur la même séance",IF(IFERROR(INDEX(Personnes!$H$5:$H$154,MATCH($C368,Personnes!$B$5:$B$154,0)),"")&lt;&gt;"oui","invité (hors ligne)","ok"))))))</f>
        <v/>
      </c>
    </row>
    <row r="369" spans="1:8" x14ac:dyDescent="0.2">
      <c r="A369" s="15"/>
      <c r="B369" s="15"/>
      <c r="C369" s="10" t="str">
        <f>IF($B369="","",IFERROR(IF(ISNUMBER(FIND("[",$B369)),MID($B369,FIND("[",$B369)+1,FIND("]",$B369)-FIND("[",$B369)-1),IF(ISNUMBER($B369),INDEX(Personnes!$B$5:$B$154,MATCH($B369,Personnes!$A$5:$A$154,0)),IFERROR(INDEX(Personnes!$B$5:$B$154,MATCH($B369&amp;"*",Personnes!$C$5:$C$154,0)),INDEX(Personnes!$B$5:$B$154,MATCH($B369&amp;"*",Personnes!$D$5:$D$154,0))))),""))</f>
        <v/>
      </c>
      <c r="D369" s="10" t="str">
        <f>IFERROR(INDEX(Personnes!$C$5:$C$154,MATCH($C369,Personnes!$B$5:$B$154,0))&amp;"","")</f>
        <v/>
      </c>
      <c r="E369" s="10" t="str">
        <f>IFERROR(INDEX(Personnes!$D$5:$D$154,MATCH($C369,Personnes!$B$5:$B$154,0))&amp;"","")</f>
        <v/>
      </c>
      <c r="F369" s="15"/>
      <c r="G369" s="9"/>
      <c r="H369" s="10" t="str">
        <f>IF($B369="","",IF($C369="","apnéiste non reconnu",IF($A369="","séance non renseignée",IF(COUNTIFS($A$5:$A$504,$A369,$C$5:$C$504,$C369)&gt;1,"doublon séance / apnéiste",IF(OR($C369=IFERROR(INDEX('Calendrier'!$K$5:$K$5,MATCH($A369,'Calendrier'!$A$5:$A$5,0)),""),$C369=IFERROR(INDEX('Calendrier'!$O$5:$O$5,MATCH($A369,'Calendrier'!$A$5:$A$5,0)),"")),"encadrant et élève sur la même séance",IF(IFERROR(INDEX(Personnes!$H$5:$H$154,MATCH($C369,Personnes!$B$5:$B$154,0)),"")&lt;&gt;"oui","invité (hors ligne)","ok"))))))</f>
        <v/>
      </c>
    </row>
    <row r="370" spans="1:8" x14ac:dyDescent="0.2">
      <c r="A370" s="15"/>
      <c r="B370" s="15"/>
      <c r="C370" s="10" t="str">
        <f>IF($B370="","",IFERROR(IF(ISNUMBER(FIND("[",$B370)),MID($B370,FIND("[",$B370)+1,FIND("]",$B370)-FIND("[",$B370)-1),IF(ISNUMBER($B370),INDEX(Personnes!$B$5:$B$154,MATCH($B370,Personnes!$A$5:$A$154,0)),IFERROR(INDEX(Personnes!$B$5:$B$154,MATCH($B370&amp;"*",Personnes!$C$5:$C$154,0)),INDEX(Personnes!$B$5:$B$154,MATCH($B370&amp;"*",Personnes!$D$5:$D$154,0))))),""))</f>
        <v/>
      </c>
      <c r="D370" s="10" t="str">
        <f>IFERROR(INDEX(Personnes!$C$5:$C$154,MATCH($C370,Personnes!$B$5:$B$154,0))&amp;"","")</f>
        <v/>
      </c>
      <c r="E370" s="10" t="str">
        <f>IFERROR(INDEX(Personnes!$D$5:$D$154,MATCH($C370,Personnes!$B$5:$B$154,0))&amp;"","")</f>
        <v/>
      </c>
      <c r="F370" s="15"/>
      <c r="G370" s="9"/>
      <c r="H370" s="10" t="str">
        <f>IF($B370="","",IF($C370="","apnéiste non reconnu",IF($A370="","séance non renseignée",IF(COUNTIFS($A$5:$A$504,$A370,$C$5:$C$504,$C370)&gt;1,"doublon séance / apnéiste",IF(OR($C370=IFERROR(INDEX('Calendrier'!$K$5:$K$5,MATCH($A370,'Calendrier'!$A$5:$A$5,0)),""),$C370=IFERROR(INDEX('Calendrier'!$O$5:$O$5,MATCH($A370,'Calendrier'!$A$5:$A$5,0)),"")),"encadrant et élève sur la même séance",IF(IFERROR(INDEX(Personnes!$H$5:$H$154,MATCH($C370,Personnes!$B$5:$B$154,0)),"")&lt;&gt;"oui","invité (hors ligne)","ok"))))))</f>
        <v/>
      </c>
    </row>
    <row r="371" spans="1:8" x14ac:dyDescent="0.2">
      <c r="A371" s="15"/>
      <c r="B371" s="15"/>
      <c r="C371" s="10" t="str">
        <f>IF($B371="","",IFERROR(IF(ISNUMBER(FIND("[",$B371)),MID($B371,FIND("[",$B371)+1,FIND("]",$B371)-FIND("[",$B371)-1),IF(ISNUMBER($B371),INDEX(Personnes!$B$5:$B$154,MATCH($B371,Personnes!$A$5:$A$154,0)),IFERROR(INDEX(Personnes!$B$5:$B$154,MATCH($B371&amp;"*",Personnes!$C$5:$C$154,0)),INDEX(Personnes!$B$5:$B$154,MATCH($B371&amp;"*",Personnes!$D$5:$D$154,0))))),""))</f>
        <v/>
      </c>
      <c r="D371" s="10" t="str">
        <f>IFERROR(INDEX(Personnes!$C$5:$C$154,MATCH($C371,Personnes!$B$5:$B$154,0))&amp;"","")</f>
        <v/>
      </c>
      <c r="E371" s="10" t="str">
        <f>IFERROR(INDEX(Personnes!$D$5:$D$154,MATCH($C371,Personnes!$B$5:$B$154,0))&amp;"","")</f>
        <v/>
      </c>
      <c r="F371" s="15"/>
      <c r="G371" s="9"/>
      <c r="H371" s="10" t="str">
        <f>IF($B371="","",IF($C371="","apnéiste non reconnu",IF($A371="","séance non renseignée",IF(COUNTIFS($A$5:$A$504,$A371,$C$5:$C$504,$C371)&gt;1,"doublon séance / apnéiste",IF(OR($C371=IFERROR(INDEX('Calendrier'!$K$5:$K$5,MATCH($A371,'Calendrier'!$A$5:$A$5,0)),""),$C371=IFERROR(INDEX('Calendrier'!$O$5:$O$5,MATCH($A371,'Calendrier'!$A$5:$A$5,0)),"")),"encadrant et élève sur la même séance",IF(IFERROR(INDEX(Personnes!$H$5:$H$154,MATCH($C371,Personnes!$B$5:$B$154,0)),"")&lt;&gt;"oui","invité (hors ligne)","ok"))))))</f>
        <v/>
      </c>
    </row>
    <row r="372" spans="1:8" x14ac:dyDescent="0.2">
      <c r="A372" s="15"/>
      <c r="B372" s="15"/>
      <c r="C372" s="10" t="str">
        <f>IF($B372="","",IFERROR(IF(ISNUMBER(FIND("[",$B372)),MID($B372,FIND("[",$B372)+1,FIND("]",$B372)-FIND("[",$B372)-1),IF(ISNUMBER($B372),INDEX(Personnes!$B$5:$B$154,MATCH($B372,Personnes!$A$5:$A$154,0)),IFERROR(INDEX(Personnes!$B$5:$B$154,MATCH($B372&amp;"*",Personnes!$C$5:$C$154,0)),INDEX(Personnes!$B$5:$B$154,MATCH($B372&amp;"*",Personnes!$D$5:$D$154,0))))),""))</f>
        <v/>
      </c>
      <c r="D372" s="10" t="str">
        <f>IFERROR(INDEX(Personnes!$C$5:$C$154,MATCH($C372,Personnes!$B$5:$B$154,0))&amp;"","")</f>
        <v/>
      </c>
      <c r="E372" s="10" t="str">
        <f>IFERROR(INDEX(Personnes!$D$5:$D$154,MATCH($C372,Personnes!$B$5:$B$154,0))&amp;"","")</f>
        <v/>
      </c>
      <c r="F372" s="15"/>
      <c r="G372" s="9"/>
      <c r="H372" s="10" t="str">
        <f>IF($B372="","",IF($C372="","apnéiste non reconnu",IF($A372="","séance non renseignée",IF(COUNTIFS($A$5:$A$504,$A372,$C$5:$C$504,$C372)&gt;1,"doublon séance / apnéiste",IF(OR($C372=IFERROR(INDEX('Calendrier'!$K$5:$K$5,MATCH($A372,'Calendrier'!$A$5:$A$5,0)),""),$C372=IFERROR(INDEX('Calendrier'!$O$5:$O$5,MATCH($A372,'Calendrier'!$A$5:$A$5,0)),"")),"encadrant et élève sur la même séance",IF(IFERROR(INDEX(Personnes!$H$5:$H$154,MATCH($C372,Personnes!$B$5:$B$154,0)),"")&lt;&gt;"oui","invité (hors ligne)","ok"))))))</f>
        <v/>
      </c>
    </row>
    <row r="373" spans="1:8" x14ac:dyDescent="0.2">
      <c r="A373" s="15"/>
      <c r="B373" s="15"/>
      <c r="C373" s="10" t="str">
        <f>IF($B373="","",IFERROR(IF(ISNUMBER(FIND("[",$B373)),MID($B373,FIND("[",$B373)+1,FIND("]",$B373)-FIND("[",$B373)-1),IF(ISNUMBER($B373),INDEX(Personnes!$B$5:$B$154,MATCH($B373,Personnes!$A$5:$A$154,0)),IFERROR(INDEX(Personnes!$B$5:$B$154,MATCH($B373&amp;"*",Personnes!$C$5:$C$154,0)),INDEX(Personnes!$B$5:$B$154,MATCH($B373&amp;"*",Personnes!$D$5:$D$154,0))))),""))</f>
        <v/>
      </c>
      <c r="D373" s="10" t="str">
        <f>IFERROR(INDEX(Personnes!$C$5:$C$154,MATCH($C373,Personnes!$B$5:$B$154,0))&amp;"","")</f>
        <v/>
      </c>
      <c r="E373" s="10" t="str">
        <f>IFERROR(INDEX(Personnes!$D$5:$D$154,MATCH($C373,Personnes!$B$5:$B$154,0))&amp;"","")</f>
        <v/>
      </c>
      <c r="F373" s="15"/>
      <c r="G373" s="9"/>
      <c r="H373" s="10" t="str">
        <f>IF($B373="","",IF($C373="","apnéiste non reconnu",IF($A373="","séance non renseignée",IF(COUNTIFS($A$5:$A$504,$A373,$C$5:$C$504,$C373)&gt;1,"doublon séance / apnéiste",IF(OR($C373=IFERROR(INDEX('Calendrier'!$K$5:$K$5,MATCH($A373,'Calendrier'!$A$5:$A$5,0)),""),$C373=IFERROR(INDEX('Calendrier'!$O$5:$O$5,MATCH($A373,'Calendrier'!$A$5:$A$5,0)),"")),"encadrant et élève sur la même séance",IF(IFERROR(INDEX(Personnes!$H$5:$H$154,MATCH($C373,Personnes!$B$5:$B$154,0)),"")&lt;&gt;"oui","invité (hors ligne)","ok"))))))</f>
        <v/>
      </c>
    </row>
    <row r="374" spans="1:8" x14ac:dyDescent="0.2">
      <c r="A374" s="15"/>
      <c r="B374" s="15"/>
      <c r="C374" s="10" t="str">
        <f>IF($B374="","",IFERROR(IF(ISNUMBER(FIND("[",$B374)),MID($B374,FIND("[",$B374)+1,FIND("]",$B374)-FIND("[",$B374)-1),IF(ISNUMBER($B374),INDEX(Personnes!$B$5:$B$154,MATCH($B374,Personnes!$A$5:$A$154,0)),IFERROR(INDEX(Personnes!$B$5:$B$154,MATCH($B374&amp;"*",Personnes!$C$5:$C$154,0)),INDEX(Personnes!$B$5:$B$154,MATCH($B374&amp;"*",Personnes!$D$5:$D$154,0))))),""))</f>
        <v/>
      </c>
      <c r="D374" s="10" t="str">
        <f>IFERROR(INDEX(Personnes!$C$5:$C$154,MATCH($C374,Personnes!$B$5:$B$154,0))&amp;"","")</f>
        <v/>
      </c>
      <c r="E374" s="10" t="str">
        <f>IFERROR(INDEX(Personnes!$D$5:$D$154,MATCH($C374,Personnes!$B$5:$B$154,0))&amp;"","")</f>
        <v/>
      </c>
      <c r="F374" s="15"/>
      <c r="G374" s="9"/>
      <c r="H374" s="10" t="str">
        <f>IF($B374="","",IF($C374="","apnéiste non reconnu",IF($A374="","séance non renseignée",IF(COUNTIFS($A$5:$A$504,$A374,$C$5:$C$504,$C374)&gt;1,"doublon séance / apnéiste",IF(OR($C374=IFERROR(INDEX('Calendrier'!$K$5:$K$5,MATCH($A374,'Calendrier'!$A$5:$A$5,0)),""),$C374=IFERROR(INDEX('Calendrier'!$O$5:$O$5,MATCH($A374,'Calendrier'!$A$5:$A$5,0)),"")),"encadrant et élève sur la même séance",IF(IFERROR(INDEX(Personnes!$H$5:$H$154,MATCH($C374,Personnes!$B$5:$B$154,0)),"")&lt;&gt;"oui","invité (hors ligne)","ok"))))))</f>
        <v/>
      </c>
    </row>
    <row r="375" spans="1:8" x14ac:dyDescent="0.2">
      <c r="A375" s="15"/>
      <c r="B375" s="15"/>
      <c r="C375" s="10" t="str">
        <f>IF($B375="","",IFERROR(IF(ISNUMBER(FIND("[",$B375)),MID($B375,FIND("[",$B375)+1,FIND("]",$B375)-FIND("[",$B375)-1),IF(ISNUMBER($B375),INDEX(Personnes!$B$5:$B$154,MATCH($B375,Personnes!$A$5:$A$154,0)),IFERROR(INDEX(Personnes!$B$5:$B$154,MATCH($B375&amp;"*",Personnes!$C$5:$C$154,0)),INDEX(Personnes!$B$5:$B$154,MATCH($B375&amp;"*",Personnes!$D$5:$D$154,0))))),""))</f>
        <v/>
      </c>
      <c r="D375" s="10" t="str">
        <f>IFERROR(INDEX(Personnes!$C$5:$C$154,MATCH($C375,Personnes!$B$5:$B$154,0))&amp;"","")</f>
        <v/>
      </c>
      <c r="E375" s="10" t="str">
        <f>IFERROR(INDEX(Personnes!$D$5:$D$154,MATCH($C375,Personnes!$B$5:$B$154,0))&amp;"","")</f>
        <v/>
      </c>
      <c r="F375" s="15"/>
      <c r="G375" s="9"/>
      <c r="H375" s="10" t="str">
        <f>IF($B375="","",IF($C375="","apnéiste non reconnu",IF($A375="","séance non renseignée",IF(COUNTIFS($A$5:$A$504,$A375,$C$5:$C$504,$C375)&gt;1,"doublon séance / apnéiste",IF(OR($C375=IFERROR(INDEX('Calendrier'!$K$5:$K$5,MATCH($A375,'Calendrier'!$A$5:$A$5,0)),""),$C375=IFERROR(INDEX('Calendrier'!$O$5:$O$5,MATCH($A375,'Calendrier'!$A$5:$A$5,0)),"")),"encadrant et élève sur la même séance",IF(IFERROR(INDEX(Personnes!$H$5:$H$154,MATCH($C375,Personnes!$B$5:$B$154,0)),"")&lt;&gt;"oui","invité (hors ligne)","ok"))))))</f>
        <v/>
      </c>
    </row>
    <row r="376" spans="1:8" x14ac:dyDescent="0.2">
      <c r="A376" s="15"/>
      <c r="B376" s="15"/>
      <c r="C376" s="10" t="str">
        <f>IF($B376="","",IFERROR(IF(ISNUMBER(FIND("[",$B376)),MID($B376,FIND("[",$B376)+1,FIND("]",$B376)-FIND("[",$B376)-1),IF(ISNUMBER($B376),INDEX(Personnes!$B$5:$B$154,MATCH($B376,Personnes!$A$5:$A$154,0)),IFERROR(INDEX(Personnes!$B$5:$B$154,MATCH($B376&amp;"*",Personnes!$C$5:$C$154,0)),INDEX(Personnes!$B$5:$B$154,MATCH($B376&amp;"*",Personnes!$D$5:$D$154,0))))),""))</f>
        <v/>
      </c>
      <c r="D376" s="10" t="str">
        <f>IFERROR(INDEX(Personnes!$C$5:$C$154,MATCH($C376,Personnes!$B$5:$B$154,0))&amp;"","")</f>
        <v/>
      </c>
      <c r="E376" s="10" t="str">
        <f>IFERROR(INDEX(Personnes!$D$5:$D$154,MATCH($C376,Personnes!$B$5:$B$154,0))&amp;"","")</f>
        <v/>
      </c>
      <c r="F376" s="15"/>
      <c r="G376" s="9"/>
      <c r="H376" s="10" t="str">
        <f>IF($B376="","",IF($C376="","apnéiste non reconnu",IF($A376="","séance non renseignée",IF(COUNTIFS($A$5:$A$504,$A376,$C$5:$C$504,$C376)&gt;1,"doublon séance / apnéiste",IF(OR($C376=IFERROR(INDEX('Calendrier'!$K$5:$K$5,MATCH($A376,'Calendrier'!$A$5:$A$5,0)),""),$C376=IFERROR(INDEX('Calendrier'!$O$5:$O$5,MATCH($A376,'Calendrier'!$A$5:$A$5,0)),"")),"encadrant et élève sur la même séance",IF(IFERROR(INDEX(Personnes!$H$5:$H$154,MATCH($C376,Personnes!$B$5:$B$154,0)),"")&lt;&gt;"oui","invité (hors ligne)","ok"))))))</f>
        <v/>
      </c>
    </row>
    <row r="377" spans="1:8" x14ac:dyDescent="0.2">
      <c r="A377" s="15"/>
      <c r="B377" s="15"/>
      <c r="C377" s="10" t="str">
        <f>IF($B377="","",IFERROR(IF(ISNUMBER(FIND("[",$B377)),MID($B377,FIND("[",$B377)+1,FIND("]",$B377)-FIND("[",$B377)-1),IF(ISNUMBER($B377),INDEX(Personnes!$B$5:$B$154,MATCH($B377,Personnes!$A$5:$A$154,0)),IFERROR(INDEX(Personnes!$B$5:$B$154,MATCH($B377&amp;"*",Personnes!$C$5:$C$154,0)),INDEX(Personnes!$B$5:$B$154,MATCH($B377&amp;"*",Personnes!$D$5:$D$154,0))))),""))</f>
        <v/>
      </c>
      <c r="D377" s="10" t="str">
        <f>IFERROR(INDEX(Personnes!$C$5:$C$154,MATCH($C377,Personnes!$B$5:$B$154,0))&amp;"","")</f>
        <v/>
      </c>
      <c r="E377" s="10" t="str">
        <f>IFERROR(INDEX(Personnes!$D$5:$D$154,MATCH($C377,Personnes!$B$5:$B$154,0))&amp;"","")</f>
        <v/>
      </c>
      <c r="F377" s="15"/>
      <c r="G377" s="9"/>
      <c r="H377" s="10" t="str">
        <f>IF($B377="","",IF($C377="","apnéiste non reconnu",IF($A377="","séance non renseignée",IF(COUNTIFS($A$5:$A$504,$A377,$C$5:$C$504,$C377)&gt;1,"doublon séance / apnéiste",IF(OR($C377=IFERROR(INDEX('Calendrier'!$K$5:$K$5,MATCH($A377,'Calendrier'!$A$5:$A$5,0)),""),$C377=IFERROR(INDEX('Calendrier'!$O$5:$O$5,MATCH($A377,'Calendrier'!$A$5:$A$5,0)),"")),"encadrant et élève sur la même séance",IF(IFERROR(INDEX(Personnes!$H$5:$H$154,MATCH($C377,Personnes!$B$5:$B$154,0)),"")&lt;&gt;"oui","invité (hors ligne)","ok"))))))</f>
        <v/>
      </c>
    </row>
    <row r="378" spans="1:8" x14ac:dyDescent="0.2">
      <c r="A378" s="15"/>
      <c r="B378" s="15"/>
      <c r="C378" s="10" t="str">
        <f>IF($B378="","",IFERROR(IF(ISNUMBER(FIND("[",$B378)),MID($B378,FIND("[",$B378)+1,FIND("]",$B378)-FIND("[",$B378)-1),IF(ISNUMBER($B378),INDEX(Personnes!$B$5:$B$154,MATCH($B378,Personnes!$A$5:$A$154,0)),IFERROR(INDEX(Personnes!$B$5:$B$154,MATCH($B378&amp;"*",Personnes!$C$5:$C$154,0)),INDEX(Personnes!$B$5:$B$154,MATCH($B378&amp;"*",Personnes!$D$5:$D$154,0))))),""))</f>
        <v/>
      </c>
      <c r="D378" s="10" t="str">
        <f>IFERROR(INDEX(Personnes!$C$5:$C$154,MATCH($C378,Personnes!$B$5:$B$154,0))&amp;"","")</f>
        <v/>
      </c>
      <c r="E378" s="10" t="str">
        <f>IFERROR(INDEX(Personnes!$D$5:$D$154,MATCH($C378,Personnes!$B$5:$B$154,0))&amp;"","")</f>
        <v/>
      </c>
      <c r="F378" s="15"/>
      <c r="G378" s="9"/>
      <c r="H378" s="10" t="str">
        <f>IF($B378="","",IF($C378="","apnéiste non reconnu",IF($A378="","séance non renseignée",IF(COUNTIFS($A$5:$A$504,$A378,$C$5:$C$504,$C378)&gt;1,"doublon séance / apnéiste",IF(OR($C378=IFERROR(INDEX('Calendrier'!$K$5:$K$5,MATCH($A378,'Calendrier'!$A$5:$A$5,0)),""),$C378=IFERROR(INDEX('Calendrier'!$O$5:$O$5,MATCH($A378,'Calendrier'!$A$5:$A$5,0)),"")),"encadrant et élève sur la même séance",IF(IFERROR(INDEX(Personnes!$H$5:$H$154,MATCH($C378,Personnes!$B$5:$B$154,0)),"")&lt;&gt;"oui","invité (hors ligne)","ok"))))))</f>
        <v/>
      </c>
    </row>
    <row r="379" spans="1:8" x14ac:dyDescent="0.2">
      <c r="A379" s="15"/>
      <c r="B379" s="15"/>
      <c r="C379" s="10" t="str">
        <f>IF($B379="","",IFERROR(IF(ISNUMBER(FIND("[",$B379)),MID($B379,FIND("[",$B379)+1,FIND("]",$B379)-FIND("[",$B379)-1),IF(ISNUMBER($B379),INDEX(Personnes!$B$5:$B$154,MATCH($B379,Personnes!$A$5:$A$154,0)),IFERROR(INDEX(Personnes!$B$5:$B$154,MATCH($B379&amp;"*",Personnes!$C$5:$C$154,0)),INDEX(Personnes!$B$5:$B$154,MATCH($B379&amp;"*",Personnes!$D$5:$D$154,0))))),""))</f>
        <v/>
      </c>
      <c r="D379" s="10" t="str">
        <f>IFERROR(INDEX(Personnes!$C$5:$C$154,MATCH($C379,Personnes!$B$5:$B$154,0))&amp;"","")</f>
        <v/>
      </c>
      <c r="E379" s="10" t="str">
        <f>IFERROR(INDEX(Personnes!$D$5:$D$154,MATCH($C379,Personnes!$B$5:$B$154,0))&amp;"","")</f>
        <v/>
      </c>
      <c r="F379" s="15"/>
      <c r="G379" s="9"/>
      <c r="H379" s="10" t="str">
        <f>IF($B379="","",IF($C379="","apnéiste non reconnu",IF($A379="","séance non renseignée",IF(COUNTIFS($A$5:$A$504,$A379,$C$5:$C$504,$C379)&gt;1,"doublon séance / apnéiste",IF(OR($C379=IFERROR(INDEX('Calendrier'!$K$5:$K$5,MATCH($A379,'Calendrier'!$A$5:$A$5,0)),""),$C379=IFERROR(INDEX('Calendrier'!$O$5:$O$5,MATCH($A379,'Calendrier'!$A$5:$A$5,0)),"")),"encadrant et élève sur la même séance",IF(IFERROR(INDEX(Personnes!$H$5:$H$154,MATCH($C379,Personnes!$B$5:$B$154,0)),"")&lt;&gt;"oui","invité (hors ligne)","ok"))))))</f>
        <v/>
      </c>
    </row>
    <row r="380" spans="1:8" x14ac:dyDescent="0.2">
      <c r="A380" s="15"/>
      <c r="B380" s="15"/>
      <c r="C380" s="10" t="str">
        <f>IF($B380="","",IFERROR(IF(ISNUMBER(FIND("[",$B380)),MID($B380,FIND("[",$B380)+1,FIND("]",$B380)-FIND("[",$B380)-1),IF(ISNUMBER($B380),INDEX(Personnes!$B$5:$B$154,MATCH($B380,Personnes!$A$5:$A$154,0)),IFERROR(INDEX(Personnes!$B$5:$B$154,MATCH($B380&amp;"*",Personnes!$C$5:$C$154,0)),INDEX(Personnes!$B$5:$B$154,MATCH($B380&amp;"*",Personnes!$D$5:$D$154,0))))),""))</f>
        <v/>
      </c>
      <c r="D380" s="10" t="str">
        <f>IFERROR(INDEX(Personnes!$C$5:$C$154,MATCH($C380,Personnes!$B$5:$B$154,0))&amp;"","")</f>
        <v/>
      </c>
      <c r="E380" s="10" t="str">
        <f>IFERROR(INDEX(Personnes!$D$5:$D$154,MATCH($C380,Personnes!$B$5:$B$154,0))&amp;"","")</f>
        <v/>
      </c>
      <c r="F380" s="15"/>
      <c r="G380" s="9"/>
      <c r="H380" s="10" t="str">
        <f>IF($B380="","",IF($C380="","apnéiste non reconnu",IF($A380="","séance non renseignée",IF(COUNTIFS($A$5:$A$504,$A380,$C$5:$C$504,$C380)&gt;1,"doublon séance / apnéiste",IF(OR($C380=IFERROR(INDEX('Calendrier'!$K$5:$K$5,MATCH($A380,'Calendrier'!$A$5:$A$5,0)),""),$C380=IFERROR(INDEX('Calendrier'!$O$5:$O$5,MATCH($A380,'Calendrier'!$A$5:$A$5,0)),"")),"encadrant et élève sur la même séance",IF(IFERROR(INDEX(Personnes!$H$5:$H$154,MATCH($C380,Personnes!$B$5:$B$154,0)),"")&lt;&gt;"oui","invité (hors ligne)","ok"))))))</f>
        <v/>
      </c>
    </row>
    <row r="381" spans="1:8" x14ac:dyDescent="0.2">
      <c r="A381" s="15"/>
      <c r="B381" s="15"/>
      <c r="C381" s="10" t="str">
        <f>IF($B381="","",IFERROR(IF(ISNUMBER(FIND("[",$B381)),MID($B381,FIND("[",$B381)+1,FIND("]",$B381)-FIND("[",$B381)-1),IF(ISNUMBER($B381),INDEX(Personnes!$B$5:$B$154,MATCH($B381,Personnes!$A$5:$A$154,0)),IFERROR(INDEX(Personnes!$B$5:$B$154,MATCH($B381&amp;"*",Personnes!$C$5:$C$154,0)),INDEX(Personnes!$B$5:$B$154,MATCH($B381&amp;"*",Personnes!$D$5:$D$154,0))))),""))</f>
        <v/>
      </c>
      <c r="D381" s="10" t="str">
        <f>IFERROR(INDEX(Personnes!$C$5:$C$154,MATCH($C381,Personnes!$B$5:$B$154,0))&amp;"","")</f>
        <v/>
      </c>
      <c r="E381" s="10" t="str">
        <f>IFERROR(INDEX(Personnes!$D$5:$D$154,MATCH($C381,Personnes!$B$5:$B$154,0))&amp;"","")</f>
        <v/>
      </c>
      <c r="F381" s="15"/>
      <c r="G381" s="9"/>
      <c r="H381" s="10" t="str">
        <f>IF($B381="","",IF($C381="","apnéiste non reconnu",IF($A381="","séance non renseignée",IF(COUNTIFS($A$5:$A$504,$A381,$C$5:$C$504,$C381)&gt;1,"doublon séance / apnéiste",IF(OR($C381=IFERROR(INDEX('Calendrier'!$K$5:$K$5,MATCH($A381,'Calendrier'!$A$5:$A$5,0)),""),$C381=IFERROR(INDEX('Calendrier'!$O$5:$O$5,MATCH($A381,'Calendrier'!$A$5:$A$5,0)),"")),"encadrant et élève sur la même séance",IF(IFERROR(INDEX(Personnes!$H$5:$H$154,MATCH($C381,Personnes!$B$5:$B$154,0)),"")&lt;&gt;"oui","invité (hors ligne)","ok"))))))</f>
        <v/>
      </c>
    </row>
    <row r="382" spans="1:8" x14ac:dyDescent="0.2">
      <c r="A382" s="15"/>
      <c r="B382" s="15"/>
      <c r="C382" s="10" t="str">
        <f>IF($B382="","",IFERROR(IF(ISNUMBER(FIND("[",$B382)),MID($B382,FIND("[",$B382)+1,FIND("]",$B382)-FIND("[",$B382)-1),IF(ISNUMBER($B382),INDEX(Personnes!$B$5:$B$154,MATCH($B382,Personnes!$A$5:$A$154,0)),IFERROR(INDEX(Personnes!$B$5:$B$154,MATCH($B382&amp;"*",Personnes!$C$5:$C$154,0)),INDEX(Personnes!$B$5:$B$154,MATCH($B382&amp;"*",Personnes!$D$5:$D$154,0))))),""))</f>
        <v/>
      </c>
      <c r="D382" s="10" t="str">
        <f>IFERROR(INDEX(Personnes!$C$5:$C$154,MATCH($C382,Personnes!$B$5:$B$154,0))&amp;"","")</f>
        <v/>
      </c>
      <c r="E382" s="10" t="str">
        <f>IFERROR(INDEX(Personnes!$D$5:$D$154,MATCH($C382,Personnes!$B$5:$B$154,0))&amp;"","")</f>
        <v/>
      </c>
      <c r="F382" s="15"/>
      <c r="G382" s="9"/>
      <c r="H382" s="10" t="str">
        <f>IF($B382="","",IF($C382="","apnéiste non reconnu",IF($A382="","séance non renseignée",IF(COUNTIFS($A$5:$A$504,$A382,$C$5:$C$504,$C382)&gt;1,"doublon séance / apnéiste",IF(OR($C382=IFERROR(INDEX('Calendrier'!$K$5:$K$5,MATCH($A382,'Calendrier'!$A$5:$A$5,0)),""),$C382=IFERROR(INDEX('Calendrier'!$O$5:$O$5,MATCH($A382,'Calendrier'!$A$5:$A$5,0)),"")),"encadrant et élève sur la même séance",IF(IFERROR(INDEX(Personnes!$H$5:$H$154,MATCH($C382,Personnes!$B$5:$B$154,0)),"")&lt;&gt;"oui","invité (hors ligne)","ok"))))))</f>
        <v/>
      </c>
    </row>
    <row r="383" spans="1:8" x14ac:dyDescent="0.2">
      <c r="A383" s="15"/>
      <c r="B383" s="15"/>
      <c r="C383" s="10" t="str">
        <f>IF($B383="","",IFERROR(IF(ISNUMBER(FIND("[",$B383)),MID($B383,FIND("[",$B383)+1,FIND("]",$B383)-FIND("[",$B383)-1),IF(ISNUMBER($B383),INDEX(Personnes!$B$5:$B$154,MATCH($B383,Personnes!$A$5:$A$154,0)),IFERROR(INDEX(Personnes!$B$5:$B$154,MATCH($B383&amp;"*",Personnes!$C$5:$C$154,0)),INDEX(Personnes!$B$5:$B$154,MATCH($B383&amp;"*",Personnes!$D$5:$D$154,0))))),""))</f>
        <v/>
      </c>
      <c r="D383" s="10" t="str">
        <f>IFERROR(INDEX(Personnes!$C$5:$C$154,MATCH($C383,Personnes!$B$5:$B$154,0))&amp;"","")</f>
        <v/>
      </c>
      <c r="E383" s="10" t="str">
        <f>IFERROR(INDEX(Personnes!$D$5:$D$154,MATCH($C383,Personnes!$B$5:$B$154,0))&amp;"","")</f>
        <v/>
      </c>
      <c r="F383" s="15"/>
      <c r="G383" s="9"/>
      <c r="H383" s="10" t="str">
        <f>IF($B383="","",IF($C383="","apnéiste non reconnu",IF($A383="","séance non renseignée",IF(COUNTIFS($A$5:$A$504,$A383,$C$5:$C$504,$C383)&gt;1,"doublon séance / apnéiste",IF(OR($C383=IFERROR(INDEX('Calendrier'!$K$5:$K$5,MATCH($A383,'Calendrier'!$A$5:$A$5,0)),""),$C383=IFERROR(INDEX('Calendrier'!$O$5:$O$5,MATCH($A383,'Calendrier'!$A$5:$A$5,0)),"")),"encadrant et élève sur la même séance",IF(IFERROR(INDEX(Personnes!$H$5:$H$154,MATCH($C383,Personnes!$B$5:$B$154,0)),"")&lt;&gt;"oui","invité (hors ligne)","ok"))))))</f>
        <v/>
      </c>
    </row>
    <row r="384" spans="1:8" x14ac:dyDescent="0.2">
      <c r="A384" s="15"/>
      <c r="B384" s="15"/>
      <c r="C384" s="10" t="str">
        <f>IF($B384="","",IFERROR(IF(ISNUMBER(FIND("[",$B384)),MID($B384,FIND("[",$B384)+1,FIND("]",$B384)-FIND("[",$B384)-1),IF(ISNUMBER($B384),INDEX(Personnes!$B$5:$B$154,MATCH($B384,Personnes!$A$5:$A$154,0)),IFERROR(INDEX(Personnes!$B$5:$B$154,MATCH($B384&amp;"*",Personnes!$C$5:$C$154,0)),INDEX(Personnes!$B$5:$B$154,MATCH($B384&amp;"*",Personnes!$D$5:$D$154,0))))),""))</f>
        <v/>
      </c>
      <c r="D384" s="10" t="str">
        <f>IFERROR(INDEX(Personnes!$C$5:$C$154,MATCH($C384,Personnes!$B$5:$B$154,0))&amp;"","")</f>
        <v/>
      </c>
      <c r="E384" s="10" t="str">
        <f>IFERROR(INDEX(Personnes!$D$5:$D$154,MATCH($C384,Personnes!$B$5:$B$154,0))&amp;"","")</f>
        <v/>
      </c>
      <c r="F384" s="15"/>
      <c r="G384" s="9"/>
      <c r="H384" s="10" t="str">
        <f>IF($B384="","",IF($C384="","apnéiste non reconnu",IF($A384="","séance non renseignée",IF(COUNTIFS($A$5:$A$504,$A384,$C$5:$C$504,$C384)&gt;1,"doublon séance / apnéiste",IF(OR($C384=IFERROR(INDEX('Calendrier'!$K$5:$K$5,MATCH($A384,'Calendrier'!$A$5:$A$5,0)),""),$C384=IFERROR(INDEX('Calendrier'!$O$5:$O$5,MATCH($A384,'Calendrier'!$A$5:$A$5,0)),"")),"encadrant et élève sur la même séance",IF(IFERROR(INDEX(Personnes!$H$5:$H$154,MATCH($C384,Personnes!$B$5:$B$154,0)),"")&lt;&gt;"oui","invité (hors ligne)","ok"))))))</f>
        <v/>
      </c>
    </row>
    <row r="385" spans="1:8" x14ac:dyDescent="0.2">
      <c r="A385" s="15"/>
      <c r="B385" s="15"/>
      <c r="C385" s="10" t="str">
        <f>IF($B385="","",IFERROR(IF(ISNUMBER(FIND("[",$B385)),MID($B385,FIND("[",$B385)+1,FIND("]",$B385)-FIND("[",$B385)-1),IF(ISNUMBER($B385),INDEX(Personnes!$B$5:$B$154,MATCH($B385,Personnes!$A$5:$A$154,0)),IFERROR(INDEX(Personnes!$B$5:$B$154,MATCH($B385&amp;"*",Personnes!$C$5:$C$154,0)),INDEX(Personnes!$B$5:$B$154,MATCH($B385&amp;"*",Personnes!$D$5:$D$154,0))))),""))</f>
        <v/>
      </c>
      <c r="D385" s="10" t="str">
        <f>IFERROR(INDEX(Personnes!$C$5:$C$154,MATCH($C385,Personnes!$B$5:$B$154,0))&amp;"","")</f>
        <v/>
      </c>
      <c r="E385" s="10" t="str">
        <f>IFERROR(INDEX(Personnes!$D$5:$D$154,MATCH($C385,Personnes!$B$5:$B$154,0))&amp;"","")</f>
        <v/>
      </c>
      <c r="F385" s="15"/>
      <c r="G385" s="9"/>
      <c r="H385" s="10" t="str">
        <f>IF($B385="","",IF($C385="","apnéiste non reconnu",IF($A385="","séance non renseignée",IF(COUNTIFS($A$5:$A$504,$A385,$C$5:$C$504,$C385)&gt;1,"doublon séance / apnéiste",IF(OR($C385=IFERROR(INDEX('Calendrier'!$K$5:$K$5,MATCH($A385,'Calendrier'!$A$5:$A$5,0)),""),$C385=IFERROR(INDEX('Calendrier'!$O$5:$O$5,MATCH($A385,'Calendrier'!$A$5:$A$5,0)),"")),"encadrant et élève sur la même séance",IF(IFERROR(INDEX(Personnes!$H$5:$H$154,MATCH($C385,Personnes!$B$5:$B$154,0)),"")&lt;&gt;"oui","invité (hors ligne)","ok"))))))</f>
        <v/>
      </c>
    </row>
    <row r="386" spans="1:8" x14ac:dyDescent="0.2">
      <c r="A386" s="15"/>
      <c r="B386" s="15"/>
      <c r="C386" s="10" t="str">
        <f>IF($B386="","",IFERROR(IF(ISNUMBER(FIND("[",$B386)),MID($B386,FIND("[",$B386)+1,FIND("]",$B386)-FIND("[",$B386)-1),IF(ISNUMBER($B386),INDEX(Personnes!$B$5:$B$154,MATCH($B386,Personnes!$A$5:$A$154,0)),IFERROR(INDEX(Personnes!$B$5:$B$154,MATCH($B386&amp;"*",Personnes!$C$5:$C$154,0)),INDEX(Personnes!$B$5:$B$154,MATCH($B386&amp;"*",Personnes!$D$5:$D$154,0))))),""))</f>
        <v/>
      </c>
      <c r="D386" s="10" t="str">
        <f>IFERROR(INDEX(Personnes!$C$5:$C$154,MATCH($C386,Personnes!$B$5:$B$154,0))&amp;"","")</f>
        <v/>
      </c>
      <c r="E386" s="10" t="str">
        <f>IFERROR(INDEX(Personnes!$D$5:$D$154,MATCH($C386,Personnes!$B$5:$B$154,0))&amp;"","")</f>
        <v/>
      </c>
      <c r="F386" s="15"/>
      <c r="G386" s="9"/>
      <c r="H386" s="10" t="str">
        <f>IF($B386="","",IF($C386="","apnéiste non reconnu",IF($A386="","séance non renseignée",IF(COUNTIFS($A$5:$A$504,$A386,$C$5:$C$504,$C386)&gt;1,"doublon séance / apnéiste",IF(OR($C386=IFERROR(INDEX('Calendrier'!$K$5:$K$5,MATCH($A386,'Calendrier'!$A$5:$A$5,0)),""),$C386=IFERROR(INDEX('Calendrier'!$O$5:$O$5,MATCH($A386,'Calendrier'!$A$5:$A$5,0)),"")),"encadrant et élève sur la même séance",IF(IFERROR(INDEX(Personnes!$H$5:$H$154,MATCH($C386,Personnes!$B$5:$B$154,0)),"")&lt;&gt;"oui","invité (hors ligne)","ok"))))))</f>
        <v/>
      </c>
    </row>
    <row r="387" spans="1:8" x14ac:dyDescent="0.2">
      <c r="A387" s="15"/>
      <c r="B387" s="15"/>
      <c r="C387" s="10" t="str">
        <f>IF($B387="","",IFERROR(IF(ISNUMBER(FIND("[",$B387)),MID($B387,FIND("[",$B387)+1,FIND("]",$B387)-FIND("[",$B387)-1),IF(ISNUMBER($B387),INDEX(Personnes!$B$5:$B$154,MATCH($B387,Personnes!$A$5:$A$154,0)),IFERROR(INDEX(Personnes!$B$5:$B$154,MATCH($B387&amp;"*",Personnes!$C$5:$C$154,0)),INDEX(Personnes!$B$5:$B$154,MATCH($B387&amp;"*",Personnes!$D$5:$D$154,0))))),""))</f>
        <v/>
      </c>
      <c r="D387" s="10" t="str">
        <f>IFERROR(INDEX(Personnes!$C$5:$C$154,MATCH($C387,Personnes!$B$5:$B$154,0))&amp;"","")</f>
        <v/>
      </c>
      <c r="E387" s="10" t="str">
        <f>IFERROR(INDEX(Personnes!$D$5:$D$154,MATCH($C387,Personnes!$B$5:$B$154,0))&amp;"","")</f>
        <v/>
      </c>
      <c r="F387" s="15"/>
      <c r="G387" s="9"/>
      <c r="H387" s="10" t="str">
        <f>IF($B387="","",IF($C387="","apnéiste non reconnu",IF($A387="","séance non renseignée",IF(COUNTIFS($A$5:$A$504,$A387,$C$5:$C$504,$C387)&gt;1,"doublon séance / apnéiste",IF(OR($C387=IFERROR(INDEX('Calendrier'!$K$5:$K$5,MATCH($A387,'Calendrier'!$A$5:$A$5,0)),""),$C387=IFERROR(INDEX('Calendrier'!$O$5:$O$5,MATCH($A387,'Calendrier'!$A$5:$A$5,0)),"")),"encadrant et élève sur la même séance",IF(IFERROR(INDEX(Personnes!$H$5:$H$154,MATCH($C387,Personnes!$B$5:$B$154,0)),"")&lt;&gt;"oui","invité (hors ligne)","ok"))))))</f>
        <v/>
      </c>
    </row>
    <row r="388" spans="1:8" x14ac:dyDescent="0.2">
      <c r="A388" s="15"/>
      <c r="B388" s="15"/>
      <c r="C388" s="10" t="str">
        <f>IF($B388="","",IFERROR(IF(ISNUMBER(FIND("[",$B388)),MID($B388,FIND("[",$B388)+1,FIND("]",$B388)-FIND("[",$B388)-1),IF(ISNUMBER($B388),INDEX(Personnes!$B$5:$B$154,MATCH($B388,Personnes!$A$5:$A$154,0)),IFERROR(INDEX(Personnes!$B$5:$B$154,MATCH($B388&amp;"*",Personnes!$C$5:$C$154,0)),INDEX(Personnes!$B$5:$B$154,MATCH($B388&amp;"*",Personnes!$D$5:$D$154,0))))),""))</f>
        <v/>
      </c>
      <c r="D388" s="10" t="str">
        <f>IFERROR(INDEX(Personnes!$C$5:$C$154,MATCH($C388,Personnes!$B$5:$B$154,0))&amp;"","")</f>
        <v/>
      </c>
      <c r="E388" s="10" t="str">
        <f>IFERROR(INDEX(Personnes!$D$5:$D$154,MATCH($C388,Personnes!$B$5:$B$154,0))&amp;"","")</f>
        <v/>
      </c>
      <c r="F388" s="15"/>
      <c r="G388" s="9"/>
      <c r="H388" s="10" t="str">
        <f>IF($B388="","",IF($C388="","apnéiste non reconnu",IF($A388="","séance non renseignée",IF(COUNTIFS($A$5:$A$504,$A388,$C$5:$C$504,$C388)&gt;1,"doublon séance / apnéiste",IF(OR($C388=IFERROR(INDEX('Calendrier'!$K$5:$K$5,MATCH($A388,'Calendrier'!$A$5:$A$5,0)),""),$C388=IFERROR(INDEX('Calendrier'!$O$5:$O$5,MATCH($A388,'Calendrier'!$A$5:$A$5,0)),"")),"encadrant et élève sur la même séance",IF(IFERROR(INDEX(Personnes!$H$5:$H$154,MATCH($C388,Personnes!$B$5:$B$154,0)),"")&lt;&gt;"oui","invité (hors ligne)","ok"))))))</f>
        <v/>
      </c>
    </row>
    <row r="389" spans="1:8" x14ac:dyDescent="0.2">
      <c r="A389" s="15"/>
      <c r="B389" s="15"/>
      <c r="C389" s="10" t="str">
        <f>IF($B389="","",IFERROR(IF(ISNUMBER(FIND("[",$B389)),MID($B389,FIND("[",$B389)+1,FIND("]",$B389)-FIND("[",$B389)-1),IF(ISNUMBER($B389),INDEX(Personnes!$B$5:$B$154,MATCH($B389,Personnes!$A$5:$A$154,0)),IFERROR(INDEX(Personnes!$B$5:$B$154,MATCH($B389&amp;"*",Personnes!$C$5:$C$154,0)),INDEX(Personnes!$B$5:$B$154,MATCH($B389&amp;"*",Personnes!$D$5:$D$154,0))))),""))</f>
        <v/>
      </c>
      <c r="D389" s="10" t="str">
        <f>IFERROR(INDEX(Personnes!$C$5:$C$154,MATCH($C389,Personnes!$B$5:$B$154,0))&amp;"","")</f>
        <v/>
      </c>
      <c r="E389" s="10" t="str">
        <f>IFERROR(INDEX(Personnes!$D$5:$D$154,MATCH($C389,Personnes!$B$5:$B$154,0))&amp;"","")</f>
        <v/>
      </c>
      <c r="F389" s="15"/>
      <c r="G389" s="9"/>
      <c r="H389" s="10" t="str">
        <f>IF($B389="","",IF($C389="","apnéiste non reconnu",IF($A389="","séance non renseignée",IF(COUNTIFS($A$5:$A$504,$A389,$C$5:$C$504,$C389)&gt;1,"doublon séance / apnéiste",IF(OR($C389=IFERROR(INDEX('Calendrier'!$K$5:$K$5,MATCH($A389,'Calendrier'!$A$5:$A$5,0)),""),$C389=IFERROR(INDEX('Calendrier'!$O$5:$O$5,MATCH($A389,'Calendrier'!$A$5:$A$5,0)),"")),"encadrant et élève sur la même séance",IF(IFERROR(INDEX(Personnes!$H$5:$H$154,MATCH($C389,Personnes!$B$5:$B$154,0)),"")&lt;&gt;"oui","invité (hors ligne)","ok"))))))</f>
        <v/>
      </c>
    </row>
    <row r="390" spans="1:8" x14ac:dyDescent="0.2">
      <c r="A390" s="15"/>
      <c r="B390" s="15"/>
      <c r="C390" s="10" t="str">
        <f>IF($B390="","",IFERROR(IF(ISNUMBER(FIND("[",$B390)),MID($B390,FIND("[",$B390)+1,FIND("]",$B390)-FIND("[",$B390)-1),IF(ISNUMBER($B390),INDEX(Personnes!$B$5:$B$154,MATCH($B390,Personnes!$A$5:$A$154,0)),IFERROR(INDEX(Personnes!$B$5:$B$154,MATCH($B390&amp;"*",Personnes!$C$5:$C$154,0)),INDEX(Personnes!$B$5:$B$154,MATCH($B390&amp;"*",Personnes!$D$5:$D$154,0))))),""))</f>
        <v/>
      </c>
      <c r="D390" s="10" t="str">
        <f>IFERROR(INDEX(Personnes!$C$5:$C$154,MATCH($C390,Personnes!$B$5:$B$154,0))&amp;"","")</f>
        <v/>
      </c>
      <c r="E390" s="10" t="str">
        <f>IFERROR(INDEX(Personnes!$D$5:$D$154,MATCH($C390,Personnes!$B$5:$B$154,0))&amp;"","")</f>
        <v/>
      </c>
      <c r="F390" s="15"/>
      <c r="G390" s="9"/>
      <c r="H390" s="10" t="str">
        <f>IF($B390="","",IF($C390="","apnéiste non reconnu",IF($A390="","séance non renseignée",IF(COUNTIFS($A$5:$A$504,$A390,$C$5:$C$504,$C390)&gt;1,"doublon séance / apnéiste",IF(OR($C390=IFERROR(INDEX('Calendrier'!$K$5:$K$5,MATCH($A390,'Calendrier'!$A$5:$A$5,0)),""),$C390=IFERROR(INDEX('Calendrier'!$O$5:$O$5,MATCH($A390,'Calendrier'!$A$5:$A$5,0)),"")),"encadrant et élève sur la même séance",IF(IFERROR(INDEX(Personnes!$H$5:$H$154,MATCH($C390,Personnes!$B$5:$B$154,0)),"")&lt;&gt;"oui","invité (hors ligne)","ok"))))))</f>
        <v/>
      </c>
    </row>
    <row r="391" spans="1:8" x14ac:dyDescent="0.2">
      <c r="A391" s="15"/>
      <c r="B391" s="15"/>
      <c r="C391" s="10" t="str">
        <f>IF($B391="","",IFERROR(IF(ISNUMBER(FIND("[",$B391)),MID($B391,FIND("[",$B391)+1,FIND("]",$B391)-FIND("[",$B391)-1),IF(ISNUMBER($B391),INDEX(Personnes!$B$5:$B$154,MATCH($B391,Personnes!$A$5:$A$154,0)),IFERROR(INDEX(Personnes!$B$5:$B$154,MATCH($B391&amp;"*",Personnes!$C$5:$C$154,0)),INDEX(Personnes!$B$5:$B$154,MATCH($B391&amp;"*",Personnes!$D$5:$D$154,0))))),""))</f>
        <v/>
      </c>
      <c r="D391" s="10" t="str">
        <f>IFERROR(INDEX(Personnes!$C$5:$C$154,MATCH($C391,Personnes!$B$5:$B$154,0))&amp;"","")</f>
        <v/>
      </c>
      <c r="E391" s="10" t="str">
        <f>IFERROR(INDEX(Personnes!$D$5:$D$154,MATCH($C391,Personnes!$B$5:$B$154,0))&amp;"","")</f>
        <v/>
      </c>
      <c r="F391" s="15"/>
      <c r="G391" s="9"/>
      <c r="H391" s="10" t="str">
        <f>IF($B391="","",IF($C391="","apnéiste non reconnu",IF($A391="","séance non renseignée",IF(COUNTIFS($A$5:$A$504,$A391,$C$5:$C$504,$C391)&gt;1,"doublon séance / apnéiste",IF(OR($C391=IFERROR(INDEX('Calendrier'!$K$5:$K$5,MATCH($A391,'Calendrier'!$A$5:$A$5,0)),""),$C391=IFERROR(INDEX('Calendrier'!$O$5:$O$5,MATCH($A391,'Calendrier'!$A$5:$A$5,0)),"")),"encadrant et élève sur la même séance",IF(IFERROR(INDEX(Personnes!$H$5:$H$154,MATCH($C391,Personnes!$B$5:$B$154,0)),"")&lt;&gt;"oui","invité (hors ligne)","ok"))))))</f>
        <v/>
      </c>
    </row>
    <row r="392" spans="1:8" x14ac:dyDescent="0.2">
      <c r="A392" s="15"/>
      <c r="B392" s="15"/>
      <c r="C392" s="10" t="str">
        <f>IF($B392="","",IFERROR(IF(ISNUMBER(FIND("[",$B392)),MID($B392,FIND("[",$B392)+1,FIND("]",$B392)-FIND("[",$B392)-1),IF(ISNUMBER($B392),INDEX(Personnes!$B$5:$B$154,MATCH($B392,Personnes!$A$5:$A$154,0)),IFERROR(INDEX(Personnes!$B$5:$B$154,MATCH($B392&amp;"*",Personnes!$C$5:$C$154,0)),INDEX(Personnes!$B$5:$B$154,MATCH($B392&amp;"*",Personnes!$D$5:$D$154,0))))),""))</f>
        <v/>
      </c>
      <c r="D392" s="10" t="str">
        <f>IFERROR(INDEX(Personnes!$C$5:$C$154,MATCH($C392,Personnes!$B$5:$B$154,0))&amp;"","")</f>
        <v/>
      </c>
      <c r="E392" s="10" t="str">
        <f>IFERROR(INDEX(Personnes!$D$5:$D$154,MATCH($C392,Personnes!$B$5:$B$154,0))&amp;"","")</f>
        <v/>
      </c>
      <c r="F392" s="15"/>
      <c r="G392" s="9"/>
      <c r="H392" s="10" t="str">
        <f>IF($B392="","",IF($C392="","apnéiste non reconnu",IF($A392="","séance non renseignée",IF(COUNTIFS($A$5:$A$504,$A392,$C$5:$C$504,$C392)&gt;1,"doublon séance / apnéiste",IF(OR($C392=IFERROR(INDEX('Calendrier'!$K$5:$K$5,MATCH($A392,'Calendrier'!$A$5:$A$5,0)),""),$C392=IFERROR(INDEX('Calendrier'!$O$5:$O$5,MATCH($A392,'Calendrier'!$A$5:$A$5,0)),"")),"encadrant et élève sur la même séance",IF(IFERROR(INDEX(Personnes!$H$5:$H$154,MATCH($C392,Personnes!$B$5:$B$154,0)),"")&lt;&gt;"oui","invité (hors ligne)","ok"))))))</f>
        <v/>
      </c>
    </row>
    <row r="393" spans="1:8" x14ac:dyDescent="0.2">
      <c r="A393" s="15"/>
      <c r="B393" s="15"/>
      <c r="C393" s="10" t="str">
        <f>IF($B393="","",IFERROR(IF(ISNUMBER(FIND("[",$B393)),MID($B393,FIND("[",$B393)+1,FIND("]",$B393)-FIND("[",$B393)-1),IF(ISNUMBER($B393),INDEX(Personnes!$B$5:$B$154,MATCH($B393,Personnes!$A$5:$A$154,0)),IFERROR(INDEX(Personnes!$B$5:$B$154,MATCH($B393&amp;"*",Personnes!$C$5:$C$154,0)),INDEX(Personnes!$B$5:$B$154,MATCH($B393&amp;"*",Personnes!$D$5:$D$154,0))))),""))</f>
        <v/>
      </c>
      <c r="D393" s="10" t="str">
        <f>IFERROR(INDEX(Personnes!$C$5:$C$154,MATCH($C393,Personnes!$B$5:$B$154,0))&amp;"","")</f>
        <v/>
      </c>
      <c r="E393" s="10" t="str">
        <f>IFERROR(INDEX(Personnes!$D$5:$D$154,MATCH($C393,Personnes!$B$5:$B$154,0))&amp;"","")</f>
        <v/>
      </c>
      <c r="F393" s="15"/>
      <c r="G393" s="9"/>
      <c r="H393" s="10" t="str">
        <f>IF($B393="","",IF($C393="","apnéiste non reconnu",IF($A393="","séance non renseignée",IF(COUNTIFS($A$5:$A$504,$A393,$C$5:$C$504,$C393)&gt;1,"doublon séance / apnéiste",IF(OR($C393=IFERROR(INDEX('Calendrier'!$K$5:$K$5,MATCH($A393,'Calendrier'!$A$5:$A$5,0)),""),$C393=IFERROR(INDEX('Calendrier'!$O$5:$O$5,MATCH($A393,'Calendrier'!$A$5:$A$5,0)),"")),"encadrant et élève sur la même séance",IF(IFERROR(INDEX(Personnes!$H$5:$H$154,MATCH($C393,Personnes!$B$5:$B$154,0)),"")&lt;&gt;"oui","invité (hors ligne)","ok"))))))</f>
        <v/>
      </c>
    </row>
    <row r="394" spans="1:8" x14ac:dyDescent="0.2">
      <c r="A394" s="15"/>
      <c r="B394" s="15"/>
      <c r="C394" s="10" t="str">
        <f>IF($B394="","",IFERROR(IF(ISNUMBER(FIND("[",$B394)),MID($B394,FIND("[",$B394)+1,FIND("]",$B394)-FIND("[",$B394)-1),IF(ISNUMBER($B394),INDEX(Personnes!$B$5:$B$154,MATCH($B394,Personnes!$A$5:$A$154,0)),IFERROR(INDEX(Personnes!$B$5:$B$154,MATCH($B394&amp;"*",Personnes!$C$5:$C$154,0)),INDEX(Personnes!$B$5:$B$154,MATCH($B394&amp;"*",Personnes!$D$5:$D$154,0))))),""))</f>
        <v/>
      </c>
      <c r="D394" s="10" t="str">
        <f>IFERROR(INDEX(Personnes!$C$5:$C$154,MATCH($C394,Personnes!$B$5:$B$154,0))&amp;"","")</f>
        <v/>
      </c>
      <c r="E394" s="10" t="str">
        <f>IFERROR(INDEX(Personnes!$D$5:$D$154,MATCH($C394,Personnes!$B$5:$B$154,0))&amp;"","")</f>
        <v/>
      </c>
      <c r="F394" s="15"/>
      <c r="G394" s="9"/>
      <c r="H394" s="10" t="str">
        <f>IF($B394="","",IF($C394="","apnéiste non reconnu",IF($A394="","séance non renseignée",IF(COUNTIFS($A$5:$A$504,$A394,$C$5:$C$504,$C394)&gt;1,"doublon séance / apnéiste",IF(OR($C394=IFERROR(INDEX('Calendrier'!$K$5:$K$5,MATCH($A394,'Calendrier'!$A$5:$A$5,0)),""),$C394=IFERROR(INDEX('Calendrier'!$O$5:$O$5,MATCH($A394,'Calendrier'!$A$5:$A$5,0)),"")),"encadrant et élève sur la même séance",IF(IFERROR(INDEX(Personnes!$H$5:$H$154,MATCH($C394,Personnes!$B$5:$B$154,0)),"")&lt;&gt;"oui","invité (hors ligne)","ok"))))))</f>
        <v/>
      </c>
    </row>
    <row r="395" spans="1:8" x14ac:dyDescent="0.2">
      <c r="A395" s="15"/>
      <c r="B395" s="15"/>
      <c r="C395" s="10" t="str">
        <f>IF($B395="","",IFERROR(IF(ISNUMBER(FIND("[",$B395)),MID($B395,FIND("[",$B395)+1,FIND("]",$B395)-FIND("[",$B395)-1),IF(ISNUMBER($B395),INDEX(Personnes!$B$5:$B$154,MATCH($B395,Personnes!$A$5:$A$154,0)),IFERROR(INDEX(Personnes!$B$5:$B$154,MATCH($B395&amp;"*",Personnes!$C$5:$C$154,0)),INDEX(Personnes!$B$5:$B$154,MATCH($B395&amp;"*",Personnes!$D$5:$D$154,0))))),""))</f>
        <v/>
      </c>
      <c r="D395" s="10" t="str">
        <f>IFERROR(INDEX(Personnes!$C$5:$C$154,MATCH($C395,Personnes!$B$5:$B$154,0))&amp;"","")</f>
        <v/>
      </c>
      <c r="E395" s="10" t="str">
        <f>IFERROR(INDEX(Personnes!$D$5:$D$154,MATCH($C395,Personnes!$B$5:$B$154,0))&amp;"","")</f>
        <v/>
      </c>
      <c r="F395" s="15"/>
      <c r="G395" s="9"/>
      <c r="H395" s="10" t="str">
        <f>IF($B395="","",IF($C395="","apnéiste non reconnu",IF($A395="","séance non renseignée",IF(COUNTIFS($A$5:$A$504,$A395,$C$5:$C$504,$C395)&gt;1,"doublon séance / apnéiste",IF(OR($C395=IFERROR(INDEX('Calendrier'!$K$5:$K$5,MATCH($A395,'Calendrier'!$A$5:$A$5,0)),""),$C395=IFERROR(INDEX('Calendrier'!$O$5:$O$5,MATCH($A395,'Calendrier'!$A$5:$A$5,0)),"")),"encadrant et élève sur la même séance",IF(IFERROR(INDEX(Personnes!$H$5:$H$154,MATCH($C395,Personnes!$B$5:$B$154,0)),"")&lt;&gt;"oui","invité (hors ligne)","ok"))))))</f>
        <v/>
      </c>
    </row>
    <row r="396" spans="1:8" x14ac:dyDescent="0.2">
      <c r="A396" s="15"/>
      <c r="B396" s="15"/>
      <c r="C396" s="10" t="str">
        <f>IF($B396="","",IFERROR(IF(ISNUMBER(FIND("[",$B396)),MID($B396,FIND("[",$B396)+1,FIND("]",$B396)-FIND("[",$B396)-1),IF(ISNUMBER($B396),INDEX(Personnes!$B$5:$B$154,MATCH($B396,Personnes!$A$5:$A$154,0)),IFERROR(INDEX(Personnes!$B$5:$B$154,MATCH($B396&amp;"*",Personnes!$C$5:$C$154,0)),INDEX(Personnes!$B$5:$B$154,MATCH($B396&amp;"*",Personnes!$D$5:$D$154,0))))),""))</f>
        <v/>
      </c>
      <c r="D396" s="10" t="str">
        <f>IFERROR(INDEX(Personnes!$C$5:$C$154,MATCH($C396,Personnes!$B$5:$B$154,0))&amp;"","")</f>
        <v/>
      </c>
      <c r="E396" s="10" t="str">
        <f>IFERROR(INDEX(Personnes!$D$5:$D$154,MATCH($C396,Personnes!$B$5:$B$154,0))&amp;"","")</f>
        <v/>
      </c>
      <c r="F396" s="15"/>
      <c r="G396" s="9"/>
      <c r="H396" s="10" t="str">
        <f>IF($B396="","",IF($C396="","apnéiste non reconnu",IF($A396="","séance non renseignée",IF(COUNTIFS($A$5:$A$504,$A396,$C$5:$C$504,$C396)&gt;1,"doublon séance / apnéiste",IF(OR($C396=IFERROR(INDEX('Calendrier'!$K$5:$K$5,MATCH($A396,'Calendrier'!$A$5:$A$5,0)),""),$C396=IFERROR(INDEX('Calendrier'!$O$5:$O$5,MATCH($A396,'Calendrier'!$A$5:$A$5,0)),"")),"encadrant et élève sur la même séance",IF(IFERROR(INDEX(Personnes!$H$5:$H$154,MATCH($C396,Personnes!$B$5:$B$154,0)),"")&lt;&gt;"oui","invité (hors ligne)","ok"))))))</f>
        <v/>
      </c>
    </row>
    <row r="397" spans="1:8" x14ac:dyDescent="0.2">
      <c r="A397" s="15"/>
      <c r="B397" s="15"/>
      <c r="C397" s="10" t="str">
        <f>IF($B397="","",IFERROR(IF(ISNUMBER(FIND("[",$B397)),MID($B397,FIND("[",$B397)+1,FIND("]",$B397)-FIND("[",$B397)-1),IF(ISNUMBER($B397),INDEX(Personnes!$B$5:$B$154,MATCH($B397,Personnes!$A$5:$A$154,0)),IFERROR(INDEX(Personnes!$B$5:$B$154,MATCH($B397&amp;"*",Personnes!$C$5:$C$154,0)),INDEX(Personnes!$B$5:$B$154,MATCH($B397&amp;"*",Personnes!$D$5:$D$154,0))))),""))</f>
        <v/>
      </c>
      <c r="D397" s="10" t="str">
        <f>IFERROR(INDEX(Personnes!$C$5:$C$154,MATCH($C397,Personnes!$B$5:$B$154,0))&amp;"","")</f>
        <v/>
      </c>
      <c r="E397" s="10" t="str">
        <f>IFERROR(INDEX(Personnes!$D$5:$D$154,MATCH($C397,Personnes!$B$5:$B$154,0))&amp;"","")</f>
        <v/>
      </c>
      <c r="F397" s="15"/>
      <c r="G397" s="9"/>
      <c r="H397" s="10" t="str">
        <f>IF($B397="","",IF($C397="","apnéiste non reconnu",IF($A397="","séance non renseignée",IF(COUNTIFS($A$5:$A$504,$A397,$C$5:$C$504,$C397)&gt;1,"doublon séance / apnéiste",IF(OR($C397=IFERROR(INDEX('Calendrier'!$K$5:$K$5,MATCH($A397,'Calendrier'!$A$5:$A$5,0)),""),$C397=IFERROR(INDEX('Calendrier'!$O$5:$O$5,MATCH($A397,'Calendrier'!$A$5:$A$5,0)),"")),"encadrant et élève sur la même séance",IF(IFERROR(INDEX(Personnes!$H$5:$H$154,MATCH($C397,Personnes!$B$5:$B$154,0)),"")&lt;&gt;"oui","invité (hors ligne)","ok"))))))</f>
        <v/>
      </c>
    </row>
    <row r="398" spans="1:8" x14ac:dyDescent="0.2">
      <c r="A398" s="15"/>
      <c r="B398" s="15"/>
      <c r="C398" s="10" t="str">
        <f>IF($B398="","",IFERROR(IF(ISNUMBER(FIND("[",$B398)),MID($B398,FIND("[",$B398)+1,FIND("]",$B398)-FIND("[",$B398)-1),IF(ISNUMBER($B398),INDEX(Personnes!$B$5:$B$154,MATCH($B398,Personnes!$A$5:$A$154,0)),IFERROR(INDEX(Personnes!$B$5:$B$154,MATCH($B398&amp;"*",Personnes!$C$5:$C$154,0)),INDEX(Personnes!$B$5:$B$154,MATCH($B398&amp;"*",Personnes!$D$5:$D$154,0))))),""))</f>
        <v/>
      </c>
      <c r="D398" s="10" t="str">
        <f>IFERROR(INDEX(Personnes!$C$5:$C$154,MATCH($C398,Personnes!$B$5:$B$154,0))&amp;"","")</f>
        <v/>
      </c>
      <c r="E398" s="10" t="str">
        <f>IFERROR(INDEX(Personnes!$D$5:$D$154,MATCH($C398,Personnes!$B$5:$B$154,0))&amp;"","")</f>
        <v/>
      </c>
      <c r="F398" s="15"/>
      <c r="G398" s="9"/>
      <c r="H398" s="10" t="str">
        <f>IF($B398="","",IF($C398="","apnéiste non reconnu",IF($A398="","séance non renseignée",IF(COUNTIFS($A$5:$A$504,$A398,$C$5:$C$504,$C398)&gt;1,"doublon séance / apnéiste",IF(OR($C398=IFERROR(INDEX('Calendrier'!$K$5:$K$5,MATCH($A398,'Calendrier'!$A$5:$A$5,0)),""),$C398=IFERROR(INDEX('Calendrier'!$O$5:$O$5,MATCH($A398,'Calendrier'!$A$5:$A$5,0)),"")),"encadrant et élève sur la même séance",IF(IFERROR(INDEX(Personnes!$H$5:$H$154,MATCH($C398,Personnes!$B$5:$B$154,0)),"")&lt;&gt;"oui","invité (hors ligne)","ok"))))))</f>
        <v/>
      </c>
    </row>
    <row r="399" spans="1:8" x14ac:dyDescent="0.2">
      <c r="A399" s="15"/>
      <c r="B399" s="15"/>
      <c r="C399" s="10" t="str">
        <f>IF($B399="","",IFERROR(IF(ISNUMBER(FIND("[",$B399)),MID($B399,FIND("[",$B399)+1,FIND("]",$B399)-FIND("[",$B399)-1),IF(ISNUMBER($B399),INDEX(Personnes!$B$5:$B$154,MATCH($B399,Personnes!$A$5:$A$154,0)),IFERROR(INDEX(Personnes!$B$5:$B$154,MATCH($B399&amp;"*",Personnes!$C$5:$C$154,0)),INDEX(Personnes!$B$5:$B$154,MATCH($B399&amp;"*",Personnes!$D$5:$D$154,0))))),""))</f>
        <v/>
      </c>
      <c r="D399" s="10" t="str">
        <f>IFERROR(INDEX(Personnes!$C$5:$C$154,MATCH($C399,Personnes!$B$5:$B$154,0))&amp;"","")</f>
        <v/>
      </c>
      <c r="E399" s="10" t="str">
        <f>IFERROR(INDEX(Personnes!$D$5:$D$154,MATCH($C399,Personnes!$B$5:$B$154,0))&amp;"","")</f>
        <v/>
      </c>
      <c r="F399" s="15"/>
      <c r="G399" s="9"/>
      <c r="H399" s="10" t="str">
        <f>IF($B399="","",IF($C399="","apnéiste non reconnu",IF($A399="","séance non renseignée",IF(COUNTIFS($A$5:$A$504,$A399,$C$5:$C$504,$C399)&gt;1,"doublon séance / apnéiste",IF(OR($C399=IFERROR(INDEX('Calendrier'!$K$5:$K$5,MATCH($A399,'Calendrier'!$A$5:$A$5,0)),""),$C399=IFERROR(INDEX('Calendrier'!$O$5:$O$5,MATCH($A399,'Calendrier'!$A$5:$A$5,0)),"")),"encadrant et élève sur la même séance",IF(IFERROR(INDEX(Personnes!$H$5:$H$154,MATCH($C399,Personnes!$B$5:$B$154,0)),"")&lt;&gt;"oui","invité (hors ligne)","ok"))))))</f>
        <v/>
      </c>
    </row>
    <row r="400" spans="1:8" x14ac:dyDescent="0.2">
      <c r="A400" s="15"/>
      <c r="B400" s="15"/>
      <c r="C400" s="10" t="str">
        <f>IF($B400="","",IFERROR(IF(ISNUMBER(FIND("[",$B400)),MID($B400,FIND("[",$B400)+1,FIND("]",$B400)-FIND("[",$B400)-1),IF(ISNUMBER($B400),INDEX(Personnes!$B$5:$B$154,MATCH($B400,Personnes!$A$5:$A$154,0)),IFERROR(INDEX(Personnes!$B$5:$B$154,MATCH($B400&amp;"*",Personnes!$C$5:$C$154,0)),INDEX(Personnes!$B$5:$B$154,MATCH($B400&amp;"*",Personnes!$D$5:$D$154,0))))),""))</f>
        <v/>
      </c>
      <c r="D400" s="10" t="str">
        <f>IFERROR(INDEX(Personnes!$C$5:$C$154,MATCH($C400,Personnes!$B$5:$B$154,0))&amp;"","")</f>
        <v/>
      </c>
      <c r="E400" s="10" t="str">
        <f>IFERROR(INDEX(Personnes!$D$5:$D$154,MATCH($C400,Personnes!$B$5:$B$154,0))&amp;"","")</f>
        <v/>
      </c>
      <c r="F400" s="15"/>
      <c r="G400" s="9"/>
      <c r="H400" s="10" t="str">
        <f>IF($B400="","",IF($C400="","apnéiste non reconnu",IF($A400="","séance non renseignée",IF(COUNTIFS($A$5:$A$504,$A400,$C$5:$C$504,$C400)&gt;1,"doublon séance / apnéiste",IF(OR($C400=IFERROR(INDEX('Calendrier'!$K$5:$K$5,MATCH($A400,'Calendrier'!$A$5:$A$5,0)),""),$C400=IFERROR(INDEX('Calendrier'!$O$5:$O$5,MATCH($A400,'Calendrier'!$A$5:$A$5,0)),"")),"encadrant et élève sur la même séance",IF(IFERROR(INDEX(Personnes!$H$5:$H$154,MATCH($C400,Personnes!$B$5:$B$154,0)),"")&lt;&gt;"oui","invité (hors ligne)","ok"))))))</f>
        <v/>
      </c>
    </row>
    <row r="401" spans="1:8" x14ac:dyDescent="0.2">
      <c r="A401" s="15"/>
      <c r="B401" s="15"/>
      <c r="C401" s="10" t="str">
        <f>IF($B401="","",IFERROR(IF(ISNUMBER(FIND("[",$B401)),MID($B401,FIND("[",$B401)+1,FIND("]",$B401)-FIND("[",$B401)-1),IF(ISNUMBER($B401),INDEX(Personnes!$B$5:$B$154,MATCH($B401,Personnes!$A$5:$A$154,0)),IFERROR(INDEX(Personnes!$B$5:$B$154,MATCH($B401&amp;"*",Personnes!$C$5:$C$154,0)),INDEX(Personnes!$B$5:$B$154,MATCH($B401&amp;"*",Personnes!$D$5:$D$154,0))))),""))</f>
        <v/>
      </c>
      <c r="D401" s="10" t="str">
        <f>IFERROR(INDEX(Personnes!$C$5:$C$154,MATCH($C401,Personnes!$B$5:$B$154,0))&amp;"","")</f>
        <v/>
      </c>
      <c r="E401" s="10" t="str">
        <f>IFERROR(INDEX(Personnes!$D$5:$D$154,MATCH($C401,Personnes!$B$5:$B$154,0))&amp;"","")</f>
        <v/>
      </c>
      <c r="F401" s="15"/>
      <c r="G401" s="9"/>
      <c r="H401" s="10" t="str">
        <f>IF($B401="","",IF($C401="","apnéiste non reconnu",IF($A401="","séance non renseignée",IF(COUNTIFS($A$5:$A$504,$A401,$C$5:$C$504,$C401)&gt;1,"doublon séance / apnéiste",IF(OR($C401=IFERROR(INDEX('Calendrier'!$K$5:$K$5,MATCH($A401,'Calendrier'!$A$5:$A$5,0)),""),$C401=IFERROR(INDEX('Calendrier'!$O$5:$O$5,MATCH($A401,'Calendrier'!$A$5:$A$5,0)),"")),"encadrant et élève sur la même séance",IF(IFERROR(INDEX(Personnes!$H$5:$H$154,MATCH($C401,Personnes!$B$5:$B$154,0)),"")&lt;&gt;"oui","invité (hors ligne)","ok"))))))</f>
        <v/>
      </c>
    </row>
    <row r="402" spans="1:8" x14ac:dyDescent="0.2">
      <c r="A402" s="15"/>
      <c r="B402" s="15"/>
      <c r="C402" s="10" t="str">
        <f>IF($B402="","",IFERROR(IF(ISNUMBER(FIND("[",$B402)),MID($B402,FIND("[",$B402)+1,FIND("]",$B402)-FIND("[",$B402)-1),IF(ISNUMBER($B402),INDEX(Personnes!$B$5:$B$154,MATCH($B402,Personnes!$A$5:$A$154,0)),IFERROR(INDEX(Personnes!$B$5:$B$154,MATCH($B402&amp;"*",Personnes!$C$5:$C$154,0)),INDEX(Personnes!$B$5:$B$154,MATCH($B402&amp;"*",Personnes!$D$5:$D$154,0))))),""))</f>
        <v/>
      </c>
      <c r="D402" s="10" t="str">
        <f>IFERROR(INDEX(Personnes!$C$5:$C$154,MATCH($C402,Personnes!$B$5:$B$154,0))&amp;"","")</f>
        <v/>
      </c>
      <c r="E402" s="10" t="str">
        <f>IFERROR(INDEX(Personnes!$D$5:$D$154,MATCH($C402,Personnes!$B$5:$B$154,0))&amp;"","")</f>
        <v/>
      </c>
      <c r="F402" s="15"/>
      <c r="G402" s="9"/>
      <c r="H402" s="10" t="str">
        <f>IF($B402="","",IF($C402="","apnéiste non reconnu",IF($A402="","séance non renseignée",IF(COUNTIFS($A$5:$A$504,$A402,$C$5:$C$504,$C402)&gt;1,"doublon séance / apnéiste",IF(OR($C402=IFERROR(INDEX('Calendrier'!$K$5:$K$5,MATCH($A402,'Calendrier'!$A$5:$A$5,0)),""),$C402=IFERROR(INDEX('Calendrier'!$O$5:$O$5,MATCH($A402,'Calendrier'!$A$5:$A$5,0)),"")),"encadrant et élève sur la même séance",IF(IFERROR(INDEX(Personnes!$H$5:$H$154,MATCH($C402,Personnes!$B$5:$B$154,0)),"")&lt;&gt;"oui","invité (hors ligne)","ok"))))))</f>
        <v/>
      </c>
    </row>
    <row r="403" spans="1:8" x14ac:dyDescent="0.2">
      <c r="A403" s="15"/>
      <c r="B403" s="15"/>
      <c r="C403" s="10" t="str">
        <f>IF($B403="","",IFERROR(IF(ISNUMBER(FIND("[",$B403)),MID($B403,FIND("[",$B403)+1,FIND("]",$B403)-FIND("[",$B403)-1),IF(ISNUMBER($B403),INDEX(Personnes!$B$5:$B$154,MATCH($B403,Personnes!$A$5:$A$154,0)),IFERROR(INDEX(Personnes!$B$5:$B$154,MATCH($B403&amp;"*",Personnes!$C$5:$C$154,0)),INDEX(Personnes!$B$5:$B$154,MATCH($B403&amp;"*",Personnes!$D$5:$D$154,0))))),""))</f>
        <v/>
      </c>
      <c r="D403" s="10" t="str">
        <f>IFERROR(INDEX(Personnes!$C$5:$C$154,MATCH($C403,Personnes!$B$5:$B$154,0))&amp;"","")</f>
        <v/>
      </c>
      <c r="E403" s="10" t="str">
        <f>IFERROR(INDEX(Personnes!$D$5:$D$154,MATCH($C403,Personnes!$B$5:$B$154,0))&amp;"","")</f>
        <v/>
      </c>
      <c r="F403" s="15"/>
      <c r="G403" s="9"/>
      <c r="H403" s="10" t="str">
        <f>IF($B403="","",IF($C403="","apnéiste non reconnu",IF($A403="","séance non renseignée",IF(COUNTIFS($A$5:$A$504,$A403,$C$5:$C$504,$C403)&gt;1,"doublon séance / apnéiste",IF(OR($C403=IFERROR(INDEX('Calendrier'!$K$5:$K$5,MATCH($A403,'Calendrier'!$A$5:$A$5,0)),""),$C403=IFERROR(INDEX('Calendrier'!$O$5:$O$5,MATCH($A403,'Calendrier'!$A$5:$A$5,0)),"")),"encadrant et élève sur la même séance",IF(IFERROR(INDEX(Personnes!$H$5:$H$154,MATCH($C403,Personnes!$B$5:$B$154,0)),"")&lt;&gt;"oui","invité (hors ligne)","ok"))))))</f>
        <v/>
      </c>
    </row>
    <row r="404" spans="1:8" x14ac:dyDescent="0.2">
      <c r="A404" s="15"/>
      <c r="B404" s="15"/>
      <c r="C404" s="10" t="str">
        <f>IF($B404="","",IFERROR(IF(ISNUMBER(FIND("[",$B404)),MID($B404,FIND("[",$B404)+1,FIND("]",$B404)-FIND("[",$B404)-1),IF(ISNUMBER($B404),INDEX(Personnes!$B$5:$B$154,MATCH($B404,Personnes!$A$5:$A$154,0)),IFERROR(INDEX(Personnes!$B$5:$B$154,MATCH($B404&amp;"*",Personnes!$C$5:$C$154,0)),INDEX(Personnes!$B$5:$B$154,MATCH($B404&amp;"*",Personnes!$D$5:$D$154,0))))),""))</f>
        <v/>
      </c>
      <c r="D404" s="10" t="str">
        <f>IFERROR(INDEX(Personnes!$C$5:$C$154,MATCH($C404,Personnes!$B$5:$B$154,0))&amp;"","")</f>
        <v/>
      </c>
      <c r="E404" s="10" t="str">
        <f>IFERROR(INDEX(Personnes!$D$5:$D$154,MATCH($C404,Personnes!$B$5:$B$154,0))&amp;"","")</f>
        <v/>
      </c>
      <c r="F404" s="15"/>
      <c r="G404" s="9"/>
      <c r="H404" s="10" t="str">
        <f>IF($B404="","",IF($C404="","apnéiste non reconnu",IF($A404="","séance non renseignée",IF(COUNTIFS($A$5:$A$504,$A404,$C$5:$C$504,$C404)&gt;1,"doublon séance / apnéiste",IF(OR($C404=IFERROR(INDEX('Calendrier'!$K$5:$K$5,MATCH($A404,'Calendrier'!$A$5:$A$5,0)),""),$C404=IFERROR(INDEX('Calendrier'!$O$5:$O$5,MATCH($A404,'Calendrier'!$A$5:$A$5,0)),"")),"encadrant et élève sur la même séance",IF(IFERROR(INDEX(Personnes!$H$5:$H$154,MATCH($C404,Personnes!$B$5:$B$154,0)),"")&lt;&gt;"oui","invité (hors ligne)","ok"))))))</f>
        <v/>
      </c>
    </row>
    <row r="405" spans="1:8" x14ac:dyDescent="0.2">
      <c r="A405" s="15"/>
      <c r="B405" s="15"/>
      <c r="C405" s="10" t="str">
        <f>IF($B405="","",IFERROR(IF(ISNUMBER(FIND("[",$B405)),MID($B405,FIND("[",$B405)+1,FIND("]",$B405)-FIND("[",$B405)-1),IF(ISNUMBER($B405),INDEX(Personnes!$B$5:$B$154,MATCH($B405,Personnes!$A$5:$A$154,0)),IFERROR(INDEX(Personnes!$B$5:$B$154,MATCH($B405&amp;"*",Personnes!$C$5:$C$154,0)),INDEX(Personnes!$B$5:$B$154,MATCH($B405&amp;"*",Personnes!$D$5:$D$154,0))))),""))</f>
        <v/>
      </c>
      <c r="D405" s="10" t="str">
        <f>IFERROR(INDEX(Personnes!$C$5:$C$154,MATCH($C405,Personnes!$B$5:$B$154,0))&amp;"","")</f>
        <v/>
      </c>
      <c r="E405" s="10" t="str">
        <f>IFERROR(INDEX(Personnes!$D$5:$D$154,MATCH($C405,Personnes!$B$5:$B$154,0))&amp;"","")</f>
        <v/>
      </c>
      <c r="F405" s="15"/>
      <c r="G405" s="9"/>
      <c r="H405" s="10" t="str">
        <f>IF($B405="","",IF($C405="","apnéiste non reconnu",IF($A405="","séance non renseignée",IF(COUNTIFS($A$5:$A$504,$A405,$C$5:$C$504,$C405)&gt;1,"doublon séance / apnéiste",IF(OR($C405=IFERROR(INDEX('Calendrier'!$K$5:$K$5,MATCH($A405,'Calendrier'!$A$5:$A$5,0)),""),$C405=IFERROR(INDEX('Calendrier'!$O$5:$O$5,MATCH($A405,'Calendrier'!$A$5:$A$5,0)),"")),"encadrant et élève sur la même séance",IF(IFERROR(INDEX(Personnes!$H$5:$H$154,MATCH($C405,Personnes!$B$5:$B$154,0)),"")&lt;&gt;"oui","invité (hors ligne)","ok"))))))</f>
        <v/>
      </c>
    </row>
    <row r="406" spans="1:8" x14ac:dyDescent="0.2">
      <c r="A406" s="15"/>
      <c r="B406" s="15"/>
      <c r="C406" s="10" t="str">
        <f>IF($B406="","",IFERROR(IF(ISNUMBER(FIND("[",$B406)),MID($B406,FIND("[",$B406)+1,FIND("]",$B406)-FIND("[",$B406)-1),IF(ISNUMBER($B406),INDEX(Personnes!$B$5:$B$154,MATCH($B406,Personnes!$A$5:$A$154,0)),IFERROR(INDEX(Personnes!$B$5:$B$154,MATCH($B406&amp;"*",Personnes!$C$5:$C$154,0)),INDEX(Personnes!$B$5:$B$154,MATCH($B406&amp;"*",Personnes!$D$5:$D$154,0))))),""))</f>
        <v/>
      </c>
      <c r="D406" s="10" t="str">
        <f>IFERROR(INDEX(Personnes!$C$5:$C$154,MATCH($C406,Personnes!$B$5:$B$154,0))&amp;"","")</f>
        <v/>
      </c>
      <c r="E406" s="10" t="str">
        <f>IFERROR(INDEX(Personnes!$D$5:$D$154,MATCH($C406,Personnes!$B$5:$B$154,0))&amp;"","")</f>
        <v/>
      </c>
      <c r="F406" s="15"/>
      <c r="G406" s="9"/>
      <c r="H406" s="10" t="str">
        <f>IF($B406="","",IF($C406="","apnéiste non reconnu",IF($A406="","séance non renseignée",IF(COUNTIFS($A$5:$A$504,$A406,$C$5:$C$504,$C406)&gt;1,"doublon séance / apnéiste",IF(OR($C406=IFERROR(INDEX('Calendrier'!$K$5:$K$5,MATCH($A406,'Calendrier'!$A$5:$A$5,0)),""),$C406=IFERROR(INDEX('Calendrier'!$O$5:$O$5,MATCH($A406,'Calendrier'!$A$5:$A$5,0)),"")),"encadrant et élève sur la même séance",IF(IFERROR(INDEX(Personnes!$H$5:$H$154,MATCH($C406,Personnes!$B$5:$B$154,0)),"")&lt;&gt;"oui","invité (hors ligne)","ok"))))))</f>
        <v/>
      </c>
    </row>
    <row r="407" spans="1:8" x14ac:dyDescent="0.2">
      <c r="A407" s="15"/>
      <c r="B407" s="15"/>
      <c r="C407" s="10" t="str">
        <f>IF($B407="","",IFERROR(IF(ISNUMBER(FIND("[",$B407)),MID($B407,FIND("[",$B407)+1,FIND("]",$B407)-FIND("[",$B407)-1),IF(ISNUMBER($B407),INDEX(Personnes!$B$5:$B$154,MATCH($B407,Personnes!$A$5:$A$154,0)),IFERROR(INDEX(Personnes!$B$5:$B$154,MATCH($B407&amp;"*",Personnes!$C$5:$C$154,0)),INDEX(Personnes!$B$5:$B$154,MATCH($B407&amp;"*",Personnes!$D$5:$D$154,0))))),""))</f>
        <v/>
      </c>
      <c r="D407" s="10" t="str">
        <f>IFERROR(INDEX(Personnes!$C$5:$C$154,MATCH($C407,Personnes!$B$5:$B$154,0))&amp;"","")</f>
        <v/>
      </c>
      <c r="E407" s="10" t="str">
        <f>IFERROR(INDEX(Personnes!$D$5:$D$154,MATCH($C407,Personnes!$B$5:$B$154,0))&amp;"","")</f>
        <v/>
      </c>
      <c r="F407" s="15"/>
      <c r="G407" s="9"/>
      <c r="H407" s="10" t="str">
        <f>IF($B407="","",IF($C407="","apnéiste non reconnu",IF($A407="","séance non renseignée",IF(COUNTIFS($A$5:$A$504,$A407,$C$5:$C$504,$C407)&gt;1,"doublon séance / apnéiste",IF(OR($C407=IFERROR(INDEX('Calendrier'!$K$5:$K$5,MATCH($A407,'Calendrier'!$A$5:$A$5,0)),""),$C407=IFERROR(INDEX('Calendrier'!$O$5:$O$5,MATCH($A407,'Calendrier'!$A$5:$A$5,0)),"")),"encadrant et élève sur la même séance",IF(IFERROR(INDEX(Personnes!$H$5:$H$154,MATCH($C407,Personnes!$B$5:$B$154,0)),"")&lt;&gt;"oui","invité (hors ligne)","ok"))))))</f>
        <v/>
      </c>
    </row>
    <row r="408" spans="1:8" x14ac:dyDescent="0.2">
      <c r="A408" s="15"/>
      <c r="B408" s="15"/>
      <c r="C408" s="10" t="str">
        <f>IF($B408="","",IFERROR(IF(ISNUMBER(FIND("[",$B408)),MID($B408,FIND("[",$B408)+1,FIND("]",$B408)-FIND("[",$B408)-1),IF(ISNUMBER($B408),INDEX(Personnes!$B$5:$B$154,MATCH($B408,Personnes!$A$5:$A$154,0)),IFERROR(INDEX(Personnes!$B$5:$B$154,MATCH($B408&amp;"*",Personnes!$C$5:$C$154,0)),INDEX(Personnes!$B$5:$B$154,MATCH($B408&amp;"*",Personnes!$D$5:$D$154,0))))),""))</f>
        <v/>
      </c>
      <c r="D408" s="10" t="str">
        <f>IFERROR(INDEX(Personnes!$C$5:$C$154,MATCH($C408,Personnes!$B$5:$B$154,0))&amp;"","")</f>
        <v/>
      </c>
      <c r="E408" s="10" t="str">
        <f>IFERROR(INDEX(Personnes!$D$5:$D$154,MATCH($C408,Personnes!$B$5:$B$154,0))&amp;"","")</f>
        <v/>
      </c>
      <c r="F408" s="15"/>
      <c r="G408" s="9"/>
      <c r="H408" s="10" t="str">
        <f>IF($B408="","",IF($C408="","apnéiste non reconnu",IF($A408="","séance non renseignée",IF(COUNTIFS($A$5:$A$504,$A408,$C$5:$C$504,$C408)&gt;1,"doublon séance / apnéiste",IF(OR($C408=IFERROR(INDEX('Calendrier'!$K$5:$K$5,MATCH($A408,'Calendrier'!$A$5:$A$5,0)),""),$C408=IFERROR(INDEX('Calendrier'!$O$5:$O$5,MATCH($A408,'Calendrier'!$A$5:$A$5,0)),"")),"encadrant et élève sur la même séance",IF(IFERROR(INDEX(Personnes!$H$5:$H$154,MATCH($C408,Personnes!$B$5:$B$154,0)),"")&lt;&gt;"oui","invité (hors ligne)","ok"))))))</f>
        <v/>
      </c>
    </row>
    <row r="409" spans="1:8" x14ac:dyDescent="0.2">
      <c r="A409" s="15"/>
      <c r="B409" s="15"/>
      <c r="C409" s="10" t="str">
        <f>IF($B409="","",IFERROR(IF(ISNUMBER(FIND("[",$B409)),MID($B409,FIND("[",$B409)+1,FIND("]",$B409)-FIND("[",$B409)-1),IF(ISNUMBER($B409),INDEX(Personnes!$B$5:$B$154,MATCH($B409,Personnes!$A$5:$A$154,0)),IFERROR(INDEX(Personnes!$B$5:$B$154,MATCH($B409&amp;"*",Personnes!$C$5:$C$154,0)),INDEX(Personnes!$B$5:$B$154,MATCH($B409&amp;"*",Personnes!$D$5:$D$154,0))))),""))</f>
        <v/>
      </c>
      <c r="D409" s="10" t="str">
        <f>IFERROR(INDEX(Personnes!$C$5:$C$154,MATCH($C409,Personnes!$B$5:$B$154,0))&amp;"","")</f>
        <v/>
      </c>
      <c r="E409" s="10" t="str">
        <f>IFERROR(INDEX(Personnes!$D$5:$D$154,MATCH($C409,Personnes!$B$5:$B$154,0))&amp;"","")</f>
        <v/>
      </c>
      <c r="F409" s="15"/>
      <c r="G409" s="9"/>
      <c r="H409" s="10" t="str">
        <f>IF($B409="","",IF($C409="","apnéiste non reconnu",IF($A409="","séance non renseignée",IF(COUNTIFS($A$5:$A$504,$A409,$C$5:$C$504,$C409)&gt;1,"doublon séance / apnéiste",IF(OR($C409=IFERROR(INDEX('Calendrier'!$K$5:$K$5,MATCH($A409,'Calendrier'!$A$5:$A$5,0)),""),$C409=IFERROR(INDEX('Calendrier'!$O$5:$O$5,MATCH($A409,'Calendrier'!$A$5:$A$5,0)),"")),"encadrant et élève sur la même séance",IF(IFERROR(INDEX(Personnes!$H$5:$H$154,MATCH($C409,Personnes!$B$5:$B$154,0)),"")&lt;&gt;"oui","invité (hors ligne)","ok"))))))</f>
        <v/>
      </c>
    </row>
    <row r="410" spans="1:8" x14ac:dyDescent="0.2">
      <c r="A410" s="15"/>
      <c r="B410" s="15"/>
      <c r="C410" s="10" t="str">
        <f>IF($B410="","",IFERROR(IF(ISNUMBER(FIND("[",$B410)),MID($B410,FIND("[",$B410)+1,FIND("]",$B410)-FIND("[",$B410)-1),IF(ISNUMBER($B410),INDEX(Personnes!$B$5:$B$154,MATCH($B410,Personnes!$A$5:$A$154,0)),IFERROR(INDEX(Personnes!$B$5:$B$154,MATCH($B410&amp;"*",Personnes!$C$5:$C$154,0)),INDEX(Personnes!$B$5:$B$154,MATCH($B410&amp;"*",Personnes!$D$5:$D$154,0))))),""))</f>
        <v/>
      </c>
      <c r="D410" s="10" t="str">
        <f>IFERROR(INDEX(Personnes!$C$5:$C$154,MATCH($C410,Personnes!$B$5:$B$154,0))&amp;"","")</f>
        <v/>
      </c>
      <c r="E410" s="10" t="str">
        <f>IFERROR(INDEX(Personnes!$D$5:$D$154,MATCH($C410,Personnes!$B$5:$B$154,0))&amp;"","")</f>
        <v/>
      </c>
      <c r="F410" s="15"/>
      <c r="G410" s="9"/>
      <c r="H410" s="10" t="str">
        <f>IF($B410="","",IF($C410="","apnéiste non reconnu",IF($A410="","séance non renseignée",IF(COUNTIFS($A$5:$A$504,$A410,$C$5:$C$504,$C410)&gt;1,"doublon séance / apnéiste",IF(OR($C410=IFERROR(INDEX('Calendrier'!$K$5:$K$5,MATCH($A410,'Calendrier'!$A$5:$A$5,0)),""),$C410=IFERROR(INDEX('Calendrier'!$O$5:$O$5,MATCH($A410,'Calendrier'!$A$5:$A$5,0)),"")),"encadrant et élève sur la même séance",IF(IFERROR(INDEX(Personnes!$H$5:$H$154,MATCH($C410,Personnes!$B$5:$B$154,0)),"")&lt;&gt;"oui","invité (hors ligne)","ok"))))))</f>
        <v/>
      </c>
    </row>
    <row r="411" spans="1:8" x14ac:dyDescent="0.2">
      <c r="A411" s="15"/>
      <c r="B411" s="15"/>
      <c r="C411" s="10" t="str">
        <f>IF($B411="","",IFERROR(IF(ISNUMBER(FIND("[",$B411)),MID($B411,FIND("[",$B411)+1,FIND("]",$B411)-FIND("[",$B411)-1),IF(ISNUMBER($B411),INDEX(Personnes!$B$5:$B$154,MATCH($B411,Personnes!$A$5:$A$154,0)),IFERROR(INDEX(Personnes!$B$5:$B$154,MATCH($B411&amp;"*",Personnes!$C$5:$C$154,0)),INDEX(Personnes!$B$5:$B$154,MATCH($B411&amp;"*",Personnes!$D$5:$D$154,0))))),""))</f>
        <v/>
      </c>
      <c r="D411" s="10" t="str">
        <f>IFERROR(INDEX(Personnes!$C$5:$C$154,MATCH($C411,Personnes!$B$5:$B$154,0))&amp;"","")</f>
        <v/>
      </c>
      <c r="E411" s="10" t="str">
        <f>IFERROR(INDEX(Personnes!$D$5:$D$154,MATCH($C411,Personnes!$B$5:$B$154,0))&amp;"","")</f>
        <v/>
      </c>
      <c r="F411" s="15"/>
      <c r="G411" s="9"/>
      <c r="H411" s="10" t="str">
        <f>IF($B411="","",IF($C411="","apnéiste non reconnu",IF($A411="","séance non renseignée",IF(COUNTIFS($A$5:$A$504,$A411,$C$5:$C$504,$C411)&gt;1,"doublon séance / apnéiste",IF(OR($C411=IFERROR(INDEX('Calendrier'!$K$5:$K$5,MATCH($A411,'Calendrier'!$A$5:$A$5,0)),""),$C411=IFERROR(INDEX('Calendrier'!$O$5:$O$5,MATCH($A411,'Calendrier'!$A$5:$A$5,0)),"")),"encadrant et élève sur la même séance",IF(IFERROR(INDEX(Personnes!$H$5:$H$154,MATCH($C411,Personnes!$B$5:$B$154,0)),"")&lt;&gt;"oui","invité (hors ligne)","ok"))))))</f>
        <v/>
      </c>
    </row>
    <row r="412" spans="1:8" x14ac:dyDescent="0.2">
      <c r="A412" s="15"/>
      <c r="B412" s="15"/>
      <c r="C412" s="10" t="str">
        <f>IF($B412="","",IFERROR(IF(ISNUMBER(FIND("[",$B412)),MID($B412,FIND("[",$B412)+1,FIND("]",$B412)-FIND("[",$B412)-1),IF(ISNUMBER($B412),INDEX(Personnes!$B$5:$B$154,MATCH($B412,Personnes!$A$5:$A$154,0)),IFERROR(INDEX(Personnes!$B$5:$B$154,MATCH($B412&amp;"*",Personnes!$C$5:$C$154,0)),INDEX(Personnes!$B$5:$B$154,MATCH($B412&amp;"*",Personnes!$D$5:$D$154,0))))),""))</f>
        <v/>
      </c>
      <c r="D412" s="10" t="str">
        <f>IFERROR(INDEX(Personnes!$C$5:$C$154,MATCH($C412,Personnes!$B$5:$B$154,0))&amp;"","")</f>
        <v/>
      </c>
      <c r="E412" s="10" t="str">
        <f>IFERROR(INDEX(Personnes!$D$5:$D$154,MATCH($C412,Personnes!$B$5:$B$154,0))&amp;"","")</f>
        <v/>
      </c>
      <c r="F412" s="15"/>
      <c r="G412" s="9"/>
      <c r="H412" s="10" t="str">
        <f>IF($B412="","",IF($C412="","apnéiste non reconnu",IF($A412="","séance non renseignée",IF(COUNTIFS($A$5:$A$504,$A412,$C$5:$C$504,$C412)&gt;1,"doublon séance / apnéiste",IF(OR($C412=IFERROR(INDEX('Calendrier'!$K$5:$K$5,MATCH($A412,'Calendrier'!$A$5:$A$5,0)),""),$C412=IFERROR(INDEX('Calendrier'!$O$5:$O$5,MATCH($A412,'Calendrier'!$A$5:$A$5,0)),"")),"encadrant et élève sur la même séance",IF(IFERROR(INDEX(Personnes!$H$5:$H$154,MATCH($C412,Personnes!$B$5:$B$154,0)),"")&lt;&gt;"oui","invité (hors ligne)","ok"))))))</f>
        <v/>
      </c>
    </row>
    <row r="413" spans="1:8" x14ac:dyDescent="0.2">
      <c r="A413" s="15"/>
      <c r="B413" s="15"/>
      <c r="C413" s="10" t="str">
        <f>IF($B413="","",IFERROR(IF(ISNUMBER(FIND("[",$B413)),MID($B413,FIND("[",$B413)+1,FIND("]",$B413)-FIND("[",$B413)-1),IF(ISNUMBER($B413),INDEX(Personnes!$B$5:$B$154,MATCH($B413,Personnes!$A$5:$A$154,0)),IFERROR(INDEX(Personnes!$B$5:$B$154,MATCH($B413&amp;"*",Personnes!$C$5:$C$154,0)),INDEX(Personnes!$B$5:$B$154,MATCH($B413&amp;"*",Personnes!$D$5:$D$154,0))))),""))</f>
        <v/>
      </c>
      <c r="D413" s="10" t="str">
        <f>IFERROR(INDEX(Personnes!$C$5:$C$154,MATCH($C413,Personnes!$B$5:$B$154,0))&amp;"","")</f>
        <v/>
      </c>
      <c r="E413" s="10" t="str">
        <f>IFERROR(INDEX(Personnes!$D$5:$D$154,MATCH($C413,Personnes!$B$5:$B$154,0))&amp;"","")</f>
        <v/>
      </c>
      <c r="F413" s="15"/>
      <c r="G413" s="9"/>
      <c r="H413" s="10" t="str">
        <f>IF($B413="","",IF($C413="","apnéiste non reconnu",IF($A413="","séance non renseignée",IF(COUNTIFS($A$5:$A$504,$A413,$C$5:$C$504,$C413)&gt;1,"doublon séance / apnéiste",IF(OR($C413=IFERROR(INDEX('Calendrier'!$K$5:$K$5,MATCH($A413,'Calendrier'!$A$5:$A$5,0)),""),$C413=IFERROR(INDEX('Calendrier'!$O$5:$O$5,MATCH($A413,'Calendrier'!$A$5:$A$5,0)),"")),"encadrant et élève sur la même séance",IF(IFERROR(INDEX(Personnes!$H$5:$H$154,MATCH($C413,Personnes!$B$5:$B$154,0)),"")&lt;&gt;"oui","invité (hors ligne)","ok"))))))</f>
        <v/>
      </c>
    </row>
    <row r="414" spans="1:8" x14ac:dyDescent="0.2">
      <c r="A414" s="15"/>
      <c r="B414" s="15"/>
      <c r="C414" s="10" t="str">
        <f>IF($B414="","",IFERROR(IF(ISNUMBER(FIND("[",$B414)),MID($B414,FIND("[",$B414)+1,FIND("]",$B414)-FIND("[",$B414)-1),IF(ISNUMBER($B414),INDEX(Personnes!$B$5:$B$154,MATCH($B414,Personnes!$A$5:$A$154,0)),IFERROR(INDEX(Personnes!$B$5:$B$154,MATCH($B414&amp;"*",Personnes!$C$5:$C$154,0)),INDEX(Personnes!$B$5:$B$154,MATCH($B414&amp;"*",Personnes!$D$5:$D$154,0))))),""))</f>
        <v/>
      </c>
      <c r="D414" s="10" t="str">
        <f>IFERROR(INDEX(Personnes!$C$5:$C$154,MATCH($C414,Personnes!$B$5:$B$154,0))&amp;"","")</f>
        <v/>
      </c>
      <c r="E414" s="10" t="str">
        <f>IFERROR(INDEX(Personnes!$D$5:$D$154,MATCH($C414,Personnes!$B$5:$B$154,0))&amp;"","")</f>
        <v/>
      </c>
      <c r="F414" s="15"/>
      <c r="G414" s="9"/>
      <c r="H414" s="10" t="str">
        <f>IF($B414="","",IF($C414="","apnéiste non reconnu",IF($A414="","séance non renseignée",IF(COUNTIFS($A$5:$A$504,$A414,$C$5:$C$504,$C414)&gt;1,"doublon séance / apnéiste",IF(OR($C414=IFERROR(INDEX('Calendrier'!$K$5:$K$5,MATCH($A414,'Calendrier'!$A$5:$A$5,0)),""),$C414=IFERROR(INDEX('Calendrier'!$O$5:$O$5,MATCH($A414,'Calendrier'!$A$5:$A$5,0)),"")),"encadrant et élève sur la même séance",IF(IFERROR(INDEX(Personnes!$H$5:$H$154,MATCH($C414,Personnes!$B$5:$B$154,0)),"")&lt;&gt;"oui","invité (hors ligne)","ok"))))))</f>
        <v/>
      </c>
    </row>
    <row r="415" spans="1:8" x14ac:dyDescent="0.2">
      <c r="A415" s="15"/>
      <c r="B415" s="15"/>
      <c r="C415" s="10" t="str">
        <f>IF($B415="","",IFERROR(IF(ISNUMBER(FIND("[",$B415)),MID($B415,FIND("[",$B415)+1,FIND("]",$B415)-FIND("[",$B415)-1),IF(ISNUMBER($B415),INDEX(Personnes!$B$5:$B$154,MATCH($B415,Personnes!$A$5:$A$154,0)),IFERROR(INDEX(Personnes!$B$5:$B$154,MATCH($B415&amp;"*",Personnes!$C$5:$C$154,0)),INDEX(Personnes!$B$5:$B$154,MATCH($B415&amp;"*",Personnes!$D$5:$D$154,0))))),""))</f>
        <v/>
      </c>
      <c r="D415" s="10" t="str">
        <f>IFERROR(INDEX(Personnes!$C$5:$C$154,MATCH($C415,Personnes!$B$5:$B$154,0))&amp;"","")</f>
        <v/>
      </c>
      <c r="E415" s="10" t="str">
        <f>IFERROR(INDEX(Personnes!$D$5:$D$154,MATCH($C415,Personnes!$B$5:$B$154,0))&amp;"","")</f>
        <v/>
      </c>
      <c r="F415" s="15"/>
      <c r="G415" s="9"/>
      <c r="H415" s="10" t="str">
        <f>IF($B415="","",IF($C415="","apnéiste non reconnu",IF($A415="","séance non renseignée",IF(COUNTIFS($A$5:$A$504,$A415,$C$5:$C$504,$C415)&gt;1,"doublon séance / apnéiste",IF(OR($C415=IFERROR(INDEX('Calendrier'!$K$5:$K$5,MATCH($A415,'Calendrier'!$A$5:$A$5,0)),""),$C415=IFERROR(INDEX('Calendrier'!$O$5:$O$5,MATCH($A415,'Calendrier'!$A$5:$A$5,0)),"")),"encadrant et élève sur la même séance",IF(IFERROR(INDEX(Personnes!$H$5:$H$154,MATCH($C415,Personnes!$B$5:$B$154,0)),"")&lt;&gt;"oui","invité (hors ligne)","ok"))))))</f>
        <v/>
      </c>
    </row>
    <row r="416" spans="1:8" x14ac:dyDescent="0.2">
      <c r="A416" s="15"/>
      <c r="B416" s="15"/>
      <c r="C416" s="10" t="str">
        <f>IF($B416="","",IFERROR(IF(ISNUMBER(FIND("[",$B416)),MID($B416,FIND("[",$B416)+1,FIND("]",$B416)-FIND("[",$B416)-1),IF(ISNUMBER($B416),INDEX(Personnes!$B$5:$B$154,MATCH($B416,Personnes!$A$5:$A$154,0)),IFERROR(INDEX(Personnes!$B$5:$B$154,MATCH($B416&amp;"*",Personnes!$C$5:$C$154,0)),INDEX(Personnes!$B$5:$B$154,MATCH($B416&amp;"*",Personnes!$D$5:$D$154,0))))),""))</f>
        <v/>
      </c>
      <c r="D416" s="10" t="str">
        <f>IFERROR(INDEX(Personnes!$C$5:$C$154,MATCH($C416,Personnes!$B$5:$B$154,0))&amp;"","")</f>
        <v/>
      </c>
      <c r="E416" s="10" t="str">
        <f>IFERROR(INDEX(Personnes!$D$5:$D$154,MATCH($C416,Personnes!$B$5:$B$154,0))&amp;"","")</f>
        <v/>
      </c>
      <c r="F416" s="15"/>
      <c r="G416" s="9"/>
      <c r="H416" s="10" t="str">
        <f>IF($B416="","",IF($C416="","apnéiste non reconnu",IF($A416="","séance non renseignée",IF(COUNTIFS($A$5:$A$504,$A416,$C$5:$C$504,$C416)&gt;1,"doublon séance / apnéiste",IF(OR($C416=IFERROR(INDEX('Calendrier'!$K$5:$K$5,MATCH($A416,'Calendrier'!$A$5:$A$5,0)),""),$C416=IFERROR(INDEX('Calendrier'!$O$5:$O$5,MATCH($A416,'Calendrier'!$A$5:$A$5,0)),"")),"encadrant et élève sur la même séance",IF(IFERROR(INDEX(Personnes!$H$5:$H$154,MATCH($C416,Personnes!$B$5:$B$154,0)),"")&lt;&gt;"oui","invité (hors ligne)","ok"))))))</f>
        <v/>
      </c>
    </row>
    <row r="417" spans="1:8" x14ac:dyDescent="0.2">
      <c r="A417" s="15"/>
      <c r="B417" s="15"/>
      <c r="C417" s="10" t="str">
        <f>IF($B417="","",IFERROR(IF(ISNUMBER(FIND("[",$B417)),MID($B417,FIND("[",$B417)+1,FIND("]",$B417)-FIND("[",$B417)-1),IF(ISNUMBER($B417),INDEX(Personnes!$B$5:$B$154,MATCH($B417,Personnes!$A$5:$A$154,0)),IFERROR(INDEX(Personnes!$B$5:$B$154,MATCH($B417&amp;"*",Personnes!$C$5:$C$154,0)),INDEX(Personnes!$B$5:$B$154,MATCH($B417&amp;"*",Personnes!$D$5:$D$154,0))))),""))</f>
        <v/>
      </c>
      <c r="D417" s="10" t="str">
        <f>IFERROR(INDEX(Personnes!$C$5:$C$154,MATCH($C417,Personnes!$B$5:$B$154,0))&amp;"","")</f>
        <v/>
      </c>
      <c r="E417" s="10" t="str">
        <f>IFERROR(INDEX(Personnes!$D$5:$D$154,MATCH($C417,Personnes!$B$5:$B$154,0))&amp;"","")</f>
        <v/>
      </c>
      <c r="F417" s="15"/>
      <c r="G417" s="9"/>
      <c r="H417" s="10" t="str">
        <f>IF($B417="","",IF($C417="","apnéiste non reconnu",IF($A417="","séance non renseignée",IF(COUNTIFS($A$5:$A$504,$A417,$C$5:$C$504,$C417)&gt;1,"doublon séance / apnéiste",IF(OR($C417=IFERROR(INDEX('Calendrier'!$K$5:$K$5,MATCH($A417,'Calendrier'!$A$5:$A$5,0)),""),$C417=IFERROR(INDEX('Calendrier'!$O$5:$O$5,MATCH($A417,'Calendrier'!$A$5:$A$5,0)),"")),"encadrant et élève sur la même séance",IF(IFERROR(INDEX(Personnes!$H$5:$H$154,MATCH($C417,Personnes!$B$5:$B$154,0)),"")&lt;&gt;"oui","invité (hors ligne)","ok"))))))</f>
        <v/>
      </c>
    </row>
    <row r="418" spans="1:8" x14ac:dyDescent="0.2">
      <c r="A418" s="15"/>
      <c r="B418" s="15"/>
      <c r="C418" s="10" t="str">
        <f>IF($B418="","",IFERROR(IF(ISNUMBER(FIND("[",$B418)),MID($B418,FIND("[",$B418)+1,FIND("]",$B418)-FIND("[",$B418)-1),IF(ISNUMBER($B418),INDEX(Personnes!$B$5:$B$154,MATCH($B418,Personnes!$A$5:$A$154,0)),IFERROR(INDEX(Personnes!$B$5:$B$154,MATCH($B418&amp;"*",Personnes!$C$5:$C$154,0)),INDEX(Personnes!$B$5:$B$154,MATCH($B418&amp;"*",Personnes!$D$5:$D$154,0))))),""))</f>
        <v/>
      </c>
      <c r="D418" s="10" t="str">
        <f>IFERROR(INDEX(Personnes!$C$5:$C$154,MATCH($C418,Personnes!$B$5:$B$154,0))&amp;"","")</f>
        <v/>
      </c>
      <c r="E418" s="10" t="str">
        <f>IFERROR(INDEX(Personnes!$D$5:$D$154,MATCH($C418,Personnes!$B$5:$B$154,0))&amp;"","")</f>
        <v/>
      </c>
      <c r="F418" s="15"/>
      <c r="G418" s="9"/>
      <c r="H418" s="10" t="str">
        <f>IF($B418="","",IF($C418="","apnéiste non reconnu",IF($A418="","séance non renseignée",IF(COUNTIFS($A$5:$A$504,$A418,$C$5:$C$504,$C418)&gt;1,"doublon séance / apnéiste",IF(OR($C418=IFERROR(INDEX('Calendrier'!$K$5:$K$5,MATCH($A418,'Calendrier'!$A$5:$A$5,0)),""),$C418=IFERROR(INDEX('Calendrier'!$O$5:$O$5,MATCH($A418,'Calendrier'!$A$5:$A$5,0)),"")),"encadrant et élève sur la même séance",IF(IFERROR(INDEX(Personnes!$H$5:$H$154,MATCH($C418,Personnes!$B$5:$B$154,0)),"")&lt;&gt;"oui","invité (hors ligne)","ok"))))))</f>
        <v/>
      </c>
    </row>
    <row r="419" spans="1:8" x14ac:dyDescent="0.2">
      <c r="A419" s="15"/>
      <c r="B419" s="15"/>
      <c r="C419" s="10" t="str">
        <f>IF($B419="","",IFERROR(IF(ISNUMBER(FIND("[",$B419)),MID($B419,FIND("[",$B419)+1,FIND("]",$B419)-FIND("[",$B419)-1),IF(ISNUMBER($B419),INDEX(Personnes!$B$5:$B$154,MATCH($B419,Personnes!$A$5:$A$154,0)),IFERROR(INDEX(Personnes!$B$5:$B$154,MATCH($B419&amp;"*",Personnes!$C$5:$C$154,0)),INDEX(Personnes!$B$5:$B$154,MATCH($B419&amp;"*",Personnes!$D$5:$D$154,0))))),""))</f>
        <v/>
      </c>
      <c r="D419" s="10" t="str">
        <f>IFERROR(INDEX(Personnes!$C$5:$C$154,MATCH($C419,Personnes!$B$5:$B$154,0))&amp;"","")</f>
        <v/>
      </c>
      <c r="E419" s="10" t="str">
        <f>IFERROR(INDEX(Personnes!$D$5:$D$154,MATCH($C419,Personnes!$B$5:$B$154,0))&amp;"","")</f>
        <v/>
      </c>
      <c r="F419" s="15"/>
      <c r="G419" s="9"/>
      <c r="H419" s="10" t="str">
        <f>IF($B419="","",IF($C419="","apnéiste non reconnu",IF($A419="","séance non renseignée",IF(COUNTIFS($A$5:$A$504,$A419,$C$5:$C$504,$C419)&gt;1,"doublon séance / apnéiste",IF(OR($C419=IFERROR(INDEX('Calendrier'!$K$5:$K$5,MATCH($A419,'Calendrier'!$A$5:$A$5,0)),""),$C419=IFERROR(INDEX('Calendrier'!$O$5:$O$5,MATCH($A419,'Calendrier'!$A$5:$A$5,0)),"")),"encadrant et élève sur la même séance",IF(IFERROR(INDEX(Personnes!$H$5:$H$154,MATCH($C419,Personnes!$B$5:$B$154,0)),"")&lt;&gt;"oui","invité (hors ligne)","ok"))))))</f>
        <v/>
      </c>
    </row>
    <row r="420" spans="1:8" x14ac:dyDescent="0.2">
      <c r="A420" s="15"/>
      <c r="B420" s="15"/>
      <c r="C420" s="10" t="str">
        <f>IF($B420="","",IFERROR(IF(ISNUMBER(FIND("[",$B420)),MID($B420,FIND("[",$B420)+1,FIND("]",$B420)-FIND("[",$B420)-1),IF(ISNUMBER($B420),INDEX(Personnes!$B$5:$B$154,MATCH($B420,Personnes!$A$5:$A$154,0)),IFERROR(INDEX(Personnes!$B$5:$B$154,MATCH($B420&amp;"*",Personnes!$C$5:$C$154,0)),INDEX(Personnes!$B$5:$B$154,MATCH($B420&amp;"*",Personnes!$D$5:$D$154,0))))),""))</f>
        <v/>
      </c>
      <c r="D420" s="10" t="str">
        <f>IFERROR(INDEX(Personnes!$C$5:$C$154,MATCH($C420,Personnes!$B$5:$B$154,0))&amp;"","")</f>
        <v/>
      </c>
      <c r="E420" s="10" t="str">
        <f>IFERROR(INDEX(Personnes!$D$5:$D$154,MATCH($C420,Personnes!$B$5:$B$154,0))&amp;"","")</f>
        <v/>
      </c>
      <c r="F420" s="15"/>
      <c r="G420" s="9"/>
      <c r="H420" s="10" t="str">
        <f>IF($B420="","",IF($C420="","apnéiste non reconnu",IF($A420="","séance non renseignée",IF(COUNTIFS($A$5:$A$504,$A420,$C$5:$C$504,$C420)&gt;1,"doublon séance / apnéiste",IF(OR($C420=IFERROR(INDEX('Calendrier'!$K$5:$K$5,MATCH($A420,'Calendrier'!$A$5:$A$5,0)),""),$C420=IFERROR(INDEX('Calendrier'!$O$5:$O$5,MATCH($A420,'Calendrier'!$A$5:$A$5,0)),"")),"encadrant et élève sur la même séance",IF(IFERROR(INDEX(Personnes!$H$5:$H$154,MATCH($C420,Personnes!$B$5:$B$154,0)),"")&lt;&gt;"oui","invité (hors ligne)","ok"))))))</f>
        <v/>
      </c>
    </row>
    <row r="421" spans="1:8" x14ac:dyDescent="0.2">
      <c r="A421" s="15"/>
      <c r="B421" s="15"/>
      <c r="C421" s="10" t="str">
        <f>IF($B421="","",IFERROR(IF(ISNUMBER(FIND("[",$B421)),MID($B421,FIND("[",$B421)+1,FIND("]",$B421)-FIND("[",$B421)-1),IF(ISNUMBER($B421),INDEX(Personnes!$B$5:$B$154,MATCH($B421,Personnes!$A$5:$A$154,0)),IFERROR(INDEX(Personnes!$B$5:$B$154,MATCH($B421&amp;"*",Personnes!$C$5:$C$154,0)),INDEX(Personnes!$B$5:$B$154,MATCH($B421&amp;"*",Personnes!$D$5:$D$154,0))))),""))</f>
        <v/>
      </c>
      <c r="D421" s="10" t="str">
        <f>IFERROR(INDEX(Personnes!$C$5:$C$154,MATCH($C421,Personnes!$B$5:$B$154,0))&amp;"","")</f>
        <v/>
      </c>
      <c r="E421" s="10" t="str">
        <f>IFERROR(INDEX(Personnes!$D$5:$D$154,MATCH($C421,Personnes!$B$5:$B$154,0))&amp;"","")</f>
        <v/>
      </c>
      <c r="F421" s="15"/>
      <c r="G421" s="9"/>
      <c r="H421" s="10" t="str">
        <f>IF($B421="","",IF($C421="","apnéiste non reconnu",IF($A421="","séance non renseignée",IF(COUNTIFS($A$5:$A$504,$A421,$C$5:$C$504,$C421)&gt;1,"doublon séance / apnéiste",IF(OR($C421=IFERROR(INDEX('Calendrier'!$K$5:$K$5,MATCH($A421,'Calendrier'!$A$5:$A$5,0)),""),$C421=IFERROR(INDEX('Calendrier'!$O$5:$O$5,MATCH($A421,'Calendrier'!$A$5:$A$5,0)),"")),"encadrant et élève sur la même séance",IF(IFERROR(INDEX(Personnes!$H$5:$H$154,MATCH($C421,Personnes!$B$5:$B$154,0)),"")&lt;&gt;"oui","invité (hors ligne)","ok"))))))</f>
        <v/>
      </c>
    </row>
    <row r="422" spans="1:8" x14ac:dyDescent="0.2">
      <c r="A422" s="15"/>
      <c r="B422" s="15"/>
      <c r="C422" s="10" t="str">
        <f>IF($B422="","",IFERROR(IF(ISNUMBER(FIND("[",$B422)),MID($B422,FIND("[",$B422)+1,FIND("]",$B422)-FIND("[",$B422)-1),IF(ISNUMBER($B422),INDEX(Personnes!$B$5:$B$154,MATCH($B422,Personnes!$A$5:$A$154,0)),IFERROR(INDEX(Personnes!$B$5:$B$154,MATCH($B422&amp;"*",Personnes!$C$5:$C$154,0)),INDEX(Personnes!$B$5:$B$154,MATCH($B422&amp;"*",Personnes!$D$5:$D$154,0))))),""))</f>
        <v/>
      </c>
      <c r="D422" s="10" t="str">
        <f>IFERROR(INDEX(Personnes!$C$5:$C$154,MATCH($C422,Personnes!$B$5:$B$154,0))&amp;"","")</f>
        <v/>
      </c>
      <c r="E422" s="10" t="str">
        <f>IFERROR(INDEX(Personnes!$D$5:$D$154,MATCH($C422,Personnes!$B$5:$B$154,0))&amp;"","")</f>
        <v/>
      </c>
      <c r="F422" s="15"/>
      <c r="G422" s="9"/>
      <c r="H422" s="10" t="str">
        <f>IF($B422="","",IF($C422="","apnéiste non reconnu",IF($A422="","séance non renseignée",IF(COUNTIFS($A$5:$A$504,$A422,$C$5:$C$504,$C422)&gt;1,"doublon séance / apnéiste",IF(OR($C422=IFERROR(INDEX('Calendrier'!$K$5:$K$5,MATCH($A422,'Calendrier'!$A$5:$A$5,0)),""),$C422=IFERROR(INDEX('Calendrier'!$O$5:$O$5,MATCH($A422,'Calendrier'!$A$5:$A$5,0)),"")),"encadrant et élève sur la même séance",IF(IFERROR(INDEX(Personnes!$H$5:$H$154,MATCH($C422,Personnes!$B$5:$B$154,0)),"")&lt;&gt;"oui","invité (hors ligne)","ok"))))))</f>
        <v/>
      </c>
    </row>
    <row r="423" spans="1:8" x14ac:dyDescent="0.2">
      <c r="A423" s="15"/>
      <c r="B423" s="15"/>
      <c r="C423" s="10" t="str">
        <f>IF($B423="","",IFERROR(IF(ISNUMBER(FIND("[",$B423)),MID($B423,FIND("[",$B423)+1,FIND("]",$B423)-FIND("[",$B423)-1),IF(ISNUMBER($B423),INDEX(Personnes!$B$5:$B$154,MATCH($B423,Personnes!$A$5:$A$154,0)),IFERROR(INDEX(Personnes!$B$5:$B$154,MATCH($B423&amp;"*",Personnes!$C$5:$C$154,0)),INDEX(Personnes!$B$5:$B$154,MATCH($B423&amp;"*",Personnes!$D$5:$D$154,0))))),""))</f>
        <v/>
      </c>
      <c r="D423" s="10" t="str">
        <f>IFERROR(INDEX(Personnes!$C$5:$C$154,MATCH($C423,Personnes!$B$5:$B$154,0))&amp;"","")</f>
        <v/>
      </c>
      <c r="E423" s="10" t="str">
        <f>IFERROR(INDEX(Personnes!$D$5:$D$154,MATCH($C423,Personnes!$B$5:$B$154,0))&amp;"","")</f>
        <v/>
      </c>
      <c r="F423" s="15"/>
      <c r="G423" s="9"/>
      <c r="H423" s="10" t="str">
        <f>IF($B423="","",IF($C423="","apnéiste non reconnu",IF($A423="","séance non renseignée",IF(COUNTIFS($A$5:$A$504,$A423,$C$5:$C$504,$C423)&gt;1,"doublon séance / apnéiste",IF(OR($C423=IFERROR(INDEX('Calendrier'!$K$5:$K$5,MATCH($A423,'Calendrier'!$A$5:$A$5,0)),""),$C423=IFERROR(INDEX('Calendrier'!$O$5:$O$5,MATCH($A423,'Calendrier'!$A$5:$A$5,0)),"")),"encadrant et élève sur la même séance",IF(IFERROR(INDEX(Personnes!$H$5:$H$154,MATCH($C423,Personnes!$B$5:$B$154,0)),"")&lt;&gt;"oui","invité (hors ligne)","ok"))))))</f>
        <v/>
      </c>
    </row>
    <row r="424" spans="1:8" x14ac:dyDescent="0.2">
      <c r="A424" s="15"/>
      <c r="B424" s="15"/>
      <c r="C424" s="10" t="str">
        <f>IF($B424="","",IFERROR(IF(ISNUMBER(FIND("[",$B424)),MID($B424,FIND("[",$B424)+1,FIND("]",$B424)-FIND("[",$B424)-1),IF(ISNUMBER($B424),INDEX(Personnes!$B$5:$B$154,MATCH($B424,Personnes!$A$5:$A$154,0)),IFERROR(INDEX(Personnes!$B$5:$B$154,MATCH($B424&amp;"*",Personnes!$C$5:$C$154,0)),INDEX(Personnes!$B$5:$B$154,MATCH($B424&amp;"*",Personnes!$D$5:$D$154,0))))),""))</f>
        <v/>
      </c>
      <c r="D424" s="10" t="str">
        <f>IFERROR(INDEX(Personnes!$C$5:$C$154,MATCH($C424,Personnes!$B$5:$B$154,0))&amp;"","")</f>
        <v/>
      </c>
      <c r="E424" s="10" t="str">
        <f>IFERROR(INDEX(Personnes!$D$5:$D$154,MATCH($C424,Personnes!$B$5:$B$154,0))&amp;"","")</f>
        <v/>
      </c>
      <c r="F424" s="15"/>
      <c r="G424" s="9"/>
      <c r="H424" s="10" t="str">
        <f>IF($B424="","",IF($C424="","apnéiste non reconnu",IF($A424="","séance non renseignée",IF(COUNTIFS($A$5:$A$504,$A424,$C$5:$C$504,$C424)&gt;1,"doublon séance / apnéiste",IF(OR($C424=IFERROR(INDEX('Calendrier'!$K$5:$K$5,MATCH($A424,'Calendrier'!$A$5:$A$5,0)),""),$C424=IFERROR(INDEX('Calendrier'!$O$5:$O$5,MATCH($A424,'Calendrier'!$A$5:$A$5,0)),"")),"encadrant et élève sur la même séance",IF(IFERROR(INDEX(Personnes!$H$5:$H$154,MATCH($C424,Personnes!$B$5:$B$154,0)),"")&lt;&gt;"oui","invité (hors ligne)","ok"))))))</f>
        <v/>
      </c>
    </row>
    <row r="425" spans="1:8" x14ac:dyDescent="0.2">
      <c r="A425" s="15"/>
      <c r="B425" s="15"/>
      <c r="C425" s="10" t="str">
        <f>IF($B425="","",IFERROR(IF(ISNUMBER(FIND("[",$B425)),MID($B425,FIND("[",$B425)+1,FIND("]",$B425)-FIND("[",$B425)-1),IF(ISNUMBER($B425),INDEX(Personnes!$B$5:$B$154,MATCH($B425,Personnes!$A$5:$A$154,0)),IFERROR(INDEX(Personnes!$B$5:$B$154,MATCH($B425&amp;"*",Personnes!$C$5:$C$154,0)),INDEX(Personnes!$B$5:$B$154,MATCH($B425&amp;"*",Personnes!$D$5:$D$154,0))))),""))</f>
        <v/>
      </c>
      <c r="D425" s="10" t="str">
        <f>IFERROR(INDEX(Personnes!$C$5:$C$154,MATCH($C425,Personnes!$B$5:$B$154,0))&amp;"","")</f>
        <v/>
      </c>
      <c r="E425" s="10" t="str">
        <f>IFERROR(INDEX(Personnes!$D$5:$D$154,MATCH($C425,Personnes!$B$5:$B$154,0))&amp;"","")</f>
        <v/>
      </c>
      <c r="F425" s="15"/>
      <c r="G425" s="9"/>
      <c r="H425" s="10" t="str">
        <f>IF($B425="","",IF($C425="","apnéiste non reconnu",IF($A425="","séance non renseignée",IF(COUNTIFS($A$5:$A$504,$A425,$C$5:$C$504,$C425)&gt;1,"doublon séance / apnéiste",IF(OR($C425=IFERROR(INDEX('Calendrier'!$K$5:$K$5,MATCH($A425,'Calendrier'!$A$5:$A$5,0)),""),$C425=IFERROR(INDEX('Calendrier'!$O$5:$O$5,MATCH($A425,'Calendrier'!$A$5:$A$5,0)),"")),"encadrant et élève sur la même séance",IF(IFERROR(INDEX(Personnes!$H$5:$H$154,MATCH($C425,Personnes!$B$5:$B$154,0)),"")&lt;&gt;"oui","invité (hors ligne)","ok"))))))</f>
        <v/>
      </c>
    </row>
    <row r="426" spans="1:8" x14ac:dyDescent="0.2">
      <c r="A426" s="15"/>
      <c r="B426" s="15"/>
      <c r="C426" s="10" t="str">
        <f>IF($B426="","",IFERROR(IF(ISNUMBER(FIND("[",$B426)),MID($B426,FIND("[",$B426)+1,FIND("]",$B426)-FIND("[",$B426)-1),IF(ISNUMBER($B426),INDEX(Personnes!$B$5:$B$154,MATCH($B426,Personnes!$A$5:$A$154,0)),IFERROR(INDEX(Personnes!$B$5:$B$154,MATCH($B426&amp;"*",Personnes!$C$5:$C$154,0)),INDEX(Personnes!$B$5:$B$154,MATCH($B426&amp;"*",Personnes!$D$5:$D$154,0))))),""))</f>
        <v/>
      </c>
      <c r="D426" s="10" t="str">
        <f>IFERROR(INDEX(Personnes!$C$5:$C$154,MATCH($C426,Personnes!$B$5:$B$154,0))&amp;"","")</f>
        <v/>
      </c>
      <c r="E426" s="10" t="str">
        <f>IFERROR(INDEX(Personnes!$D$5:$D$154,MATCH($C426,Personnes!$B$5:$B$154,0))&amp;"","")</f>
        <v/>
      </c>
      <c r="F426" s="15"/>
      <c r="G426" s="9"/>
      <c r="H426" s="10" t="str">
        <f>IF($B426="","",IF($C426="","apnéiste non reconnu",IF($A426="","séance non renseignée",IF(COUNTIFS($A$5:$A$504,$A426,$C$5:$C$504,$C426)&gt;1,"doublon séance / apnéiste",IF(OR($C426=IFERROR(INDEX('Calendrier'!$K$5:$K$5,MATCH($A426,'Calendrier'!$A$5:$A$5,0)),""),$C426=IFERROR(INDEX('Calendrier'!$O$5:$O$5,MATCH($A426,'Calendrier'!$A$5:$A$5,0)),"")),"encadrant et élève sur la même séance",IF(IFERROR(INDEX(Personnes!$H$5:$H$154,MATCH($C426,Personnes!$B$5:$B$154,0)),"")&lt;&gt;"oui","invité (hors ligne)","ok"))))))</f>
        <v/>
      </c>
    </row>
    <row r="427" spans="1:8" x14ac:dyDescent="0.2">
      <c r="A427" s="15"/>
      <c r="B427" s="15"/>
      <c r="C427" s="10" t="str">
        <f>IF($B427="","",IFERROR(IF(ISNUMBER(FIND("[",$B427)),MID($B427,FIND("[",$B427)+1,FIND("]",$B427)-FIND("[",$B427)-1),IF(ISNUMBER($B427),INDEX(Personnes!$B$5:$B$154,MATCH($B427,Personnes!$A$5:$A$154,0)),IFERROR(INDEX(Personnes!$B$5:$B$154,MATCH($B427&amp;"*",Personnes!$C$5:$C$154,0)),INDEX(Personnes!$B$5:$B$154,MATCH($B427&amp;"*",Personnes!$D$5:$D$154,0))))),""))</f>
        <v/>
      </c>
      <c r="D427" s="10" t="str">
        <f>IFERROR(INDEX(Personnes!$C$5:$C$154,MATCH($C427,Personnes!$B$5:$B$154,0))&amp;"","")</f>
        <v/>
      </c>
      <c r="E427" s="10" t="str">
        <f>IFERROR(INDEX(Personnes!$D$5:$D$154,MATCH($C427,Personnes!$B$5:$B$154,0))&amp;"","")</f>
        <v/>
      </c>
      <c r="F427" s="15"/>
      <c r="G427" s="9"/>
      <c r="H427" s="10" t="str">
        <f>IF($B427="","",IF($C427="","apnéiste non reconnu",IF($A427="","séance non renseignée",IF(COUNTIFS($A$5:$A$504,$A427,$C$5:$C$504,$C427)&gt;1,"doublon séance / apnéiste",IF(OR($C427=IFERROR(INDEX('Calendrier'!$K$5:$K$5,MATCH($A427,'Calendrier'!$A$5:$A$5,0)),""),$C427=IFERROR(INDEX('Calendrier'!$O$5:$O$5,MATCH($A427,'Calendrier'!$A$5:$A$5,0)),"")),"encadrant et élève sur la même séance",IF(IFERROR(INDEX(Personnes!$H$5:$H$154,MATCH($C427,Personnes!$B$5:$B$154,0)),"")&lt;&gt;"oui","invité (hors ligne)","ok"))))))</f>
        <v/>
      </c>
    </row>
    <row r="428" spans="1:8" x14ac:dyDescent="0.2">
      <c r="A428" s="15"/>
      <c r="B428" s="15"/>
      <c r="C428" s="10" t="str">
        <f>IF($B428="","",IFERROR(IF(ISNUMBER(FIND("[",$B428)),MID($B428,FIND("[",$B428)+1,FIND("]",$B428)-FIND("[",$B428)-1),IF(ISNUMBER($B428),INDEX(Personnes!$B$5:$B$154,MATCH($B428,Personnes!$A$5:$A$154,0)),IFERROR(INDEX(Personnes!$B$5:$B$154,MATCH($B428&amp;"*",Personnes!$C$5:$C$154,0)),INDEX(Personnes!$B$5:$B$154,MATCH($B428&amp;"*",Personnes!$D$5:$D$154,0))))),""))</f>
        <v/>
      </c>
      <c r="D428" s="10" t="str">
        <f>IFERROR(INDEX(Personnes!$C$5:$C$154,MATCH($C428,Personnes!$B$5:$B$154,0))&amp;"","")</f>
        <v/>
      </c>
      <c r="E428" s="10" t="str">
        <f>IFERROR(INDEX(Personnes!$D$5:$D$154,MATCH($C428,Personnes!$B$5:$B$154,0))&amp;"","")</f>
        <v/>
      </c>
      <c r="F428" s="15"/>
      <c r="G428" s="9"/>
      <c r="H428" s="10" t="str">
        <f>IF($B428="","",IF($C428="","apnéiste non reconnu",IF($A428="","séance non renseignée",IF(COUNTIFS($A$5:$A$504,$A428,$C$5:$C$504,$C428)&gt;1,"doublon séance / apnéiste",IF(OR($C428=IFERROR(INDEX('Calendrier'!$K$5:$K$5,MATCH($A428,'Calendrier'!$A$5:$A$5,0)),""),$C428=IFERROR(INDEX('Calendrier'!$O$5:$O$5,MATCH($A428,'Calendrier'!$A$5:$A$5,0)),"")),"encadrant et élève sur la même séance",IF(IFERROR(INDEX(Personnes!$H$5:$H$154,MATCH($C428,Personnes!$B$5:$B$154,0)),"")&lt;&gt;"oui","invité (hors ligne)","ok"))))))</f>
        <v/>
      </c>
    </row>
    <row r="429" spans="1:8" x14ac:dyDescent="0.2">
      <c r="A429" s="15"/>
      <c r="B429" s="15"/>
      <c r="C429" s="10" t="str">
        <f>IF($B429="","",IFERROR(IF(ISNUMBER(FIND("[",$B429)),MID($B429,FIND("[",$B429)+1,FIND("]",$B429)-FIND("[",$B429)-1),IF(ISNUMBER($B429),INDEX(Personnes!$B$5:$B$154,MATCH($B429,Personnes!$A$5:$A$154,0)),IFERROR(INDEX(Personnes!$B$5:$B$154,MATCH($B429&amp;"*",Personnes!$C$5:$C$154,0)),INDEX(Personnes!$B$5:$B$154,MATCH($B429&amp;"*",Personnes!$D$5:$D$154,0))))),""))</f>
        <v/>
      </c>
      <c r="D429" s="10" t="str">
        <f>IFERROR(INDEX(Personnes!$C$5:$C$154,MATCH($C429,Personnes!$B$5:$B$154,0))&amp;"","")</f>
        <v/>
      </c>
      <c r="E429" s="10" t="str">
        <f>IFERROR(INDEX(Personnes!$D$5:$D$154,MATCH($C429,Personnes!$B$5:$B$154,0))&amp;"","")</f>
        <v/>
      </c>
      <c r="F429" s="15"/>
      <c r="G429" s="9"/>
      <c r="H429" s="10" t="str">
        <f>IF($B429="","",IF($C429="","apnéiste non reconnu",IF($A429="","séance non renseignée",IF(COUNTIFS($A$5:$A$504,$A429,$C$5:$C$504,$C429)&gt;1,"doublon séance / apnéiste",IF(OR($C429=IFERROR(INDEX('Calendrier'!$K$5:$K$5,MATCH($A429,'Calendrier'!$A$5:$A$5,0)),""),$C429=IFERROR(INDEX('Calendrier'!$O$5:$O$5,MATCH($A429,'Calendrier'!$A$5:$A$5,0)),"")),"encadrant et élève sur la même séance",IF(IFERROR(INDEX(Personnes!$H$5:$H$154,MATCH($C429,Personnes!$B$5:$B$154,0)),"")&lt;&gt;"oui","invité (hors ligne)","ok"))))))</f>
        <v/>
      </c>
    </row>
    <row r="430" spans="1:8" x14ac:dyDescent="0.2">
      <c r="A430" s="15"/>
      <c r="B430" s="15"/>
      <c r="C430" s="10" t="str">
        <f>IF($B430="","",IFERROR(IF(ISNUMBER(FIND("[",$B430)),MID($B430,FIND("[",$B430)+1,FIND("]",$B430)-FIND("[",$B430)-1),IF(ISNUMBER($B430),INDEX(Personnes!$B$5:$B$154,MATCH($B430,Personnes!$A$5:$A$154,0)),IFERROR(INDEX(Personnes!$B$5:$B$154,MATCH($B430&amp;"*",Personnes!$C$5:$C$154,0)),INDEX(Personnes!$B$5:$B$154,MATCH($B430&amp;"*",Personnes!$D$5:$D$154,0))))),""))</f>
        <v/>
      </c>
      <c r="D430" s="10" t="str">
        <f>IFERROR(INDEX(Personnes!$C$5:$C$154,MATCH($C430,Personnes!$B$5:$B$154,0))&amp;"","")</f>
        <v/>
      </c>
      <c r="E430" s="10" t="str">
        <f>IFERROR(INDEX(Personnes!$D$5:$D$154,MATCH($C430,Personnes!$B$5:$B$154,0))&amp;"","")</f>
        <v/>
      </c>
      <c r="F430" s="15"/>
      <c r="G430" s="9"/>
      <c r="H430" s="10" t="str">
        <f>IF($B430="","",IF($C430="","apnéiste non reconnu",IF($A430="","séance non renseignée",IF(COUNTIFS($A$5:$A$504,$A430,$C$5:$C$504,$C430)&gt;1,"doublon séance / apnéiste",IF(OR($C430=IFERROR(INDEX('Calendrier'!$K$5:$K$5,MATCH($A430,'Calendrier'!$A$5:$A$5,0)),""),$C430=IFERROR(INDEX('Calendrier'!$O$5:$O$5,MATCH($A430,'Calendrier'!$A$5:$A$5,0)),"")),"encadrant et élève sur la même séance",IF(IFERROR(INDEX(Personnes!$H$5:$H$154,MATCH($C430,Personnes!$B$5:$B$154,0)),"")&lt;&gt;"oui","invité (hors ligne)","ok"))))))</f>
        <v/>
      </c>
    </row>
    <row r="431" spans="1:8" x14ac:dyDescent="0.2">
      <c r="A431" s="15"/>
      <c r="B431" s="15"/>
      <c r="C431" s="10" t="str">
        <f>IF($B431="","",IFERROR(IF(ISNUMBER(FIND("[",$B431)),MID($B431,FIND("[",$B431)+1,FIND("]",$B431)-FIND("[",$B431)-1),IF(ISNUMBER($B431),INDEX(Personnes!$B$5:$B$154,MATCH($B431,Personnes!$A$5:$A$154,0)),IFERROR(INDEX(Personnes!$B$5:$B$154,MATCH($B431&amp;"*",Personnes!$C$5:$C$154,0)),INDEX(Personnes!$B$5:$B$154,MATCH($B431&amp;"*",Personnes!$D$5:$D$154,0))))),""))</f>
        <v/>
      </c>
      <c r="D431" s="10" t="str">
        <f>IFERROR(INDEX(Personnes!$C$5:$C$154,MATCH($C431,Personnes!$B$5:$B$154,0))&amp;"","")</f>
        <v/>
      </c>
      <c r="E431" s="10" t="str">
        <f>IFERROR(INDEX(Personnes!$D$5:$D$154,MATCH($C431,Personnes!$B$5:$B$154,0))&amp;"","")</f>
        <v/>
      </c>
      <c r="F431" s="15"/>
      <c r="G431" s="9"/>
      <c r="H431" s="10" t="str">
        <f>IF($B431="","",IF($C431="","apnéiste non reconnu",IF($A431="","séance non renseignée",IF(COUNTIFS($A$5:$A$504,$A431,$C$5:$C$504,$C431)&gt;1,"doublon séance / apnéiste",IF(OR($C431=IFERROR(INDEX('Calendrier'!$K$5:$K$5,MATCH($A431,'Calendrier'!$A$5:$A$5,0)),""),$C431=IFERROR(INDEX('Calendrier'!$O$5:$O$5,MATCH($A431,'Calendrier'!$A$5:$A$5,0)),"")),"encadrant et élève sur la même séance",IF(IFERROR(INDEX(Personnes!$H$5:$H$154,MATCH($C431,Personnes!$B$5:$B$154,0)),"")&lt;&gt;"oui","invité (hors ligne)","ok"))))))</f>
        <v/>
      </c>
    </row>
    <row r="432" spans="1:8" x14ac:dyDescent="0.2">
      <c r="A432" s="15"/>
      <c r="B432" s="15"/>
      <c r="C432" s="10" t="str">
        <f>IF($B432="","",IFERROR(IF(ISNUMBER(FIND("[",$B432)),MID($B432,FIND("[",$B432)+1,FIND("]",$B432)-FIND("[",$B432)-1),IF(ISNUMBER($B432),INDEX(Personnes!$B$5:$B$154,MATCH($B432,Personnes!$A$5:$A$154,0)),IFERROR(INDEX(Personnes!$B$5:$B$154,MATCH($B432&amp;"*",Personnes!$C$5:$C$154,0)),INDEX(Personnes!$B$5:$B$154,MATCH($B432&amp;"*",Personnes!$D$5:$D$154,0))))),""))</f>
        <v/>
      </c>
      <c r="D432" s="10" t="str">
        <f>IFERROR(INDEX(Personnes!$C$5:$C$154,MATCH($C432,Personnes!$B$5:$B$154,0))&amp;"","")</f>
        <v/>
      </c>
      <c r="E432" s="10" t="str">
        <f>IFERROR(INDEX(Personnes!$D$5:$D$154,MATCH($C432,Personnes!$B$5:$B$154,0))&amp;"","")</f>
        <v/>
      </c>
      <c r="F432" s="15"/>
      <c r="G432" s="9"/>
      <c r="H432" s="10" t="str">
        <f>IF($B432="","",IF($C432="","apnéiste non reconnu",IF($A432="","séance non renseignée",IF(COUNTIFS($A$5:$A$504,$A432,$C$5:$C$504,$C432)&gt;1,"doublon séance / apnéiste",IF(OR($C432=IFERROR(INDEX('Calendrier'!$K$5:$K$5,MATCH($A432,'Calendrier'!$A$5:$A$5,0)),""),$C432=IFERROR(INDEX('Calendrier'!$O$5:$O$5,MATCH($A432,'Calendrier'!$A$5:$A$5,0)),"")),"encadrant et élève sur la même séance",IF(IFERROR(INDEX(Personnes!$H$5:$H$154,MATCH($C432,Personnes!$B$5:$B$154,0)),"")&lt;&gt;"oui","invité (hors ligne)","ok"))))))</f>
        <v/>
      </c>
    </row>
    <row r="433" spans="1:8" x14ac:dyDescent="0.2">
      <c r="A433" s="15"/>
      <c r="B433" s="15"/>
      <c r="C433" s="10" t="str">
        <f>IF($B433="","",IFERROR(IF(ISNUMBER(FIND("[",$B433)),MID($B433,FIND("[",$B433)+1,FIND("]",$B433)-FIND("[",$B433)-1),IF(ISNUMBER($B433),INDEX(Personnes!$B$5:$B$154,MATCH($B433,Personnes!$A$5:$A$154,0)),IFERROR(INDEX(Personnes!$B$5:$B$154,MATCH($B433&amp;"*",Personnes!$C$5:$C$154,0)),INDEX(Personnes!$B$5:$B$154,MATCH($B433&amp;"*",Personnes!$D$5:$D$154,0))))),""))</f>
        <v/>
      </c>
      <c r="D433" s="10" t="str">
        <f>IFERROR(INDEX(Personnes!$C$5:$C$154,MATCH($C433,Personnes!$B$5:$B$154,0))&amp;"","")</f>
        <v/>
      </c>
      <c r="E433" s="10" t="str">
        <f>IFERROR(INDEX(Personnes!$D$5:$D$154,MATCH($C433,Personnes!$B$5:$B$154,0))&amp;"","")</f>
        <v/>
      </c>
      <c r="F433" s="15"/>
      <c r="G433" s="9"/>
      <c r="H433" s="10" t="str">
        <f>IF($B433="","",IF($C433="","apnéiste non reconnu",IF($A433="","séance non renseignée",IF(COUNTIFS($A$5:$A$504,$A433,$C$5:$C$504,$C433)&gt;1,"doublon séance / apnéiste",IF(OR($C433=IFERROR(INDEX('Calendrier'!$K$5:$K$5,MATCH($A433,'Calendrier'!$A$5:$A$5,0)),""),$C433=IFERROR(INDEX('Calendrier'!$O$5:$O$5,MATCH($A433,'Calendrier'!$A$5:$A$5,0)),"")),"encadrant et élève sur la même séance",IF(IFERROR(INDEX(Personnes!$H$5:$H$154,MATCH($C433,Personnes!$B$5:$B$154,0)),"")&lt;&gt;"oui","invité (hors ligne)","ok"))))))</f>
        <v/>
      </c>
    </row>
    <row r="434" spans="1:8" x14ac:dyDescent="0.2">
      <c r="A434" s="15"/>
      <c r="B434" s="15"/>
      <c r="C434" s="10" t="str">
        <f>IF($B434="","",IFERROR(IF(ISNUMBER(FIND("[",$B434)),MID($B434,FIND("[",$B434)+1,FIND("]",$B434)-FIND("[",$B434)-1),IF(ISNUMBER($B434),INDEX(Personnes!$B$5:$B$154,MATCH($B434,Personnes!$A$5:$A$154,0)),IFERROR(INDEX(Personnes!$B$5:$B$154,MATCH($B434&amp;"*",Personnes!$C$5:$C$154,0)),INDEX(Personnes!$B$5:$B$154,MATCH($B434&amp;"*",Personnes!$D$5:$D$154,0))))),""))</f>
        <v/>
      </c>
      <c r="D434" s="10" t="str">
        <f>IFERROR(INDEX(Personnes!$C$5:$C$154,MATCH($C434,Personnes!$B$5:$B$154,0))&amp;"","")</f>
        <v/>
      </c>
      <c r="E434" s="10" t="str">
        <f>IFERROR(INDEX(Personnes!$D$5:$D$154,MATCH($C434,Personnes!$B$5:$B$154,0))&amp;"","")</f>
        <v/>
      </c>
      <c r="F434" s="15"/>
      <c r="G434" s="9"/>
      <c r="H434" s="10" t="str">
        <f>IF($B434="","",IF($C434="","apnéiste non reconnu",IF($A434="","séance non renseignée",IF(COUNTIFS($A$5:$A$504,$A434,$C$5:$C$504,$C434)&gt;1,"doublon séance / apnéiste",IF(OR($C434=IFERROR(INDEX('Calendrier'!$K$5:$K$5,MATCH($A434,'Calendrier'!$A$5:$A$5,0)),""),$C434=IFERROR(INDEX('Calendrier'!$O$5:$O$5,MATCH($A434,'Calendrier'!$A$5:$A$5,0)),"")),"encadrant et élève sur la même séance",IF(IFERROR(INDEX(Personnes!$H$5:$H$154,MATCH($C434,Personnes!$B$5:$B$154,0)),"")&lt;&gt;"oui","invité (hors ligne)","ok"))))))</f>
        <v/>
      </c>
    </row>
    <row r="435" spans="1:8" x14ac:dyDescent="0.2">
      <c r="A435" s="15"/>
      <c r="B435" s="15"/>
      <c r="C435" s="10" t="str">
        <f>IF($B435="","",IFERROR(IF(ISNUMBER(FIND("[",$B435)),MID($B435,FIND("[",$B435)+1,FIND("]",$B435)-FIND("[",$B435)-1),IF(ISNUMBER($B435),INDEX(Personnes!$B$5:$B$154,MATCH($B435,Personnes!$A$5:$A$154,0)),IFERROR(INDEX(Personnes!$B$5:$B$154,MATCH($B435&amp;"*",Personnes!$C$5:$C$154,0)),INDEX(Personnes!$B$5:$B$154,MATCH($B435&amp;"*",Personnes!$D$5:$D$154,0))))),""))</f>
        <v/>
      </c>
      <c r="D435" s="10" t="str">
        <f>IFERROR(INDEX(Personnes!$C$5:$C$154,MATCH($C435,Personnes!$B$5:$B$154,0))&amp;"","")</f>
        <v/>
      </c>
      <c r="E435" s="10" t="str">
        <f>IFERROR(INDEX(Personnes!$D$5:$D$154,MATCH($C435,Personnes!$B$5:$B$154,0))&amp;"","")</f>
        <v/>
      </c>
      <c r="F435" s="15"/>
      <c r="G435" s="9"/>
      <c r="H435" s="10" t="str">
        <f>IF($B435="","",IF($C435="","apnéiste non reconnu",IF($A435="","séance non renseignée",IF(COUNTIFS($A$5:$A$504,$A435,$C$5:$C$504,$C435)&gt;1,"doublon séance / apnéiste",IF(OR($C435=IFERROR(INDEX('Calendrier'!$K$5:$K$5,MATCH($A435,'Calendrier'!$A$5:$A$5,0)),""),$C435=IFERROR(INDEX('Calendrier'!$O$5:$O$5,MATCH($A435,'Calendrier'!$A$5:$A$5,0)),"")),"encadrant et élève sur la même séance",IF(IFERROR(INDEX(Personnes!$H$5:$H$154,MATCH($C435,Personnes!$B$5:$B$154,0)),"")&lt;&gt;"oui","invité (hors ligne)","ok"))))))</f>
        <v/>
      </c>
    </row>
    <row r="436" spans="1:8" x14ac:dyDescent="0.2">
      <c r="A436" s="15"/>
      <c r="B436" s="15"/>
      <c r="C436" s="10" t="str">
        <f>IF($B436="","",IFERROR(IF(ISNUMBER(FIND("[",$B436)),MID($B436,FIND("[",$B436)+1,FIND("]",$B436)-FIND("[",$B436)-1),IF(ISNUMBER($B436),INDEX(Personnes!$B$5:$B$154,MATCH($B436,Personnes!$A$5:$A$154,0)),IFERROR(INDEX(Personnes!$B$5:$B$154,MATCH($B436&amp;"*",Personnes!$C$5:$C$154,0)),INDEX(Personnes!$B$5:$B$154,MATCH($B436&amp;"*",Personnes!$D$5:$D$154,0))))),""))</f>
        <v/>
      </c>
      <c r="D436" s="10" t="str">
        <f>IFERROR(INDEX(Personnes!$C$5:$C$154,MATCH($C436,Personnes!$B$5:$B$154,0))&amp;"","")</f>
        <v/>
      </c>
      <c r="E436" s="10" t="str">
        <f>IFERROR(INDEX(Personnes!$D$5:$D$154,MATCH($C436,Personnes!$B$5:$B$154,0))&amp;"","")</f>
        <v/>
      </c>
      <c r="F436" s="15"/>
      <c r="G436" s="9"/>
      <c r="H436" s="10" t="str">
        <f>IF($B436="","",IF($C436="","apnéiste non reconnu",IF($A436="","séance non renseignée",IF(COUNTIFS($A$5:$A$504,$A436,$C$5:$C$504,$C436)&gt;1,"doublon séance / apnéiste",IF(OR($C436=IFERROR(INDEX('Calendrier'!$K$5:$K$5,MATCH($A436,'Calendrier'!$A$5:$A$5,0)),""),$C436=IFERROR(INDEX('Calendrier'!$O$5:$O$5,MATCH($A436,'Calendrier'!$A$5:$A$5,0)),"")),"encadrant et élève sur la même séance",IF(IFERROR(INDEX(Personnes!$H$5:$H$154,MATCH($C436,Personnes!$B$5:$B$154,0)),"")&lt;&gt;"oui","invité (hors ligne)","ok"))))))</f>
        <v/>
      </c>
    </row>
    <row r="437" spans="1:8" x14ac:dyDescent="0.2">
      <c r="A437" s="15"/>
      <c r="B437" s="15"/>
      <c r="C437" s="10" t="str">
        <f>IF($B437="","",IFERROR(IF(ISNUMBER(FIND("[",$B437)),MID($B437,FIND("[",$B437)+1,FIND("]",$B437)-FIND("[",$B437)-1),IF(ISNUMBER($B437),INDEX(Personnes!$B$5:$B$154,MATCH($B437,Personnes!$A$5:$A$154,0)),IFERROR(INDEX(Personnes!$B$5:$B$154,MATCH($B437&amp;"*",Personnes!$C$5:$C$154,0)),INDEX(Personnes!$B$5:$B$154,MATCH($B437&amp;"*",Personnes!$D$5:$D$154,0))))),""))</f>
        <v/>
      </c>
      <c r="D437" s="10" t="str">
        <f>IFERROR(INDEX(Personnes!$C$5:$C$154,MATCH($C437,Personnes!$B$5:$B$154,0))&amp;"","")</f>
        <v/>
      </c>
      <c r="E437" s="10" t="str">
        <f>IFERROR(INDEX(Personnes!$D$5:$D$154,MATCH($C437,Personnes!$B$5:$B$154,0))&amp;"","")</f>
        <v/>
      </c>
      <c r="F437" s="15"/>
      <c r="G437" s="9"/>
      <c r="H437" s="10" t="str">
        <f>IF($B437="","",IF($C437="","apnéiste non reconnu",IF($A437="","séance non renseignée",IF(COUNTIFS($A$5:$A$504,$A437,$C$5:$C$504,$C437)&gt;1,"doublon séance / apnéiste",IF(OR($C437=IFERROR(INDEX('Calendrier'!$K$5:$K$5,MATCH($A437,'Calendrier'!$A$5:$A$5,0)),""),$C437=IFERROR(INDEX('Calendrier'!$O$5:$O$5,MATCH($A437,'Calendrier'!$A$5:$A$5,0)),"")),"encadrant et élève sur la même séance",IF(IFERROR(INDEX(Personnes!$H$5:$H$154,MATCH($C437,Personnes!$B$5:$B$154,0)),"")&lt;&gt;"oui","invité (hors ligne)","ok"))))))</f>
        <v/>
      </c>
    </row>
    <row r="438" spans="1:8" x14ac:dyDescent="0.2">
      <c r="A438" s="15"/>
      <c r="B438" s="15"/>
      <c r="C438" s="10" t="str">
        <f>IF($B438="","",IFERROR(IF(ISNUMBER(FIND("[",$B438)),MID($B438,FIND("[",$B438)+1,FIND("]",$B438)-FIND("[",$B438)-1),IF(ISNUMBER($B438),INDEX(Personnes!$B$5:$B$154,MATCH($B438,Personnes!$A$5:$A$154,0)),IFERROR(INDEX(Personnes!$B$5:$B$154,MATCH($B438&amp;"*",Personnes!$C$5:$C$154,0)),INDEX(Personnes!$B$5:$B$154,MATCH($B438&amp;"*",Personnes!$D$5:$D$154,0))))),""))</f>
        <v/>
      </c>
      <c r="D438" s="10" t="str">
        <f>IFERROR(INDEX(Personnes!$C$5:$C$154,MATCH($C438,Personnes!$B$5:$B$154,0))&amp;"","")</f>
        <v/>
      </c>
      <c r="E438" s="10" t="str">
        <f>IFERROR(INDEX(Personnes!$D$5:$D$154,MATCH($C438,Personnes!$B$5:$B$154,0))&amp;"","")</f>
        <v/>
      </c>
      <c r="F438" s="15"/>
      <c r="G438" s="9"/>
      <c r="H438" s="10" t="str">
        <f>IF($B438="","",IF($C438="","apnéiste non reconnu",IF($A438="","séance non renseignée",IF(COUNTIFS($A$5:$A$504,$A438,$C$5:$C$504,$C438)&gt;1,"doublon séance / apnéiste",IF(OR($C438=IFERROR(INDEX('Calendrier'!$K$5:$K$5,MATCH($A438,'Calendrier'!$A$5:$A$5,0)),""),$C438=IFERROR(INDEX('Calendrier'!$O$5:$O$5,MATCH($A438,'Calendrier'!$A$5:$A$5,0)),"")),"encadrant et élève sur la même séance",IF(IFERROR(INDEX(Personnes!$H$5:$H$154,MATCH($C438,Personnes!$B$5:$B$154,0)),"")&lt;&gt;"oui","invité (hors ligne)","ok"))))))</f>
        <v/>
      </c>
    </row>
    <row r="439" spans="1:8" x14ac:dyDescent="0.2">
      <c r="A439" s="15"/>
      <c r="B439" s="15"/>
      <c r="C439" s="10" t="str">
        <f>IF($B439="","",IFERROR(IF(ISNUMBER(FIND("[",$B439)),MID($B439,FIND("[",$B439)+1,FIND("]",$B439)-FIND("[",$B439)-1),IF(ISNUMBER($B439),INDEX(Personnes!$B$5:$B$154,MATCH($B439,Personnes!$A$5:$A$154,0)),IFERROR(INDEX(Personnes!$B$5:$B$154,MATCH($B439&amp;"*",Personnes!$C$5:$C$154,0)),INDEX(Personnes!$B$5:$B$154,MATCH($B439&amp;"*",Personnes!$D$5:$D$154,0))))),""))</f>
        <v/>
      </c>
      <c r="D439" s="10" t="str">
        <f>IFERROR(INDEX(Personnes!$C$5:$C$154,MATCH($C439,Personnes!$B$5:$B$154,0))&amp;"","")</f>
        <v/>
      </c>
      <c r="E439" s="10" t="str">
        <f>IFERROR(INDEX(Personnes!$D$5:$D$154,MATCH($C439,Personnes!$B$5:$B$154,0))&amp;"","")</f>
        <v/>
      </c>
      <c r="F439" s="15"/>
      <c r="G439" s="9"/>
      <c r="H439" s="10" t="str">
        <f>IF($B439="","",IF($C439="","apnéiste non reconnu",IF($A439="","séance non renseignée",IF(COUNTIFS($A$5:$A$504,$A439,$C$5:$C$504,$C439)&gt;1,"doublon séance / apnéiste",IF(OR($C439=IFERROR(INDEX('Calendrier'!$K$5:$K$5,MATCH($A439,'Calendrier'!$A$5:$A$5,0)),""),$C439=IFERROR(INDEX('Calendrier'!$O$5:$O$5,MATCH($A439,'Calendrier'!$A$5:$A$5,0)),"")),"encadrant et élève sur la même séance",IF(IFERROR(INDEX(Personnes!$H$5:$H$154,MATCH($C439,Personnes!$B$5:$B$154,0)),"")&lt;&gt;"oui","invité (hors ligne)","ok"))))))</f>
        <v/>
      </c>
    </row>
    <row r="440" spans="1:8" x14ac:dyDescent="0.2">
      <c r="A440" s="15"/>
      <c r="B440" s="15"/>
      <c r="C440" s="10" t="str">
        <f>IF($B440="","",IFERROR(IF(ISNUMBER(FIND("[",$B440)),MID($B440,FIND("[",$B440)+1,FIND("]",$B440)-FIND("[",$B440)-1),IF(ISNUMBER($B440),INDEX(Personnes!$B$5:$B$154,MATCH($B440,Personnes!$A$5:$A$154,0)),IFERROR(INDEX(Personnes!$B$5:$B$154,MATCH($B440&amp;"*",Personnes!$C$5:$C$154,0)),INDEX(Personnes!$B$5:$B$154,MATCH($B440&amp;"*",Personnes!$D$5:$D$154,0))))),""))</f>
        <v/>
      </c>
      <c r="D440" s="10" t="str">
        <f>IFERROR(INDEX(Personnes!$C$5:$C$154,MATCH($C440,Personnes!$B$5:$B$154,0))&amp;"","")</f>
        <v/>
      </c>
      <c r="E440" s="10" t="str">
        <f>IFERROR(INDEX(Personnes!$D$5:$D$154,MATCH($C440,Personnes!$B$5:$B$154,0))&amp;"","")</f>
        <v/>
      </c>
      <c r="F440" s="15"/>
      <c r="G440" s="9"/>
      <c r="H440" s="10" t="str">
        <f>IF($B440="","",IF($C440="","apnéiste non reconnu",IF($A440="","séance non renseignée",IF(COUNTIFS($A$5:$A$504,$A440,$C$5:$C$504,$C440)&gt;1,"doublon séance / apnéiste",IF(OR($C440=IFERROR(INDEX('Calendrier'!$K$5:$K$5,MATCH($A440,'Calendrier'!$A$5:$A$5,0)),""),$C440=IFERROR(INDEX('Calendrier'!$O$5:$O$5,MATCH($A440,'Calendrier'!$A$5:$A$5,0)),"")),"encadrant et élève sur la même séance",IF(IFERROR(INDEX(Personnes!$H$5:$H$154,MATCH($C440,Personnes!$B$5:$B$154,0)),"")&lt;&gt;"oui","invité (hors ligne)","ok"))))))</f>
        <v/>
      </c>
    </row>
    <row r="441" spans="1:8" x14ac:dyDescent="0.2">
      <c r="A441" s="15"/>
      <c r="B441" s="15"/>
      <c r="C441" s="10" t="str">
        <f>IF($B441="","",IFERROR(IF(ISNUMBER(FIND("[",$B441)),MID($B441,FIND("[",$B441)+1,FIND("]",$B441)-FIND("[",$B441)-1),IF(ISNUMBER($B441),INDEX(Personnes!$B$5:$B$154,MATCH($B441,Personnes!$A$5:$A$154,0)),IFERROR(INDEX(Personnes!$B$5:$B$154,MATCH($B441&amp;"*",Personnes!$C$5:$C$154,0)),INDEX(Personnes!$B$5:$B$154,MATCH($B441&amp;"*",Personnes!$D$5:$D$154,0))))),""))</f>
        <v/>
      </c>
      <c r="D441" s="10" t="str">
        <f>IFERROR(INDEX(Personnes!$C$5:$C$154,MATCH($C441,Personnes!$B$5:$B$154,0))&amp;"","")</f>
        <v/>
      </c>
      <c r="E441" s="10" t="str">
        <f>IFERROR(INDEX(Personnes!$D$5:$D$154,MATCH($C441,Personnes!$B$5:$B$154,0))&amp;"","")</f>
        <v/>
      </c>
      <c r="F441" s="15"/>
      <c r="G441" s="9"/>
      <c r="H441" s="10" t="str">
        <f>IF($B441="","",IF($C441="","apnéiste non reconnu",IF($A441="","séance non renseignée",IF(COUNTIFS($A$5:$A$504,$A441,$C$5:$C$504,$C441)&gt;1,"doublon séance / apnéiste",IF(OR($C441=IFERROR(INDEX('Calendrier'!$K$5:$K$5,MATCH($A441,'Calendrier'!$A$5:$A$5,0)),""),$C441=IFERROR(INDEX('Calendrier'!$O$5:$O$5,MATCH($A441,'Calendrier'!$A$5:$A$5,0)),"")),"encadrant et élève sur la même séance",IF(IFERROR(INDEX(Personnes!$H$5:$H$154,MATCH($C441,Personnes!$B$5:$B$154,0)),"")&lt;&gt;"oui","invité (hors ligne)","ok"))))))</f>
        <v/>
      </c>
    </row>
    <row r="442" spans="1:8" x14ac:dyDescent="0.2">
      <c r="A442" s="15"/>
      <c r="B442" s="15"/>
      <c r="C442" s="10" t="str">
        <f>IF($B442="","",IFERROR(IF(ISNUMBER(FIND("[",$B442)),MID($B442,FIND("[",$B442)+1,FIND("]",$B442)-FIND("[",$B442)-1),IF(ISNUMBER($B442),INDEX(Personnes!$B$5:$B$154,MATCH($B442,Personnes!$A$5:$A$154,0)),IFERROR(INDEX(Personnes!$B$5:$B$154,MATCH($B442&amp;"*",Personnes!$C$5:$C$154,0)),INDEX(Personnes!$B$5:$B$154,MATCH($B442&amp;"*",Personnes!$D$5:$D$154,0))))),""))</f>
        <v/>
      </c>
      <c r="D442" s="10" t="str">
        <f>IFERROR(INDEX(Personnes!$C$5:$C$154,MATCH($C442,Personnes!$B$5:$B$154,0))&amp;"","")</f>
        <v/>
      </c>
      <c r="E442" s="10" t="str">
        <f>IFERROR(INDEX(Personnes!$D$5:$D$154,MATCH($C442,Personnes!$B$5:$B$154,0))&amp;"","")</f>
        <v/>
      </c>
      <c r="F442" s="15"/>
      <c r="G442" s="9"/>
      <c r="H442" s="10" t="str">
        <f>IF($B442="","",IF($C442="","apnéiste non reconnu",IF($A442="","séance non renseignée",IF(COUNTIFS($A$5:$A$504,$A442,$C$5:$C$504,$C442)&gt;1,"doublon séance / apnéiste",IF(OR($C442=IFERROR(INDEX('Calendrier'!$K$5:$K$5,MATCH($A442,'Calendrier'!$A$5:$A$5,0)),""),$C442=IFERROR(INDEX('Calendrier'!$O$5:$O$5,MATCH($A442,'Calendrier'!$A$5:$A$5,0)),"")),"encadrant et élève sur la même séance",IF(IFERROR(INDEX(Personnes!$H$5:$H$154,MATCH($C442,Personnes!$B$5:$B$154,0)),"")&lt;&gt;"oui","invité (hors ligne)","ok"))))))</f>
        <v/>
      </c>
    </row>
    <row r="443" spans="1:8" x14ac:dyDescent="0.2">
      <c r="A443" s="15"/>
      <c r="B443" s="15"/>
      <c r="C443" s="10" t="str">
        <f>IF($B443="","",IFERROR(IF(ISNUMBER(FIND("[",$B443)),MID($B443,FIND("[",$B443)+1,FIND("]",$B443)-FIND("[",$B443)-1),IF(ISNUMBER($B443),INDEX(Personnes!$B$5:$B$154,MATCH($B443,Personnes!$A$5:$A$154,0)),IFERROR(INDEX(Personnes!$B$5:$B$154,MATCH($B443&amp;"*",Personnes!$C$5:$C$154,0)),INDEX(Personnes!$B$5:$B$154,MATCH($B443&amp;"*",Personnes!$D$5:$D$154,0))))),""))</f>
        <v/>
      </c>
      <c r="D443" s="10" t="str">
        <f>IFERROR(INDEX(Personnes!$C$5:$C$154,MATCH($C443,Personnes!$B$5:$B$154,0))&amp;"","")</f>
        <v/>
      </c>
      <c r="E443" s="10" t="str">
        <f>IFERROR(INDEX(Personnes!$D$5:$D$154,MATCH($C443,Personnes!$B$5:$B$154,0))&amp;"","")</f>
        <v/>
      </c>
      <c r="F443" s="15"/>
      <c r="G443" s="9"/>
      <c r="H443" s="10" t="str">
        <f>IF($B443="","",IF($C443="","apnéiste non reconnu",IF($A443="","séance non renseignée",IF(COUNTIFS($A$5:$A$504,$A443,$C$5:$C$504,$C443)&gt;1,"doublon séance / apnéiste",IF(OR($C443=IFERROR(INDEX('Calendrier'!$K$5:$K$5,MATCH($A443,'Calendrier'!$A$5:$A$5,0)),""),$C443=IFERROR(INDEX('Calendrier'!$O$5:$O$5,MATCH($A443,'Calendrier'!$A$5:$A$5,0)),"")),"encadrant et élève sur la même séance",IF(IFERROR(INDEX(Personnes!$H$5:$H$154,MATCH($C443,Personnes!$B$5:$B$154,0)),"")&lt;&gt;"oui","invité (hors ligne)","ok"))))))</f>
        <v/>
      </c>
    </row>
    <row r="444" spans="1:8" x14ac:dyDescent="0.2">
      <c r="A444" s="15"/>
      <c r="B444" s="15"/>
      <c r="C444" s="10" t="str">
        <f>IF($B444="","",IFERROR(IF(ISNUMBER(FIND("[",$B444)),MID($B444,FIND("[",$B444)+1,FIND("]",$B444)-FIND("[",$B444)-1),IF(ISNUMBER($B444),INDEX(Personnes!$B$5:$B$154,MATCH($B444,Personnes!$A$5:$A$154,0)),IFERROR(INDEX(Personnes!$B$5:$B$154,MATCH($B444&amp;"*",Personnes!$C$5:$C$154,0)),INDEX(Personnes!$B$5:$B$154,MATCH($B444&amp;"*",Personnes!$D$5:$D$154,0))))),""))</f>
        <v/>
      </c>
      <c r="D444" s="10" t="str">
        <f>IFERROR(INDEX(Personnes!$C$5:$C$154,MATCH($C444,Personnes!$B$5:$B$154,0))&amp;"","")</f>
        <v/>
      </c>
      <c r="E444" s="10" t="str">
        <f>IFERROR(INDEX(Personnes!$D$5:$D$154,MATCH($C444,Personnes!$B$5:$B$154,0))&amp;"","")</f>
        <v/>
      </c>
      <c r="F444" s="15"/>
      <c r="G444" s="9"/>
      <c r="H444" s="10" t="str">
        <f>IF($B444="","",IF($C444="","apnéiste non reconnu",IF($A444="","séance non renseignée",IF(COUNTIFS($A$5:$A$504,$A444,$C$5:$C$504,$C444)&gt;1,"doublon séance / apnéiste",IF(OR($C444=IFERROR(INDEX('Calendrier'!$K$5:$K$5,MATCH($A444,'Calendrier'!$A$5:$A$5,0)),""),$C444=IFERROR(INDEX('Calendrier'!$O$5:$O$5,MATCH($A444,'Calendrier'!$A$5:$A$5,0)),"")),"encadrant et élève sur la même séance",IF(IFERROR(INDEX(Personnes!$H$5:$H$154,MATCH($C444,Personnes!$B$5:$B$154,0)),"")&lt;&gt;"oui","invité (hors ligne)","ok"))))))</f>
        <v/>
      </c>
    </row>
    <row r="445" spans="1:8" x14ac:dyDescent="0.2">
      <c r="A445" s="15"/>
      <c r="B445" s="15"/>
      <c r="C445" s="10" t="str">
        <f>IF($B445="","",IFERROR(IF(ISNUMBER(FIND("[",$B445)),MID($B445,FIND("[",$B445)+1,FIND("]",$B445)-FIND("[",$B445)-1),IF(ISNUMBER($B445),INDEX(Personnes!$B$5:$B$154,MATCH($B445,Personnes!$A$5:$A$154,0)),IFERROR(INDEX(Personnes!$B$5:$B$154,MATCH($B445&amp;"*",Personnes!$C$5:$C$154,0)),INDEX(Personnes!$B$5:$B$154,MATCH($B445&amp;"*",Personnes!$D$5:$D$154,0))))),""))</f>
        <v/>
      </c>
      <c r="D445" s="10" t="str">
        <f>IFERROR(INDEX(Personnes!$C$5:$C$154,MATCH($C445,Personnes!$B$5:$B$154,0))&amp;"","")</f>
        <v/>
      </c>
      <c r="E445" s="10" t="str">
        <f>IFERROR(INDEX(Personnes!$D$5:$D$154,MATCH($C445,Personnes!$B$5:$B$154,0))&amp;"","")</f>
        <v/>
      </c>
      <c r="F445" s="15"/>
      <c r="G445" s="9"/>
      <c r="H445" s="10" t="str">
        <f>IF($B445="","",IF($C445="","apnéiste non reconnu",IF($A445="","séance non renseignée",IF(COUNTIFS($A$5:$A$504,$A445,$C$5:$C$504,$C445)&gt;1,"doublon séance / apnéiste",IF(OR($C445=IFERROR(INDEX('Calendrier'!$K$5:$K$5,MATCH($A445,'Calendrier'!$A$5:$A$5,0)),""),$C445=IFERROR(INDEX('Calendrier'!$O$5:$O$5,MATCH($A445,'Calendrier'!$A$5:$A$5,0)),"")),"encadrant et élève sur la même séance",IF(IFERROR(INDEX(Personnes!$H$5:$H$154,MATCH($C445,Personnes!$B$5:$B$154,0)),"")&lt;&gt;"oui","invité (hors ligne)","ok"))))))</f>
        <v/>
      </c>
    </row>
    <row r="446" spans="1:8" x14ac:dyDescent="0.2">
      <c r="A446" s="15"/>
      <c r="B446" s="15"/>
      <c r="C446" s="10" t="str">
        <f>IF($B446="","",IFERROR(IF(ISNUMBER(FIND("[",$B446)),MID($B446,FIND("[",$B446)+1,FIND("]",$B446)-FIND("[",$B446)-1),IF(ISNUMBER($B446),INDEX(Personnes!$B$5:$B$154,MATCH($B446,Personnes!$A$5:$A$154,0)),IFERROR(INDEX(Personnes!$B$5:$B$154,MATCH($B446&amp;"*",Personnes!$C$5:$C$154,0)),INDEX(Personnes!$B$5:$B$154,MATCH($B446&amp;"*",Personnes!$D$5:$D$154,0))))),""))</f>
        <v/>
      </c>
      <c r="D446" s="10" t="str">
        <f>IFERROR(INDEX(Personnes!$C$5:$C$154,MATCH($C446,Personnes!$B$5:$B$154,0))&amp;"","")</f>
        <v/>
      </c>
      <c r="E446" s="10" t="str">
        <f>IFERROR(INDEX(Personnes!$D$5:$D$154,MATCH($C446,Personnes!$B$5:$B$154,0))&amp;"","")</f>
        <v/>
      </c>
      <c r="F446" s="15"/>
      <c r="G446" s="9"/>
      <c r="H446" s="10" t="str">
        <f>IF($B446="","",IF($C446="","apnéiste non reconnu",IF($A446="","séance non renseignée",IF(COUNTIFS($A$5:$A$504,$A446,$C$5:$C$504,$C446)&gt;1,"doublon séance / apnéiste",IF(OR($C446=IFERROR(INDEX('Calendrier'!$K$5:$K$5,MATCH($A446,'Calendrier'!$A$5:$A$5,0)),""),$C446=IFERROR(INDEX('Calendrier'!$O$5:$O$5,MATCH($A446,'Calendrier'!$A$5:$A$5,0)),"")),"encadrant et élève sur la même séance",IF(IFERROR(INDEX(Personnes!$H$5:$H$154,MATCH($C446,Personnes!$B$5:$B$154,0)),"")&lt;&gt;"oui","invité (hors ligne)","ok"))))))</f>
        <v/>
      </c>
    </row>
    <row r="447" spans="1:8" x14ac:dyDescent="0.2">
      <c r="A447" s="15"/>
      <c r="B447" s="15"/>
      <c r="C447" s="10" t="str">
        <f>IF($B447="","",IFERROR(IF(ISNUMBER(FIND("[",$B447)),MID($B447,FIND("[",$B447)+1,FIND("]",$B447)-FIND("[",$B447)-1),IF(ISNUMBER($B447),INDEX(Personnes!$B$5:$B$154,MATCH($B447,Personnes!$A$5:$A$154,0)),IFERROR(INDEX(Personnes!$B$5:$B$154,MATCH($B447&amp;"*",Personnes!$C$5:$C$154,0)),INDEX(Personnes!$B$5:$B$154,MATCH($B447&amp;"*",Personnes!$D$5:$D$154,0))))),""))</f>
        <v/>
      </c>
      <c r="D447" s="10" t="str">
        <f>IFERROR(INDEX(Personnes!$C$5:$C$154,MATCH($C447,Personnes!$B$5:$B$154,0))&amp;"","")</f>
        <v/>
      </c>
      <c r="E447" s="10" t="str">
        <f>IFERROR(INDEX(Personnes!$D$5:$D$154,MATCH($C447,Personnes!$B$5:$B$154,0))&amp;"","")</f>
        <v/>
      </c>
      <c r="F447" s="15"/>
      <c r="G447" s="9"/>
      <c r="H447" s="10" t="str">
        <f>IF($B447="","",IF($C447="","apnéiste non reconnu",IF($A447="","séance non renseignée",IF(COUNTIFS($A$5:$A$504,$A447,$C$5:$C$504,$C447)&gt;1,"doublon séance / apnéiste",IF(OR($C447=IFERROR(INDEX('Calendrier'!$K$5:$K$5,MATCH($A447,'Calendrier'!$A$5:$A$5,0)),""),$C447=IFERROR(INDEX('Calendrier'!$O$5:$O$5,MATCH($A447,'Calendrier'!$A$5:$A$5,0)),"")),"encadrant et élève sur la même séance",IF(IFERROR(INDEX(Personnes!$H$5:$H$154,MATCH($C447,Personnes!$B$5:$B$154,0)),"")&lt;&gt;"oui","invité (hors ligne)","ok"))))))</f>
        <v/>
      </c>
    </row>
    <row r="448" spans="1:8" x14ac:dyDescent="0.2">
      <c r="A448" s="15"/>
      <c r="B448" s="15"/>
      <c r="C448" s="10" t="str">
        <f>IF($B448="","",IFERROR(IF(ISNUMBER(FIND("[",$B448)),MID($B448,FIND("[",$B448)+1,FIND("]",$B448)-FIND("[",$B448)-1),IF(ISNUMBER($B448),INDEX(Personnes!$B$5:$B$154,MATCH($B448,Personnes!$A$5:$A$154,0)),IFERROR(INDEX(Personnes!$B$5:$B$154,MATCH($B448&amp;"*",Personnes!$C$5:$C$154,0)),INDEX(Personnes!$B$5:$B$154,MATCH($B448&amp;"*",Personnes!$D$5:$D$154,0))))),""))</f>
        <v/>
      </c>
      <c r="D448" s="10" t="str">
        <f>IFERROR(INDEX(Personnes!$C$5:$C$154,MATCH($C448,Personnes!$B$5:$B$154,0))&amp;"","")</f>
        <v/>
      </c>
      <c r="E448" s="10" t="str">
        <f>IFERROR(INDEX(Personnes!$D$5:$D$154,MATCH($C448,Personnes!$B$5:$B$154,0))&amp;"","")</f>
        <v/>
      </c>
      <c r="F448" s="15"/>
      <c r="G448" s="9"/>
      <c r="H448" s="10" t="str">
        <f>IF($B448="","",IF($C448="","apnéiste non reconnu",IF($A448="","séance non renseignée",IF(COUNTIFS($A$5:$A$504,$A448,$C$5:$C$504,$C448)&gt;1,"doublon séance / apnéiste",IF(OR($C448=IFERROR(INDEX('Calendrier'!$K$5:$K$5,MATCH($A448,'Calendrier'!$A$5:$A$5,0)),""),$C448=IFERROR(INDEX('Calendrier'!$O$5:$O$5,MATCH($A448,'Calendrier'!$A$5:$A$5,0)),"")),"encadrant et élève sur la même séance",IF(IFERROR(INDEX(Personnes!$H$5:$H$154,MATCH($C448,Personnes!$B$5:$B$154,0)),"")&lt;&gt;"oui","invité (hors ligne)","ok"))))))</f>
        <v/>
      </c>
    </row>
    <row r="449" spans="1:8" x14ac:dyDescent="0.2">
      <c r="A449" s="15"/>
      <c r="B449" s="15"/>
      <c r="C449" s="10" t="str">
        <f>IF($B449="","",IFERROR(IF(ISNUMBER(FIND("[",$B449)),MID($B449,FIND("[",$B449)+1,FIND("]",$B449)-FIND("[",$B449)-1),IF(ISNUMBER($B449),INDEX(Personnes!$B$5:$B$154,MATCH($B449,Personnes!$A$5:$A$154,0)),IFERROR(INDEX(Personnes!$B$5:$B$154,MATCH($B449&amp;"*",Personnes!$C$5:$C$154,0)),INDEX(Personnes!$B$5:$B$154,MATCH($B449&amp;"*",Personnes!$D$5:$D$154,0))))),""))</f>
        <v/>
      </c>
      <c r="D449" s="10" t="str">
        <f>IFERROR(INDEX(Personnes!$C$5:$C$154,MATCH($C449,Personnes!$B$5:$B$154,0))&amp;"","")</f>
        <v/>
      </c>
      <c r="E449" s="10" t="str">
        <f>IFERROR(INDEX(Personnes!$D$5:$D$154,MATCH($C449,Personnes!$B$5:$B$154,0))&amp;"","")</f>
        <v/>
      </c>
      <c r="F449" s="15"/>
      <c r="G449" s="9"/>
      <c r="H449" s="10" t="str">
        <f>IF($B449="","",IF($C449="","apnéiste non reconnu",IF($A449="","séance non renseignée",IF(COUNTIFS($A$5:$A$504,$A449,$C$5:$C$504,$C449)&gt;1,"doublon séance / apnéiste",IF(OR($C449=IFERROR(INDEX('Calendrier'!$K$5:$K$5,MATCH($A449,'Calendrier'!$A$5:$A$5,0)),""),$C449=IFERROR(INDEX('Calendrier'!$O$5:$O$5,MATCH($A449,'Calendrier'!$A$5:$A$5,0)),"")),"encadrant et élève sur la même séance",IF(IFERROR(INDEX(Personnes!$H$5:$H$154,MATCH($C449,Personnes!$B$5:$B$154,0)),"")&lt;&gt;"oui","invité (hors ligne)","ok"))))))</f>
        <v/>
      </c>
    </row>
    <row r="450" spans="1:8" x14ac:dyDescent="0.2">
      <c r="A450" s="15"/>
      <c r="B450" s="15"/>
      <c r="C450" s="10" t="str">
        <f>IF($B450="","",IFERROR(IF(ISNUMBER(FIND("[",$B450)),MID($B450,FIND("[",$B450)+1,FIND("]",$B450)-FIND("[",$B450)-1),IF(ISNUMBER($B450),INDEX(Personnes!$B$5:$B$154,MATCH($B450,Personnes!$A$5:$A$154,0)),IFERROR(INDEX(Personnes!$B$5:$B$154,MATCH($B450&amp;"*",Personnes!$C$5:$C$154,0)),INDEX(Personnes!$B$5:$B$154,MATCH($B450&amp;"*",Personnes!$D$5:$D$154,0))))),""))</f>
        <v/>
      </c>
      <c r="D450" s="10" t="str">
        <f>IFERROR(INDEX(Personnes!$C$5:$C$154,MATCH($C450,Personnes!$B$5:$B$154,0))&amp;"","")</f>
        <v/>
      </c>
      <c r="E450" s="10" t="str">
        <f>IFERROR(INDEX(Personnes!$D$5:$D$154,MATCH($C450,Personnes!$B$5:$B$154,0))&amp;"","")</f>
        <v/>
      </c>
      <c r="F450" s="15"/>
      <c r="G450" s="9"/>
      <c r="H450" s="10" t="str">
        <f>IF($B450="","",IF($C450="","apnéiste non reconnu",IF($A450="","séance non renseignée",IF(COUNTIFS($A$5:$A$504,$A450,$C$5:$C$504,$C450)&gt;1,"doublon séance / apnéiste",IF(OR($C450=IFERROR(INDEX('Calendrier'!$K$5:$K$5,MATCH($A450,'Calendrier'!$A$5:$A$5,0)),""),$C450=IFERROR(INDEX('Calendrier'!$O$5:$O$5,MATCH($A450,'Calendrier'!$A$5:$A$5,0)),"")),"encadrant et élève sur la même séance",IF(IFERROR(INDEX(Personnes!$H$5:$H$154,MATCH($C450,Personnes!$B$5:$B$154,0)),"")&lt;&gt;"oui","invité (hors ligne)","ok"))))))</f>
        <v/>
      </c>
    </row>
    <row r="451" spans="1:8" x14ac:dyDescent="0.2">
      <c r="A451" s="15"/>
      <c r="B451" s="15"/>
      <c r="C451" s="10" t="str">
        <f>IF($B451="","",IFERROR(IF(ISNUMBER(FIND("[",$B451)),MID($B451,FIND("[",$B451)+1,FIND("]",$B451)-FIND("[",$B451)-1),IF(ISNUMBER($B451),INDEX(Personnes!$B$5:$B$154,MATCH($B451,Personnes!$A$5:$A$154,0)),IFERROR(INDEX(Personnes!$B$5:$B$154,MATCH($B451&amp;"*",Personnes!$C$5:$C$154,0)),INDEX(Personnes!$B$5:$B$154,MATCH($B451&amp;"*",Personnes!$D$5:$D$154,0))))),""))</f>
        <v/>
      </c>
      <c r="D451" s="10" t="str">
        <f>IFERROR(INDEX(Personnes!$C$5:$C$154,MATCH($C451,Personnes!$B$5:$B$154,0))&amp;"","")</f>
        <v/>
      </c>
      <c r="E451" s="10" t="str">
        <f>IFERROR(INDEX(Personnes!$D$5:$D$154,MATCH($C451,Personnes!$B$5:$B$154,0))&amp;"","")</f>
        <v/>
      </c>
      <c r="F451" s="15"/>
      <c r="G451" s="9"/>
      <c r="H451" s="10" t="str">
        <f>IF($B451="","",IF($C451="","apnéiste non reconnu",IF($A451="","séance non renseignée",IF(COUNTIFS($A$5:$A$504,$A451,$C$5:$C$504,$C451)&gt;1,"doublon séance / apnéiste",IF(OR($C451=IFERROR(INDEX('Calendrier'!$K$5:$K$5,MATCH($A451,'Calendrier'!$A$5:$A$5,0)),""),$C451=IFERROR(INDEX('Calendrier'!$O$5:$O$5,MATCH($A451,'Calendrier'!$A$5:$A$5,0)),"")),"encadrant et élève sur la même séance",IF(IFERROR(INDEX(Personnes!$H$5:$H$154,MATCH($C451,Personnes!$B$5:$B$154,0)),"")&lt;&gt;"oui","invité (hors ligne)","ok"))))))</f>
        <v/>
      </c>
    </row>
    <row r="452" spans="1:8" x14ac:dyDescent="0.2">
      <c r="A452" s="15"/>
      <c r="B452" s="15"/>
      <c r="C452" s="10" t="str">
        <f>IF($B452="","",IFERROR(IF(ISNUMBER(FIND("[",$B452)),MID($B452,FIND("[",$B452)+1,FIND("]",$B452)-FIND("[",$B452)-1),IF(ISNUMBER($B452),INDEX(Personnes!$B$5:$B$154,MATCH($B452,Personnes!$A$5:$A$154,0)),IFERROR(INDEX(Personnes!$B$5:$B$154,MATCH($B452&amp;"*",Personnes!$C$5:$C$154,0)),INDEX(Personnes!$B$5:$B$154,MATCH($B452&amp;"*",Personnes!$D$5:$D$154,0))))),""))</f>
        <v/>
      </c>
      <c r="D452" s="10" t="str">
        <f>IFERROR(INDEX(Personnes!$C$5:$C$154,MATCH($C452,Personnes!$B$5:$B$154,0))&amp;"","")</f>
        <v/>
      </c>
      <c r="E452" s="10" t="str">
        <f>IFERROR(INDEX(Personnes!$D$5:$D$154,MATCH($C452,Personnes!$B$5:$B$154,0))&amp;"","")</f>
        <v/>
      </c>
      <c r="F452" s="15"/>
      <c r="G452" s="9"/>
      <c r="H452" s="10" t="str">
        <f>IF($B452="","",IF($C452="","apnéiste non reconnu",IF($A452="","séance non renseignée",IF(COUNTIFS($A$5:$A$504,$A452,$C$5:$C$504,$C452)&gt;1,"doublon séance / apnéiste",IF(OR($C452=IFERROR(INDEX('Calendrier'!$K$5:$K$5,MATCH($A452,'Calendrier'!$A$5:$A$5,0)),""),$C452=IFERROR(INDEX('Calendrier'!$O$5:$O$5,MATCH($A452,'Calendrier'!$A$5:$A$5,0)),"")),"encadrant et élève sur la même séance",IF(IFERROR(INDEX(Personnes!$H$5:$H$154,MATCH($C452,Personnes!$B$5:$B$154,0)),"")&lt;&gt;"oui","invité (hors ligne)","ok"))))))</f>
        <v/>
      </c>
    </row>
    <row r="453" spans="1:8" x14ac:dyDescent="0.2">
      <c r="A453" s="15"/>
      <c r="B453" s="15"/>
      <c r="C453" s="10" t="str">
        <f>IF($B453="","",IFERROR(IF(ISNUMBER(FIND("[",$B453)),MID($B453,FIND("[",$B453)+1,FIND("]",$B453)-FIND("[",$B453)-1),IF(ISNUMBER($B453),INDEX(Personnes!$B$5:$B$154,MATCH($B453,Personnes!$A$5:$A$154,0)),IFERROR(INDEX(Personnes!$B$5:$B$154,MATCH($B453&amp;"*",Personnes!$C$5:$C$154,0)),INDEX(Personnes!$B$5:$B$154,MATCH($B453&amp;"*",Personnes!$D$5:$D$154,0))))),""))</f>
        <v/>
      </c>
      <c r="D453" s="10" t="str">
        <f>IFERROR(INDEX(Personnes!$C$5:$C$154,MATCH($C453,Personnes!$B$5:$B$154,0))&amp;"","")</f>
        <v/>
      </c>
      <c r="E453" s="10" t="str">
        <f>IFERROR(INDEX(Personnes!$D$5:$D$154,MATCH($C453,Personnes!$B$5:$B$154,0))&amp;"","")</f>
        <v/>
      </c>
      <c r="F453" s="15"/>
      <c r="G453" s="9"/>
      <c r="H453" s="10" t="str">
        <f>IF($B453="","",IF($C453="","apnéiste non reconnu",IF($A453="","séance non renseignée",IF(COUNTIFS($A$5:$A$504,$A453,$C$5:$C$504,$C453)&gt;1,"doublon séance / apnéiste",IF(OR($C453=IFERROR(INDEX('Calendrier'!$K$5:$K$5,MATCH($A453,'Calendrier'!$A$5:$A$5,0)),""),$C453=IFERROR(INDEX('Calendrier'!$O$5:$O$5,MATCH($A453,'Calendrier'!$A$5:$A$5,0)),"")),"encadrant et élève sur la même séance",IF(IFERROR(INDEX(Personnes!$H$5:$H$154,MATCH($C453,Personnes!$B$5:$B$154,0)),"")&lt;&gt;"oui","invité (hors ligne)","ok"))))))</f>
        <v/>
      </c>
    </row>
    <row r="454" spans="1:8" x14ac:dyDescent="0.2">
      <c r="A454" s="15"/>
      <c r="B454" s="15"/>
      <c r="C454" s="10" t="str">
        <f>IF($B454="","",IFERROR(IF(ISNUMBER(FIND("[",$B454)),MID($B454,FIND("[",$B454)+1,FIND("]",$B454)-FIND("[",$B454)-1),IF(ISNUMBER($B454),INDEX(Personnes!$B$5:$B$154,MATCH($B454,Personnes!$A$5:$A$154,0)),IFERROR(INDEX(Personnes!$B$5:$B$154,MATCH($B454&amp;"*",Personnes!$C$5:$C$154,0)),INDEX(Personnes!$B$5:$B$154,MATCH($B454&amp;"*",Personnes!$D$5:$D$154,0))))),""))</f>
        <v/>
      </c>
      <c r="D454" s="10" t="str">
        <f>IFERROR(INDEX(Personnes!$C$5:$C$154,MATCH($C454,Personnes!$B$5:$B$154,0))&amp;"","")</f>
        <v/>
      </c>
      <c r="E454" s="10" t="str">
        <f>IFERROR(INDEX(Personnes!$D$5:$D$154,MATCH($C454,Personnes!$B$5:$B$154,0))&amp;"","")</f>
        <v/>
      </c>
      <c r="F454" s="15"/>
      <c r="G454" s="9"/>
      <c r="H454" s="10" t="str">
        <f>IF($B454="","",IF($C454="","apnéiste non reconnu",IF($A454="","séance non renseignée",IF(COUNTIFS($A$5:$A$504,$A454,$C$5:$C$504,$C454)&gt;1,"doublon séance / apnéiste",IF(OR($C454=IFERROR(INDEX('Calendrier'!$K$5:$K$5,MATCH($A454,'Calendrier'!$A$5:$A$5,0)),""),$C454=IFERROR(INDEX('Calendrier'!$O$5:$O$5,MATCH($A454,'Calendrier'!$A$5:$A$5,0)),"")),"encadrant et élève sur la même séance",IF(IFERROR(INDEX(Personnes!$H$5:$H$154,MATCH($C454,Personnes!$B$5:$B$154,0)),"")&lt;&gt;"oui","invité (hors ligne)","ok"))))))</f>
        <v/>
      </c>
    </row>
    <row r="455" spans="1:8" x14ac:dyDescent="0.2">
      <c r="A455" s="15"/>
      <c r="B455" s="15"/>
      <c r="C455" s="10" t="str">
        <f>IF($B455="","",IFERROR(IF(ISNUMBER(FIND("[",$B455)),MID($B455,FIND("[",$B455)+1,FIND("]",$B455)-FIND("[",$B455)-1),IF(ISNUMBER($B455),INDEX(Personnes!$B$5:$B$154,MATCH($B455,Personnes!$A$5:$A$154,0)),IFERROR(INDEX(Personnes!$B$5:$B$154,MATCH($B455&amp;"*",Personnes!$C$5:$C$154,0)),INDEX(Personnes!$B$5:$B$154,MATCH($B455&amp;"*",Personnes!$D$5:$D$154,0))))),""))</f>
        <v/>
      </c>
      <c r="D455" s="10" t="str">
        <f>IFERROR(INDEX(Personnes!$C$5:$C$154,MATCH($C455,Personnes!$B$5:$B$154,0))&amp;"","")</f>
        <v/>
      </c>
      <c r="E455" s="10" t="str">
        <f>IFERROR(INDEX(Personnes!$D$5:$D$154,MATCH($C455,Personnes!$B$5:$B$154,0))&amp;"","")</f>
        <v/>
      </c>
      <c r="F455" s="15"/>
      <c r="G455" s="9"/>
      <c r="H455" s="10" t="str">
        <f>IF($B455="","",IF($C455="","apnéiste non reconnu",IF($A455="","séance non renseignée",IF(COUNTIFS($A$5:$A$504,$A455,$C$5:$C$504,$C455)&gt;1,"doublon séance / apnéiste",IF(OR($C455=IFERROR(INDEX('Calendrier'!$K$5:$K$5,MATCH($A455,'Calendrier'!$A$5:$A$5,0)),""),$C455=IFERROR(INDEX('Calendrier'!$O$5:$O$5,MATCH($A455,'Calendrier'!$A$5:$A$5,0)),"")),"encadrant et élève sur la même séance",IF(IFERROR(INDEX(Personnes!$H$5:$H$154,MATCH($C455,Personnes!$B$5:$B$154,0)),"")&lt;&gt;"oui","invité (hors ligne)","ok"))))))</f>
        <v/>
      </c>
    </row>
    <row r="456" spans="1:8" x14ac:dyDescent="0.2">
      <c r="A456" s="15"/>
      <c r="B456" s="15"/>
      <c r="C456" s="10" t="str">
        <f>IF($B456="","",IFERROR(IF(ISNUMBER(FIND("[",$B456)),MID($B456,FIND("[",$B456)+1,FIND("]",$B456)-FIND("[",$B456)-1),IF(ISNUMBER($B456),INDEX(Personnes!$B$5:$B$154,MATCH($B456,Personnes!$A$5:$A$154,0)),IFERROR(INDEX(Personnes!$B$5:$B$154,MATCH($B456&amp;"*",Personnes!$C$5:$C$154,0)),INDEX(Personnes!$B$5:$B$154,MATCH($B456&amp;"*",Personnes!$D$5:$D$154,0))))),""))</f>
        <v/>
      </c>
      <c r="D456" s="10" t="str">
        <f>IFERROR(INDEX(Personnes!$C$5:$C$154,MATCH($C456,Personnes!$B$5:$B$154,0))&amp;"","")</f>
        <v/>
      </c>
      <c r="E456" s="10" t="str">
        <f>IFERROR(INDEX(Personnes!$D$5:$D$154,MATCH($C456,Personnes!$B$5:$B$154,0))&amp;"","")</f>
        <v/>
      </c>
      <c r="F456" s="15"/>
      <c r="G456" s="9"/>
      <c r="H456" s="10" t="str">
        <f>IF($B456="","",IF($C456="","apnéiste non reconnu",IF($A456="","séance non renseignée",IF(COUNTIFS($A$5:$A$504,$A456,$C$5:$C$504,$C456)&gt;1,"doublon séance / apnéiste",IF(OR($C456=IFERROR(INDEX('Calendrier'!$K$5:$K$5,MATCH($A456,'Calendrier'!$A$5:$A$5,0)),""),$C456=IFERROR(INDEX('Calendrier'!$O$5:$O$5,MATCH($A456,'Calendrier'!$A$5:$A$5,0)),"")),"encadrant et élève sur la même séance",IF(IFERROR(INDEX(Personnes!$H$5:$H$154,MATCH($C456,Personnes!$B$5:$B$154,0)),"")&lt;&gt;"oui","invité (hors ligne)","ok"))))))</f>
        <v/>
      </c>
    </row>
    <row r="457" spans="1:8" x14ac:dyDescent="0.2">
      <c r="A457" s="15"/>
      <c r="B457" s="15"/>
      <c r="C457" s="10" t="str">
        <f>IF($B457="","",IFERROR(IF(ISNUMBER(FIND("[",$B457)),MID($B457,FIND("[",$B457)+1,FIND("]",$B457)-FIND("[",$B457)-1),IF(ISNUMBER($B457),INDEX(Personnes!$B$5:$B$154,MATCH($B457,Personnes!$A$5:$A$154,0)),IFERROR(INDEX(Personnes!$B$5:$B$154,MATCH($B457&amp;"*",Personnes!$C$5:$C$154,0)),INDEX(Personnes!$B$5:$B$154,MATCH($B457&amp;"*",Personnes!$D$5:$D$154,0))))),""))</f>
        <v/>
      </c>
      <c r="D457" s="10" t="str">
        <f>IFERROR(INDEX(Personnes!$C$5:$C$154,MATCH($C457,Personnes!$B$5:$B$154,0))&amp;"","")</f>
        <v/>
      </c>
      <c r="E457" s="10" t="str">
        <f>IFERROR(INDEX(Personnes!$D$5:$D$154,MATCH($C457,Personnes!$B$5:$B$154,0))&amp;"","")</f>
        <v/>
      </c>
      <c r="F457" s="15"/>
      <c r="G457" s="9"/>
      <c r="H457" s="10" t="str">
        <f>IF($B457="","",IF($C457="","apnéiste non reconnu",IF($A457="","séance non renseignée",IF(COUNTIFS($A$5:$A$504,$A457,$C$5:$C$504,$C457)&gt;1,"doublon séance / apnéiste",IF(OR($C457=IFERROR(INDEX('Calendrier'!$K$5:$K$5,MATCH($A457,'Calendrier'!$A$5:$A$5,0)),""),$C457=IFERROR(INDEX('Calendrier'!$O$5:$O$5,MATCH($A457,'Calendrier'!$A$5:$A$5,0)),"")),"encadrant et élève sur la même séance",IF(IFERROR(INDEX(Personnes!$H$5:$H$154,MATCH($C457,Personnes!$B$5:$B$154,0)),"")&lt;&gt;"oui","invité (hors ligne)","ok"))))))</f>
        <v/>
      </c>
    </row>
    <row r="458" spans="1:8" x14ac:dyDescent="0.2">
      <c r="A458" s="15"/>
      <c r="B458" s="15"/>
      <c r="C458" s="10" t="str">
        <f>IF($B458="","",IFERROR(IF(ISNUMBER(FIND("[",$B458)),MID($B458,FIND("[",$B458)+1,FIND("]",$B458)-FIND("[",$B458)-1),IF(ISNUMBER($B458),INDEX(Personnes!$B$5:$B$154,MATCH($B458,Personnes!$A$5:$A$154,0)),IFERROR(INDEX(Personnes!$B$5:$B$154,MATCH($B458&amp;"*",Personnes!$C$5:$C$154,0)),INDEX(Personnes!$B$5:$B$154,MATCH($B458&amp;"*",Personnes!$D$5:$D$154,0))))),""))</f>
        <v/>
      </c>
      <c r="D458" s="10" t="str">
        <f>IFERROR(INDEX(Personnes!$C$5:$C$154,MATCH($C458,Personnes!$B$5:$B$154,0))&amp;"","")</f>
        <v/>
      </c>
      <c r="E458" s="10" t="str">
        <f>IFERROR(INDEX(Personnes!$D$5:$D$154,MATCH($C458,Personnes!$B$5:$B$154,0))&amp;"","")</f>
        <v/>
      </c>
      <c r="F458" s="15"/>
      <c r="G458" s="9"/>
      <c r="H458" s="10" t="str">
        <f>IF($B458="","",IF($C458="","apnéiste non reconnu",IF($A458="","séance non renseignée",IF(COUNTIFS($A$5:$A$504,$A458,$C$5:$C$504,$C458)&gt;1,"doublon séance / apnéiste",IF(OR($C458=IFERROR(INDEX('Calendrier'!$K$5:$K$5,MATCH($A458,'Calendrier'!$A$5:$A$5,0)),""),$C458=IFERROR(INDEX('Calendrier'!$O$5:$O$5,MATCH($A458,'Calendrier'!$A$5:$A$5,0)),"")),"encadrant et élève sur la même séance",IF(IFERROR(INDEX(Personnes!$H$5:$H$154,MATCH($C458,Personnes!$B$5:$B$154,0)),"")&lt;&gt;"oui","invité (hors ligne)","ok"))))))</f>
        <v/>
      </c>
    </row>
    <row r="459" spans="1:8" x14ac:dyDescent="0.2">
      <c r="A459" s="15"/>
      <c r="B459" s="15"/>
      <c r="C459" s="10" t="str">
        <f>IF($B459="","",IFERROR(IF(ISNUMBER(FIND("[",$B459)),MID($B459,FIND("[",$B459)+1,FIND("]",$B459)-FIND("[",$B459)-1),IF(ISNUMBER($B459),INDEX(Personnes!$B$5:$B$154,MATCH($B459,Personnes!$A$5:$A$154,0)),IFERROR(INDEX(Personnes!$B$5:$B$154,MATCH($B459&amp;"*",Personnes!$C$5:$C$154,0)),INDEX(Personnes!$B$5:$B$154,MATCH($B459&amp;"*",Personnes!$D$5:$D$154,0))))),""))</f>
        <v/>
      </c>
      <c r="D459" s="10" t="str">
        <f>IFERROR(INDEX(Personnes!$C$5:$C$154,MATCH($C459,Personnes!$B$5:$B$154,0))&amp;"","")</f>
        <v/>
      </c>
      <c r="E459" s="10" t="str">
        <f>IFERROR(INDEX(Personnes!$D$5:$D$154,MATCH($C459,Personnes!$B$5:$B$154,0))&amp;"","")</f>
        <v/>
      </c>
      <c r="F459" s="15"/>
      <c r="G459" s="9"/>
      <c r="H459" s="10" t="str">
        <f>IF($B459="","",IF($C459="","apnéiste non reconnu",IF($A459="","séance non renseignée",IF(COUNTIFS($A$5:$A$504,$A459,$C$5:$C$504,$C459)&gt;1,"doublon séance / apnéiste",IF(OR($C459=IFERROR(INDEX('Calendrier'!$K$5:$K$5,MATCH($A459,'Calendrier'!$A$5:$A$5,0)),""),$C459=IFERROR(INDEX('Calendrier'!$O$5:$O$5,MATCH($A459,'Calendrier'!$A$5:$A$5,0)),"")),"encadrant et élève sur la même séance",IF(IFERROR(INDEX(Personnes!$H$5:$H$154,MATCH($C459,Personnes!$B$5:$B$154,0)),"")&lt;&gt;"oui","invité (hors ligne)","ok"))))))</f>
        <v/>
      </c>
    </row>
    <row r="460" spans="1:8" x14ac:dyDescent="0.2">
      <c r="A460" s="15"/>
      <c r="B460" s="15"/>
      <c r="C460" s="10" t="str">
        <f>IF($B460="","",IFERROR(IF(ISNUMBER(FIND("[",$B460)),MID($B460,FIND("[",$B460)+1,FIND("]",$B460)-FIND("[",$B460)-1),IF(ISNUMBER($B460),INDEX(Personnes!$B$5:$B$154,MATCH($B460,Personnes!$A$5:$A$154,0)),IFERROR(INDEX(Personnes!$B$5:$B$154,MATCH($B460&amp;"*",Personnes!$C$5:$C$154,0)),INDEX(Personnes!$B$5:$B$154,MATCH($B460&amp;"*",Personnes!$D$5:$D$154,0))))),""))</f>
        <v/>
      </c>
      <c r="D460" s="10" t="str">
        <f>IFERROR(INDEX(Personnes!$C$5:$C$154,MATCH($C460,Personnes!$B$5:$B$154,0))&amp;"","")</f>
        <v/>
      </c>
      <c r="E460" s="10" t="str">
        <f>IFERROR(INDEX(Personnes!$D$5:$D$154,MATCH($C460,Personnes!$B$5:$B$154,0))&amp;"","")</f>
        <v/>
      </c>
      <c r="F460" s="15"/>
      <c r="G460" s="9"/>
      <c r="H460" s="10" t="str">
        <f>IF($B460="","",IF($C460="","apnéiste non reconnu",IF($A460="","séance non renseignée",IF(COUNTIFS($A$5:$A$504,$A460,$C$5:$C$504,$C460)&gt;1,"doublon séance / apnéiste",IF(OR($C460=IFERROR(INDEX('Calendrier'!$K$5:$K$5,MATCH($A460,'Calendrier'!$A$5:$A$5,0)),""),$C460=IFERROR(INDEX('Calendrier'!$O$5:$O$5,MATCH($A460,'Calendrier'!$A$5:$A$5,0)),"")),"encadrant et élève sur la même séance",IF(IFERROR(INDEX(Personnes!$H$5:$H$154,MATCH($C460,Personnes!$B$5:$B$154,0)),"")&lt;&gt;"oui","invité (hors ligne)","ok"))))))</f>
        <v/>
      </c>
    </row>
    <row r="461" spans="1:8" x14ac:dyDescent="0.2">
      <c r="A461" s="15"/>
      <c r="B461" s="15"/>
      <c r="C461" s="10" t="str">
        <f>IF($B461="","",IFERROR(IF(ISNUMBER(FIND("[",$B461)),MID($B461,FIND("[",$B461)+1,FIND("]",$B461)-FIND("[",$B461)-1),IF(ISNUMBER($B461),INDEX(Personnes!$B$5:$B$154,MATCH($B461,Personnes!$A$5:$A$154,0)),IFERROR(INDEX(Personnes!$B$5:$B$154,MATCH($B461&amp;"*",Personnes!$C$5:$C$154,0)),INDEX(Personnes!$B$5:$B$154,MATCH($B461&amp;"*",Personnes!$D$5:$D$154,0))))),""))</f>
        <v/>
      </c>
      <c r="D461" s="10" t="str">
        <f>IFERROR(INDEX(Personnes!$C$5:$C$154,MATCH($C461,Personnes!$B$5:$B$154,0))&amp;"","")</f>
        <v/>
      </c>
      <c r="E461" s="10" t="str">
        <f>IFERROR(INDEX(Personnes!$D$5:$D$154,MATCH($C461,Personnes!$B$5:$B$154,0))&amp;"","")</f>
        <v/>
      </c>
      <c r="F461" s="15"/>
      <c r="G461" s="9"/>
      <c r="H461" s="10" t="str">
        <f>IF($B461="","",IF($C461="","apnéiste non reconnu",IF($A461="","séance non renseignée",IF(COUNTIFS($A$5:$A$504,$A461,$C$5:$C$504,$C461)&gt;1,"doublon séance / apnéiste",IF(OR($C461=IFERROR(INDEX('Calendrier'!$K$5:$K$5,MATCH($A461,'Calendrier'!$A$5:$A$5,0)),""),$C461=IFERROR(INDEX('Calendrier'!$O$5:$O$5,MATCH($A461,'Calendrier'!$A$5:$A$5,0)),"")),"encadrant et élève sur la même séance",IF(IFERROR(INDEX(Personnes!$H$5:$H$154,MATCH($C461,Personnes!$B$5:$B$154,0)),"")&lt;&gt;"oui","invité (hors ligne)","ok"))))))</f>
        <v/>
      </c>
    </row>
    <row r="462" spans="1:8" x14ac:dyDescent="0.2">
      <c r="A462" s="15"/>
      <c r="B462" s="15"/>
      <c r="C462" s="10" t="str">
        <f>IF($B462="","",IFERROR(IF(ISNUMBER(FIND("[",$B462)),MID($B462,FIND("[",$B462)+1,FIND("]",$B462)-FIND("[",$B462)-1),IF(ISNUMBER($B462),INDEX(Personnes!$B$5:$B$154,MATCH($B462,Personnes!$A$5:$A$154,0)),IFERROR(INDEX(Personnes!$B$5:$B$154,MATCH($B462&amp;"*",Personnes!$C$5:$C$154,0)),INDEX(Personnes!$B$5:$B$154,MATCH($B462&amp;"*",Personnes!$D$5:$D$154,0))))),""))</f>
        <v/>
      </c>
      <c r="D462" s="10" t="str">
        <f>IFERROR(INDEX(Personnes!$C$5:$C$154,MATCH($C462,Personnes!$B$5:$B$154,0))&amp;"","")</f>
        <v/>
      </c>
      <c r="E462" s="10" t="str">
        <f>IFERROR(INDEX(Personnes!$D$5:$D$154,MATCH($C462,Personnes!$B$5:$B$154,0))&amp;"","")</f>
        <v/>
      </c>
      <c r="F462" s="15"/>
      <c r="G462" s="9"/>
      <c r="H462" s="10" t="str">
        <f>IF($B462="","",IF($C462="","apnéiste non reconnu",IF($A462="","séance non renseignée",IF(COUNTIFS($A$5:$A$504,$A462,$C$5:$C$504,$C462)&gt;1,"doublon séance / apnéiste",IF(OR($C462=IFERROR(INDEX('Calendrier'!$K$5:$K$5,MATCH($A462,'Calendrier'!$A$5:$A$5,0)),""),$C462=IFERROR(INDEX('Calendrier'!$O$5:$O$5,MATCH($A462,'Calendrier'!$A$5:$A$5,0)),"")),"encadrant et élève sur la même séance",IF(IFERROR(INDEX(Personnes!$H$5:$H$154,MATCH($C462,Personnes!$B$5:$B$154,0)),"")&lt;&gt;"oui","invité (hors ligne)","ok"))))))</f>
        <v/>
      </c>
    </row>
    <row r="463" spans="1:8" x14ac:dyDescent="0.2">
      <c r="A463" s="15"/>
      <c r="B463" s="15"/>
      <c r="C463" s="10" t="str">
        <f>IF($B463="","",IFERROR(IF(ISNUMBER(FIND("[",$B463)),MID($B463,FIND("[",$B463)+1,FIND("]",$B463)-FIND("[",$B463)-1),IF(ISNUMBER($B463),INDEX(Personnes!$B$5:$B$154,MATCH($B463,Personnes!$A$5:$A$154,0)),IFERROR(INDEX(Personnes!$B$5:$B$154,MATCH($B463&amp;"*",Personnes!$C$5:$C$154,0)),INDEX(Personnes!$B$5:$B$154,MATCH($B463&amp;"*",Personnes!$D$5:$D$154,0))))),""))</f>
        <v/>
      </c>
      <c r="D463" s="10" t="str">
        <f>IFERROR(INDEX(Personnes!$C$5:$C$154,MATCH($C463,Personnes!$B$5:$B$154,0))&amp;"","")</f>
        <v/>
      </c>
      <c r="E463" s="10" t="str">
        <f>IFERROR(INDEX(Personnes!$D$5:$D$154,MATCH($C463,Personnes!$B$5:$B$154,0))&amp;"","")</f>
        <v/>
      </c>
      <c r="F463" s="15"/>
      <c r="G463" s="9"/>
      <c r="H463" s="10" t="str">
        <f>IF($B463="","",IF($C463="","apnéiste non reconnu",IF($A463="","séance non renseignée",IF(COUNTIFS($A$5:$A$504,$A463,$C$5:$C$504,$C463)&gt;1,"doublon séance / apnéiste",IF(OR($C463=IFERROR(INDEX('Calendrier'!$K$5:$K$5,MATCH($A463,'Calendrier'!$A$5:$A$5,0)),""),$C463=IFERROR(INDEX('Calendrier'!$O$5:$O$5,MATCH($A463,'Calendrier'!$A$5:$A$5,0)),"")),"encadrant et élève sur la même séance",IF(IFERROR(INDEX(Personnes!$H$5:$H$154,MATCH($C463,Personnes!$B$5:$B$154,0)),"")&lt;&gt;"oui","invité (hors ligne)","ok"))))))</f>
        <v/>
      </c>
    </row>
    <row r="464" spans="1:8" x14ac:dyDescent="0.2">
      <c r="A464" s="15"/>
      <c r="B464" s="15"/>
      <c r="C464" s="10" t="str">
        <f>IF($B464="","",IFERROR(IF(ISNUMBER(FIND("[",$B464)),MID($B464,FIND("[",$B464)+1,FIND("]",$B464)-FIND("[",$B464)-1),IF(ISNUMBER($B464),INDEX(Personnes!$B$5:$B$154,MATCH($B464,Personnes!$A$5:$A$154,0)),IFERROR(INDEX(Personnes!$B$5:$B$154,MATCH($B464&amp;"*",Personnes!$C$5:$C$154,0)),INDEX(Personnes!$B$5:$B$154,MATCH($B464&amp;"*",Personnes!$D$5:$D$154,0))))),""))</f>
        <v/>
      </c>
      <c r="D464" s="10" t="str">
        <f>IFERROR(INDEX(Personnes!$C$5:$C$154,MATCH($C464,Personnes!$B$5:$B$154,0))&amp;"","")</f>
        <v/>
      </c>
      <c r="E464" s="10" t="str">
        <f>IFERROR(INDEX(Personnes!$D$5:$D$154,MATCH($C464,Personnes!$B$5:$B$154,0))&amp;"","")</f>
        <v/>
      </c>
      <c r="F464" s="15"/>
      <c r="G464" s="9"/>
      <c r="H464" s="10" t="str">
        <f>IF($B464="","",IF($C464="","apnéiste non reconnu",IF($A464="","séance non renseignée",IF(COUNTIFS($A$5:$A$504,$A464,$C$5:$C$504,$C464)&gt;1,"doublon séance / apnéiste",IF(OR($C464=IFERROR(INDEX('Calendrier'!$K$5:$K$5,MATCH($A464,'Calendrier'!$A$5:$A$5,0)),""),$C464=IFERROR(INDEX('Calendrier'!$O$5:$O$5,MATCH($A464,'Calendrier'!$A$5:$A$5,0)),"")),"encadrant et élève sur la même séance",IF(IFERROR(INDEX(Personnes!$H$5:$H$154,MATCH($C464,Personnes!$B$5:$B$154,0)),"")&lt;&gt;"oui","invité (hors ligne)","ok"))))))</f>
        <v/>
      </c>
    </row>
    <row r="465" spans="1:8" x14ac:dyDescent="0.2">
      <c r="A465" s="15"/>
      <c r="B465" s="15"/>
      <c r="C465" s="10" t="str">
        <f>IF($B465="","",IFERROR(IF(ISNUMBER(FIND("[",$B465)),MID($B465,FIND("[",$B465)+1,FIND("]",$B465)-FIND("[",$B465)-1),IF(ISNUMBER($B465),INDEX(Personnes!$B$5:$B$154,MATCH($B465,Personnes!$A$5:$A$154,0)),IFERROR(INDEX(Personnes!$B$5:$B$154,MATCH($B465&amp;"*",Personnes!$C$5:$C$154,0)),INDEX(Personnes!$B$5:$B$154,MATCH($B465&amp;"*",Personnes!$D$5:$D$154,0))))),""))</f>
        <v/>
      </c>
      <c r="D465" s="10" t="str">
        <f>IFERROR(INDEX(Personnes!$C$5:$C$154,MATCH($C465,Personnes!$B$5:$B$154,0))&amp;"","")</f>
        <v/>
      </c>
      <c r="E465" s="10" t="str">
        <f>IFERROR(INDEX(Personnes!$D$5:$D$154,MATCH($C465,Personnes!$B$5:$B$154,0))&amp;"","")</f>
        <v/>
      </c>
      <c r="F465" s="15"/>
      <c r="G465" s="9"/>
      <c r="H465" s="10" t="str">
        <f>IF($B465="","",IF($C465="","apnéiste non reconnu",IF($A465="","séance non renseignée",IF(COUNTIFS($A$5:$A$504,$A465,$C$5:$C$504,$C465)&gt;1,"doublon séance / apnéiste",IF(OR($C465=IFERROR(INDEX('Calendrier'!$K$5:$K$5,MATCH($A465,'Calendrier'!$A$5:$A$5,0)),""),$C465=IFERROR(INDEX('Calendrier'!$O$5:$O$5,MATCH($A465,'Calendrier'!$A$5:$A$5,0)),"")),"encadrant et élève sur la même séance",IF(IFERROR(INDEX(Personnes!$H$5:$H$154,MATCH($C465,Personnes!$B$5:$B$154,0)),"")&lt;&gt;"oui","invité (hors ligne)","ok"))))))</f>
        <v/>
      </c>
    </row>
    <row r="466" spans="1:8" x14ac:dyDescent="0.2">
      <c r="A466" s="15"/>
      <c r="B466" s="15"/>
      <c r="C466" s="10" t="str">
        <f>IF($B466="","",IFERROR(IF(ISNUMBER(FIND("[",$B466)),MID($B466,FIND("[",$B466)+1,FIND("]",$B466)-FIND("[",$B466)-1),IF(ISNUMBER($B466),INDEX(Personnes!$B$5:$B$154,MATCH($B466,Personnes!$A$5:$A$154,0)),IFERROR(INDEX(Personnes!$B$5:$B$154,MATCH($B466&amp;"*",Personnes!$C$5:$C$154,0)),INDEX(Personnes!$B$5:$B$154,MATCH($B466&amp;"*",Personnes!$D$5:$D$154,0))))),""))</f>
        <v/>
      </c>
      <c r="D466" s="10" t="str">
        <f>IFERROR(INDEX(Personnes!$C$5:$C$154,MATCH($C466,Personnes!$B$5:$B$154,0))&amp;"","")</f>
        <v/>
      </c>
      <c r="E466" s="10" t="str">
        <f>IFERROR(INDEX(Personnes!$D$5:$D$154,MATCH($C466,Personnes!$B$5:$B$154,0))&amp;"","")</f>
        <v/>
      </c>
      <c r="F466" s="15"/>
      <c r="G466" s="9"/>
      <c r="H466" s="10" t="str">
        <f>IF($B466="","",IF($C466="","apnéiste non reconnu",IF($A466="","séance non renseignée",IF(COUNTIFS($A$5:$A$504,$A466,$C$5:$C$504,$C466)&gt;1,"doublon séance / apnéiste",IF(OR($C466=IFERROR(INDEX('Calendrier'!$K$5:$K$5,MATCH($A466,'Calendrier'!$A$5:$A$5,0)),""),$C466=IFERROR(INDEX('Calendrier'!$O$5:$O$5,MATCH($A466,'Calendrier'!$A$5:$A$5,0)),"")),"encadrant et élève sur la même séance",IF(IFERROR(INDEX(Personnes!$H$5:$H$154,MATCH($C466,Personnes!$B$5:$B$154,0)),"")&lt;&gt;"oui","invité (hors ligne)","ok"))))))</f>
        <v/>
      </c>
    </row>
    <row r="467" spans="1:8" x14ac:dyDescent="0.2">
      <c r="A467" s="15"/>
      <c r="B467" s="15"/>
      <c r="C467" s="10" t="str">
        <f>IF($B467="","",IFERROR(IF(ISNUMBER(FIND("[",$B467)),MID($B467,FIND("[",$B467)+1,FIND("]",$B467)-FIND("[",$B467)-1),IF(ISNUMBER($B467),INDEX(Personnes!$B$5:$B$154,MATCH($B467,Personnes!$A$5:$A$154,0)),IFERROR(INDEX(Personnes!$B$5:$B$154,MATCH($B467&amp;"*",Personnes!$C$5:$C$154,0)),INDEX(Personnes!$B$5:$B$154,MATCH($B467&amp;"*",Personnes!$D$5:$D$154,0))))),""))</f>
        <v/>
      </c>
      <c r="D467" s="10" t="str">
        <f>IFERROR(INDEX(Personnes!$C$5:$C$154,MATCH($C467,Personnes!$B$5:$B$154,0))&amp;"","")</f>
        <v/>
      </c>
      <c r="E467" s="10" t="str">
        <f>IFERROR(INDEX(Personnes!$D$5:$D$154,MATCH($C467,Personnes!$B$5:$B$154,0))&amp;"","")</f>
        <v/>
      </c>
      <c r="F467" s="15"/>
      <c r="G467" s="9"/>
      <c r="H467" s="10" t="str">
        <f>IF($B467="","",IF($C467="","apnéiste non reconnu",IF($A467="","séance non renseignée",IF(COUNTIFS($A$5:$A$504,$A467,$C$5:$C$504,$C467)&gt;1,"doublon séance / apnéiste",IF(OR($C467=IFERROR(INDEX('Calendrier'!$K$5:$K$5,MATCH($A467,'Calendrier'!$A$5:$A$5,0)),""),$C467=IFERROR(INDEX('Calendrier'!$O$5:$O$5,MATCH($A467,'Calendrier'!$A$5:$A$5,0)),"")),"encadrant et élève sur la même séance",IF(IFERROR(INDEX(Personnes!$H$5:$H$154,MATCH($C467,Personnes!$B$5:$B$154,0)),"")&lt;&gt;"oui","invité (hors ligne)","ok"))))))</f>
        <v/>
      </c>
    </row>
    <row r="468" spans="1:8" x14ac:dyDescent="0.2">
      <c r="A468" s="15"/>
      <c r="B468" s="15"/>
      <c r="C468" s="10" t="str">
        <f>IF($B468="","",IFERROR(IF(ISNUMBER(FIND("[",$B468)),MID($B468,FIND("[",$B468)+1,FIND("]",$B468)-FIND("[",$B468)-1),IF(ISNUMBER($B468),INDEX(Personnes!$B$5:$B$154,MATCH($B468,Personnes!$A$5:$A$154,0)),IFERROR(INDEX(Personnes!$B$5:$B$154,MATCH($B468&amp;"*",Personnes!$C$5:$C$154,0)),INDEX(Personnes!$B$5:$B$154,MATCH($B468&amp;"*",Personnes!$D$5:$D$154,0))))),""))</f>
        <v/>
      </c>
      <c r="D468" s="10" t="str">
        <f>IFERROR(INDEX(Personnes!$C$5:$C$154,MATCH($C468,Personnes!$B$5:$B$154,0))&amp;"","")</f>
        <v/>
      </c>
      <c r="E468" s="10" t="str">
        <f>IFERROR(INDEX(Personnes!$D$5:$D$154,MATCH($C468,Personnes!$B$5:$B$154,0))&amp;"","")</f>
        <v/>
      </c>
      <c r="F468" s="15"/>
      <c r="G468" s="9"/>
      <c r="H468" s="10" t="str">
        <f>IF($B468="","",IF($C468="","apnéiste non reconnu",IF($A468="","séance non renseignée",IF(COUNTIFS($A$5:$A$504,$A468,$C$5:$C$504,$C468)&gt;1,"doublon séance / apnéiste",IF(OR($C468=IFERROR(INDEX('Calendrier'!$K$5:$K$5,MATCH($A468,'Calendrier'!$A$5:$A$5,0)),""),$C468=IFERROR(INDEX('Calendrier'!$O$5:$O$5,MATCH($A468,'Calendrier'!$A$5:$A$5,0)),"")),"encadrant et élève sur la même séance",IF(IFERROR(INDEX(Personnes!$H$5:$H$154,MATCH($C468,Personnes!$B$5:$B$154,0)),"")&lt;&gt;"oui","invité (hors ligne)","ok"))))))</f>
        <v/>
      </c>
    </row>
    <row r="469" spans="1:8" x14ac:dyDescent="0.2">
      <c r="A469" s="15"/>
      <c r="B469" s="15"/>
      <c r="C469" s="10" t="str">
        <f>IF($B469="","",IFERROR(IF(ISNUMBER(FIND("[",$B469)),MID($B469,FIND("[",$B469)+1,FIND("]",$B469)-FIND("[",$B469)-1),IF(ISNUMBER($B469),INDEX(Personnes!$B$5:$B$154,MATCH($B469,Personnes!$A$5:$A$154,0)),IFERROR(INDEX(Personnes!$B$5:$B$154,MATCH($B469&amp;"*",Personnes!$C$5:$C$154,0)),INDEX(Personnes!$B$5:$B$154,MATCH($B469&amp;"*",Personnes!$D$5:$D$154,0))))),""))</f>
        <v/>
      </c>
      <c r="D469" s="10" t="str">
        <f>IFERROR(INDEX(Personnes!$C$5:$C$154,MATCH($C469,Personnes!$B$5:$B$154,0))&amp;"","")</f>
        <v/>
      </c>
      <c r="E469" s="10" t="str">
        <f>IFERROR(INDEX(Personnes!$D$5:$D$154,MATCH($C469,Personnes!$B$5:$B$154,0))&amp;"","")</f>
        <v/>
      </c>
      <c r="F469" s="15"/>
      <c r="G469" s="9"/>
      <c r="H469" s="10" t="str">
        <f>IF($B469="","",IF($C469="","apnéiste non reconnu",IF($A469="","séance non renseignée",IF(COUNTIFS($A$5:$A$504,$A469,$C$5:$C$504,$C469)&gt;1,"doublon séance / apnéiste",IF(OR($C469=IFERROR(INDEX('Calendrier'!$K$5:$K$5,MATCH($A469,'Calendrier'!$A$5:$A$5,0)),""),$C469=IFERROR(INDEX('Calendrier'!$O$5:$O$5,MATCH($A469,'Calendrier'!$A$5:$A$5,0)),"")),"encadrant et élève sur la même séance",IF(IFERROR(INDEX(Personnes!$H$5:$H$154,MATCH($C469,Personnes!$B$5:$B$154,0)),"")&lt;&gt;"oui","invité (hors ligne)","ok"))))))</f>
        <v/>
      </c>
    </row>
    <row r="470" spans="1:8" x14ac:dyDescent="0.2">
      <c r="A470" s="15"/>
      <c r="B470" s="15"/>
      <c r="C470" s="10" t="str">
        <f>IF($B470="","",IFERROR(IF(ISNUMBER(FIND("[",$B470)),MID($B470,FIND("[",$B470)+1,FIND("]",$B470)-FIND("[",$B470)-1),IF(ISNUMBER($B470),INDEX(Personnes!$B$5:$B$154,MATCH($B470,Personnes!$A$5:$A$154,0)),IFERROR(INDEX(Personnes!$B$5:$B$154,MATCH($B470&amp;"*",Personnes!$C$5:$C$154,0)),INDEX(Personnes!$B$5:$B$154,MATCH($B470&amp;"*",Personnes!$D$5:$D$154,0))))),""))</f>
        <v/>
      </c>
      <c r="D470" s="10" t="str">
        <f>IFERROR(INDEX(Personnes!$C$5:$C$154,MATCH($C470,Personnes!$B$5:$B$154,0))&amp;"","")</f>
        <v/>
      </c>
      <c r="E470" s="10" t="str">
        <f>IFERROR(INDEX(Personnes!$D$5:$D$154,MATCH($C470,Personnes!$B$5:$B$154,0))&amp;"","")</f>
        <v/>
      </c>
      <c r="F470" s="15"/>
      <c r="G470" s="9"/>
      <c r="H470" s="10" t="str">
        <f>IF($B470="","",IF($C470="","apnéiste non reconnu",IF($A470="","séance non renseignée",IF(COUNTIFS($A$5:$A$504,$A470,$C$5:$C$504,$C470)&gt;1,"doublon séance / apnéiste",IF(OR($C470=IFERROR(INDEX('Calendrier'!$K$5:$K$5,MATCH($A470,'Calendrier'!$A$5:$A$5,0)),""),$C470=IFERROR(INDEX('Calendrier'!$O$5:$O$5,MATCH($A470,'Calendrier'!$A$5:$A$5,0)),"")),"encadrant et élève sur la même séance",IF(IFERROR(INDEX(Personnes!$H$5:$H$154,MATCH($C470,Personnes!$B$5:$B$154,0)),"")&lt;&gt;"oui","invité (hors ligne)","ok"))))))</f>
        <v/>
      </c>
    </row>
    <row r="471" spans="1:8" x14ac:dyDescent="0.2">
      <c r="A471" s="15"/>
      <c r="B471" s="15"/>
      <c r="C471" s="10" t="str">
        <f>IF($B471="","",IFERROR(IF(ISNUMBER(FIND("[",$B471)),MID($B471,FIND("[",$B471)+1,FIND("]",$B471)-FIND("[",$B471)-1),IF(ISNUMBER($B471),INDEX(Personnes!$B$5:$B$154,MATCH($B471,Personnes!$A$5:$A$154,0)),IFERROR(INDEX(Personnes!$B$5:$B$154,MATCH($B471&amp;"*",Personnes!$C$5:$C$154,0)),INDEX(Personnes!$B$5:$B$154,MATCH($B471&amp;"*",Personnes!$D$5:$D$154,0))))),""))</f>
        <v/>
      </c>
      <c r="D471" s="10" t="str">
        <f>IFERROR(INDEX(Personnes!$C$5:$C$154,MATCH($C471,Personnes!$B$5:$B$154,0))&amp;"","")</f>
        <v/>
      </c>
      <c r="E471" s="10" t="str">
        <f>IFERROR(INDEX(Personnes!$D$5:$D$154,MATCH($C471,Personnes!$B$5:$B$154,0))&amp;"","")</f>
        <v/>
      </c>
      <c r="F471" s="15"/>
      <c r="G471" s="9"/>
      <c r="H471" s="10" t="str">
        <f>IF($B471="","",IF($C471="","apnéiste non reconnu",IF($A471="","séance non renseignée",IF(COUNTIFS($A$5:$A$504,$A471,$C$5:$C$504,$C471)&gt;1,"doublon séance / apnéiste",IF(OR($C471=IFERROR(INDEX('Calendrier'!$K$5:$K$5,MATCH($A471,'Calendrier'!$A$5:$A$5,0)),""),$C471=IFERROR(INDEX('Calendrier'!$O$5:$O$5,MATCH($A471,'Calendrier'!$A$5:$A$5,0)),"")),"encadrant et élève sur la même séance",IF(IFERROR(INDEX(Personnes!$H$5:$H$154,MATCH($C471,Personnes!$B$5:$B$154,0)),"")&lt;&gt;"oui","invité (hors ligne)","ok"))))))</f>
        <v/>
      </c>
    </row>
    <row r="472" spans="1:8" x14ac:dyDescent="0.2">
      <c r="A472" s="15"/>
      <c r="B472" s="15"/>
      <c r="C472" s="10" t="str">
        <f>IF($B472="","",IFERROR(IF(ISNUMBER(FIND("[",$B472)),MID($B472,FIND("[",$B472)+1,FIND("]",$B472)-FIND("[",$B472)-1),IF(ISNUMBER($B472),INDEX(Personnes!$B$5:$B$154,MATCH($B472,Personnes!$A$5:$A$154,0)),IFERROR(INDEX(Personnes!$B$5:$B$154,MATCH($B472&amp;"*",Personnes!$C$5:$C$154,0)),INDEX(Personnes!$B$5:$B$154,MATCH($B472&amp;"*",Personnes!$D$5:$D$154,0))))),""))</f>
        <v/>
      </c>
      <c r="D472" s="10" t="str">
        <f>IFERROR(INDEX(Personnes!$C$5:$C$154,MATCH($C472,Personnes!$B$5:$B$154,0))&amp;"","")</f>
        <v/>
      </c>
      <c r="E472" s="10" t="str">
        <f>IFERROR(INDEX(Personnes!$D$5:$D$154,MATCH($C472,Personnes!$B$5:$B$154,0))&amp;"","")</f>
        <v/>
      </c>
      <c r="F472" s="15"/>
      <c r="G472" s="9"/>
      <c r="H472" s="10" t="str">
        <f>IF($B472="","",IF($C472="","apnéiste non reconnu",IF($A472="","séance non renseignée",IF(COUNTIFS($A$5:$A$504,$A472,$C$5:$C$504,$C472)&gt;1,"doublon séance / apnéiste",IF(OR($C472=IFERROR(INDEX('Calendrier'!$K$5:$K$5,MATCH($A472,'Calendrier'!$A$5:$A$5,0)),""),$C472=IFERROR(INDEX('Calendrier'!$O$5:$O$5,MATCH($A472,'Calendrier'!$A$5:$A$5,0)),"")),"encadrant et élève sur la même séance",IF(IFERROR(INDEX(Personnes!$H$5:$H$154,MATCH($C472,Personnes!$B$5:$B$154,0)),"")&lt;&gt;"oui","invité (hors ligne)","ok"))))))</f>
        <v/>
      </c>
    </row>
    <row r="473" spans="1:8" x14ac:dyDescent="0.2">
      <c r="A473" s="15"/>
      <c r="B473" s="15"/>
      <c r="C473" s="10" t="str">
        <f>IF($B473="","",IFERROR(IF(ISNUMBER(FIND("[",$B473)),MID($B473,FIND("[",$B473)+1,FIND("]",$B473)-FIND("[",$B473)-1),IF(ISNUMBER($B473),INDEX(Personnes!$B$5:$B$154,MATCH($B473,Personnes!$A$5:$A$154,0)),IFERROR(INDEX(Personnes!$B$5:$B$154,MATCH($B473&amp;"*",Personnes!$C$5:$C$154,0)),INDEX(Personnes!$B$5:$B$154,MATCH($B473&amp;"*",Personnes!$D$5:$D$154,0))))),""))</f>
        <v/>
      </c>
      <c r="D473" s="10" t="str">
        <f>IFERROR(INDEX(Personnes!$C$5:$C$154,MATCH($C473,Personnes!$B$5:$B$154,0))&amp;"","")</f>
        <v/>
      </c>
      <c r="E473" s="10" t="str">
        <f>IFERROR(INDEX(Personnes!$D$5:$D$154,MATCH($C473,Personnes!$B$5:$B$154,0))&amp;"","")</f>
        <v/>
      </c>
      <c r="F473" s="15"/>
      <c r="G473" s="9"/>
      <c r="H473" s="10" t="str">
        <f>IF($B473="","",IF($C473="","apnéiste non reconnu",IF($A473="","séance non renseignée",IF(COUNTIFS($A$5:$A$504,$A473,$C$5:$C$504,$C473)&gt;1,"doublon séance / apnéiste",IF(OR($C473=IFERROR(INDEX('Calendrier'!$K$5:$K$5,MATCH($A473,'Calendrier'!$A$5:$A$5,0)),""),$C473=IFERROR(INDEX('Calendrier'!$O$5:$O$5,MATCH($A473,'Calendrier'!$A$5:$A$5,0)),"")),"encadrant et élève sur la même séance",IF(IFERROR(INDEX(Personnes!$H$5:$H$154,MATCH($C473,Personnes!$B$5:$B$154,0)),"")&lt;&gt;"oui","invité (hors ligne)","ok"))))))</f>
        <v/>
      </c>
    </row>
    <row r="474" spans="1:8" x14ac:dyDescent="0.2">
      <c r="A474" s="15"/>
      <c r="B474" s="15"/>
      <c r="C474" s="10" t="str">
        <f>IF($B474="","",IFERROR(IF(ISNUMBER(FIND("[",$B474)),MID($B474,FIND("[",$B474)+1,FIND("]",$B474)-FIND("[",$B474)-1),IF(ISNUMBER($B474),INDEX(Personnes!$B$5:$B$154,MATCH($B474,Personnes!$A$5:$A$154,0)),IFERROR(INDEX(Personnes!$B$5:$B$154,MATCH($B474&amp;"*",Personnes!$C$5:$C$154,0)),INDEX(Personnes!$B$5:$B$154,MATCH($B474&amp;"*",Personnes!$D$5:$D$154,0))))),""))</f>
        <v/>
      </c>
      <c r="D474" s="10" t="str">
        <f>IFERROR(INDEX(Personnes!$C$5:$C$154,MATCH($C474,Personnes!$B$5:$B$154,0))&amp;"","")</f>
        <v/>
      </c>
      <c r="E474" s="10" t="str">
        <f>IFERROR(INDEX(Personnes!$D$5:$D$154,MATCH($C474,Personnes!$B$5:$B$154,0))&amp;"","")</f>
        <v/>
      </c>
      <c r="F474" s="15"/>
      <c r="G474" s="9"/>
      <c r="H474" s="10" t="str">
        <f>IF($B474="","",IF($C474="","apnéiste non reconnu",IF($A474="","séance non renseignée",IF(COUNTIFS($A$5:$A$504,$A474,$C$5:$C$504,$C474)&gt;1,"doublon séance / apnéiste",IF(OR($C474=IFERROR(INDEX('Calendrier'!$K$5:$K$5,MATCH($A474,'Calendrier'!$A$5:$A$5,0)),""),$C474=IFERROR(INDEX('Calendrier'!$O$5:$O$5,MATCH($A474,'Calendrier'!$A$5:$A$5,0)),"")),"encadrant et élève sur la même séance",IF(IFERROR(INDEX(Personnes!$H$5:$H$154,MATCH($C474,Personnes!$B$5:$B$154,0)),"")&lt;&gt;"oui","invité (hors ligne)","ok"))))))</f>
        <v/>
      </c>
    </row>
    <row r="475" spans="1:8" x14ac:dyDescent="0.2">
      <c r="A475" s="15"/>
      <c r="B475" s="15"/>
      <c r="C475" s="10" t="str">
        <f>IF($B475="","",IFERROR(IF(ISNUMBER(FIND("[",$B475)),MID($B475,FIND("[",$B475)+1,FIND("]",$B475)-FIND("[",$B475)-1),IF(ISNUMBER($B475),INDEX(Personnes!$B$5:$B$154,MATCH($B475,Personnes!$A$5:$A$154,0)),IFERROR(INDEX(Personnes!$B$5:$B$154,MATCH($B475&amp;"*",Personnes!$C$5:$C$154,0)),INDEX(Personnes!$B$5:$B$154,MATCH($B475&amp;"*",Personnes!$D$5:$D$154,0))))),""))</f>
        <v/>
      </c>
      <c r="D475" s="10" t="str">
        <f>IFERROR(INDEX(Personnes!$C$5:$C$154,MATCH($C475,Personnes!$B$5:$B$154,0))&amp;"","")</f>
        <v/>
      </c>
      <c r="E475" s="10" t="str">
        <f>IFERROR(INDEX(Personnes!$D$5:$D$154,MATCH($C475,Personnes!$B$5:$B$154,0))&amp;"","")</f>
        <v/>
      </c>
      <c r="F475" s="15"/>
      <c r="G475" s="9"/>
      <c r="H475" s="10" t="str">
        <f>IF($B475="","",IF($C475="","apnéiste non reconnu",IF($A475="","séance non renseignée",IF(COUNTIFS($A$5:$A$504,$A475,$C$5:$C$504,$C475)&gt;1,"doublon séance / apnéiste",IF(OR($C475=IFERROR(INDEX('Calendrier'!$K$5:$K$5,MATCH($A475,'Calendrier'!$A$5:$A$5,0)),""),$C475=IFERROR(INDEX('Calendrier'!$O$5:$O$5,MATCH($A475,'Calendrier'!$A$5:$A$5,0)),"")),"encadrant et élève sur la même séance",IF(IFERROR(INDEX(Personnes!$H$5:$H$154,MATCH($C475,Personnes!$B$5:$B$154,0)),"")&lt;&gt;"oui","invité (hors ligne)","ok"))))))</f>
        <v/>
      </c>
    </row>
    <row r="476" spans="1:8" x14ac:dyDescent="0.2">
      <c r="A476" s="15"/>
      <c r="B476" s="15"/>
      <c r="C476" s="10" t="str">
        <f>IF($B476="","",IFERROR(IF(ISNUMBER(FIND("[",$B476)),MID($B476,FIND("[",$B476)+1,FIND("]",$B476)-FIND("[",$B476)-1),IF(ISNUMBER($B476),INDEX(Personnes!$B$5:$B$154,MATCH($B476,Personnes!$A$5:$A$154,0)),IFERROR(INDEX(Personnes!$B$5:$B$154,MATCH($B476&amp;"*",Personnes!$C$5:$C$154,0)),INDEX(Personnes!$B$5:$B$154,MATCH($B476&amp;"*",Personnes!$D$5:$D$154,0))))),""))</f>
        <v/>
      </c>
      <c r="D476" s="10" t="str">
        <f>IFERROR(INDEX(Personnes!$C$5:$C$154,MATCH($C476,Personnes!$B$5:$B$154,0))&amp;"","")</f>
        <v/>
      </c>
      <c r="E476" s="10" t="str">
        <f>IFERROR(INDEX(Personnes!$D$5:$D$154,MATCH($C476,Personnes!$B$5:$B$154,0))&amp;"","")</f>
        <v/>
      </c>
      <c r="F476" s="15"/>
      <c r="G476" s="9"/>
      <c r="H476" s="10" t="str">
        <f>IF($B476="","",IF($C476="","apnéiste non reconnu",IF($A476="","séance non renseignée",IF(COUNTIFS($A$5:$A$504,$A476,$C$5:$C$504,$C476)&gt;1,"doublon séance / apnéiste",IF(OR($C476=IFERROR(INDEX('Calendrier'!$K$5:$K$5,MATCH($A476,'Calendrier'!$A$5:$A$5,0)),""),$C476=IFERROR(INDEX('Calendrier'!$O$5:$O$5,MATCH($A476,'Calendrier'!$A$5:$A$5,0)),"")),"encadrant et élève sur la même séance",IF(IFERROR(INDEX(Personnes!$H$5:$H$154,MATCH($C476,Personnes!$B$5:$B$154,0)),"")&lt;&gt;"oui","invité (hors ligne)","ok"))))))</f>
        <v/>
      </c>
    </row>
    <row r="477" spans="1:8" x14ac:dyDescent="0.2">
      <c r="A477" s="15"/>
      <c r="B477" s="15"/>
      <c r="C477" s="10" t="str">
        <f>IF($B477="","",IFERROR(IF(ISNUMBER(FIND("[",$B477)),MID($B477,FIND("[",$B477)+1,FIND("]",$B477)-FIND("[",$B477)-1),IF(ISNUMBER($B477),INDEX(Personnes!$B$5:$B$154,MATCH($B477,Personnes!$A$5:$A$154,0)),IFERROR(INDEX(Personnes!$B$5:$B$154,MATCH($B477&amp;"*",Personnes!$C$5:$C$154,0)),INDEX(Personnes!$B$5:$B$154,MATCH($B477&amp;"*",Personnes!$D$5:$D$154,0))))),""))</f>
        <v/>
      </c>
      <c r="D477" s="10" t="str">
        <f>IFERROR(INDEX(Personnes!$C$5:$C$154,MATCH($C477,Personnes!$B$5:$B$154,0))&amp;"","")</f>
        <v/>
      </c>
      <c r="E477" s="10" t="str">
        <f>IFERROR(INDEX(Personnes!$D$5:$D$154,MATCH($C477,Personnes!$B$5:$B$154,0))&amp;"","")</f>
        <v/>
      </c>
      <c r="F477" s="15"/>
      <c r="G477" s="9"/>
      <c r="H477" s="10" t="str">
        <f>IF($B477="","",IF($C477="","apnéiste non reconnu",IF($A477="","séance non renseignée",IF(COUNTIFS($A$5:$A$504,$A477,$C$5:$C$504,$C477)&gt;1,"doublon séance / apnéiste",IF(OR($C477=IFERROR(INDEX('Calendrier'!$K$5:$K$5,MATCH($A477,'Calendrier'!$A$5:$A$5,0)),""),$C477=IFERROR(INDEX('Calendrier'!$O$5:$O$5,MATCH($A477,'Calendrier'!$A$5:$A$5,0)),"")),"encadrant et élève sur la même séance",IF(IFERROR(INDEX(Personnes!$H$5:$H$154,MATCH($C477,Personnes!$B$5:$B$154,0)),"")&lt;&gt;"oui","invité (hors ligne)","ok"))))))</f>
        <v/>
      </c>
    </row>
    <row r="478" spans="1:8" x14ac:dyDescent="0.2">
      <c r="A478" s="15"/>
      <c r="B478" s="15"/>
      <c r="C478" s="10" t="str">
        <f>IF($B478="","",IFERROR(IF(ISNUMBER(FIND("[",$B478)),MID($B478,FIND("[",$B478)+1,FIND("]",$B478)-FIND("[",$B478)-1),IF(ISNUMBER($B478),INDEX(Personnes!$B$5:$B$154,MATCH($B478,Personnes!$A$5:$A$154,0)),IFERROR(INDEX(Personnes!$B$5:$B$154,MATCH($B478&amp;"*",Personnes!$C$5:$C$154,0)),INDEX(Personnes!$B$5:$B$154,MATCH($B478&amp;"*",Personnes!$D$5:$D$154,0))))),""))</f>
        <v/>
      </c>
      <c r="D478" s="10" t="str">
        <f>IFERROR(INDEX(Personnes!$C$5:$C$154,MATCH($C478,Personnes!$B$5:$B$154,0))&amp;"","")</f>
        <v/>
      </c>
      <c r="E478" s="10" t="str">
        <f>IFERROR(INDEX(Personnes!$D$5:$D$154,MATCH($C478,Personnes!$B$5:$B$154,0))&amp;"","")</f>
        <v/>
      </c>
      <c r="F478" s="15"/>
      <c r="G478" s="9"/>
      <c r="H478" s="10" t="str">
        <f>IF($B478="","",IF($C478="","apnéiste non reconnu",IF($A478="","séance non renseignée",IF(COUNTIFS($A$5:$A$504,$A478,$C$5:$C$504,$C478)&gt;1,"doublon séance / apnéiste",IF(OR($C478=IFERROR(INDEX('Calendrier'!$K$5:$K$5,MATCH($A478,'Calendrier'!$A$5:$A$5,0)),""),$C478=IFERROR(INDEX('Calendrier'!$O$5:$O$5,MATCH($A478,'Calendrier'!$A$5:$A$5,0)),"")),"encadrant et élève sur la même séance",IF(IFERROR(INDEX(Personnes!$H$5:$H$154,MATCH($C478,Personnes!$B$5:$B$154,0)),"")&lt;&gt;"oui","invité (hors ligne)","ok"))))))</f>
        <v/>
      </c>
    </row>
    <row r="479" spans="1:8" x14ac:dyDescent="0.2">
      <c r="A479" s="15"/>
      <c r="B479" s="15"/>
      <c r="C479" s="10" t="str">
        <f>IF($B479="","",IFERROR(IF(ISNUMBER(FIND("[",$B479)),MID($B479,FIND("[",$B479)+1,FIND("]",$B479)-FIND("[",$B479)-1),IF(ISNUMBER($B479),INDEX(Personnes!$B$5:$B$154,MATCH($B479,Personnes!$A$5:$A$154,0)),IFERROR(INDEX(Personnes!$B$5:$B$154,MATCH($B479&amp;"*",Personnes!$C$5:$C$154,0)),INDEX(Personnes!$B$5:$B$154,MATCH($B479&amp;"*",Personnes!$D$5:$D$154,0))))),""))</f>
        <v/>
      </c>
      <c r="D479" s="10" t="str">
        <f>IFERROR(INDEX(Personnes!$C$5:$C$154,MATCH($C479,Personnes!$B$5:$B$154,0))&amp;"","")</f>
        <v/>
      </c>
      <c r="E479" s="10" t="str">
        <f>IFERROR(INDEX(Personnes!$D$5:$D$154,MATCH($C479,Personnes!$B$5:$B$154,0))&amp;"","")</f>
        <v/>
      </c>
      <c r="F479" s="15"/>
      <c r="G479" s="9"/>
      <c r="H479" s="10" t="str">
        <f>IF($B479="","",IF($C479="","apnéiste non reconnu",IF($A479="","séance non renseignée",IF(COUNTIFS($A$5:$A$504,$A479,$C$5:$C$504,$C479)&gt;1,"doublon séance / apnéiste",IF(OR($C479=IFERROR(INDEX('Calendrier'!$K$5:$K$5,MATCH($A479,'Calendrier'!$A$5:$A$5,0)),""),$C479=IFERROR(INDEX('Calendrier'!$O$5:$O$5,MATCH($A479,'Calendrier'!$A$5:$A$5,0)),"")),"encadrant et élève sur la même séance",IF(IFERROR(INDEX(Personnes!$H$5:$H$154,MATCH($C479,Personnes!$B$5:$B$154,0)),"")&lt;&gt;"oui","invité (hors ligne)","ok"))))))</f>
        <v/>
      </c>
    </row>
    <row r="480" spans="1:8" x14ac:dyDescent="0.2">
      <c r="A480" s="15"/>
      <c r="B480" s="15"/>
      <c r="C480" s="10" t="str">
        <f>IF($B480="","",IFERROR(IF(ISNUMBER(FIND("[",$B480)),MID($B480,FIND("[",$B480)+1,FIND("]",$B480)-FIND("[",$B480)-1),IF(ISNUMBER($B480),INDEX(Personnes!$B$5:$B$154,MATCH($B480,Personnes!$A$5:$A$154,0)),IFERROR(INDEX(Personnes!$B$5:$B$154,MATCH($B480&amp;"*",Personnes!$C$5:$C$154,0)),INDEX(Personnes!$B$5:$B$154,MATCH($B480&amp;"*",Personnes!$D$5:$D$154,0))))),""))</f>
        <v/>
      </c>
      <c r="D480" s="10" t="str">
        <f>IFERROR(INDEX(Personnes!$C$5:$C$154,MATCH($C480,Personnes!$B$5:$B$154,0))&amp;"","")</f>
        <v/>
      </c>
      <c r="E480" s="10" t="str">
        <f>IFERROR(INDEX(Personnes!$D$5:$D$154,MATCH($C480,Personnes!$B$5:$B$154,0))&amp;"","")</f>
        <v/>
      </c>
      <c r="F480" s="15"/>
      <c r="G480" s="9"/>
      <c r="H480" s="10" t="str">
        <f>IF($B480="","",IF($C480="","apnéiste non reconnu",IF($A480="","séance non renseignée",IF(COUNTIFS($A$5:$A$504,$A480,$C$5:$C$504,$C480)&gt;1,"doublon séance / apnéiste",IF(OR($C480=IFERROR(INDEX('Calendrier'!$K$5:$K$5,MATCH($A480,'Calendrier'!$A$5:$A$5,0)),""),$C480=IFERROR(INDEX('Calendrier'!$O$5:$O$5,MATCH($A480,'Calendrier'!$A$5:$A$5,0)),"")),"encadrant et élève sur la même séance",IF(IFERROR(INDEX(Personnes!$H$5:$H$154,MATCH($C480,Personnes!$B$5:$B$154,0)),"")&lt;&gt;"oui","invité (hors ligne)","ok"))))))</f>
        <v/>
      </c>
    </row>
    <row r="481" spans="1:8" x14ac:dyDescent="0.2">
      <c r="A481" s="15"/>
      <c r="B481" s="15"/>
      <c r="C481" s="10" t="str">
        <f>IF($B481="","",IFERROR(IF(ISNUMBER(FIND("[",$B481)),MID($B481,FIND("[",$B481)+1,FIND("]",$B481)-FIND("[",$B481)-1),IF(ISNUMBER($B481),INDEX(Personnes!$B$5:$B$154,MATCH($B481,Personnes!$A$5:$A$154,0)),IFERROR(INDEX(Personnes!$B$5:$B$154,MATCH($B481&amp;"*",Personnes!$C$5:$C$154,0)),INDEX(Personnes!$B$5:$B$154,MATCH($B481&amp;"*",Personnes!$D$5:$D$154,0))))),""))</f>
        <v/>
      </c>
      <c r="D481" s="10" t="str">
        <f>IFERROR(INDEX(Personnes!$C$5:$C$154,MATCH($C481,Personnes!$B$5:$B$154,0))&amp;"","")</f>
        <v/>
      </c>
      <c r="E481" s="10" t="str">
        <f>IFERROR(INDEX(Personnes!$D$5:$D$154,MATCH($C481,Personnes!$B$5:$B$154,0))&amp;"","")</f>
        <v/>
      </c>
      <c r="F481" s="15"/>
      <c r="G481" s="9"/>
      <c r="H481" s="10" t="str">
        <f>IF($B481="","",IF($C481="","apnéiste non reconnu",IF($A481="","séance non renseignée",IF(COUNTIFS($A$5:$A$504,$A481,$C$5:$C$504,$C481)&gt;1,"doublon séance / apnéiste",IF(OR($C481=IFERROR(INDEX('Calendrier'!$K$5:$K$5,MATCH($A481,'Calendrier'!$A$5:$A$5,0)),""),$C481=IFERROR(INDEX('Calendrier'!$O$5:$O$5,MATCH($A481,'Calendrier'!$A$5:$A$5,0)),"")),"encadrant et élève sur la même séance",IF(IFERROR(INDEX(Personnes!$H$5:$H$154,MATCH($C481,Personnes!$B$5:$B$154,0)),"")&lt;&gt;"oui","invité (hors ligne)","ok"))))))</f>
        <v/>
      </c>
    </row>
    <row r="482" spans="1:8" x14ac:dyDescent="0.2">
      <c r="A482" s="15"/>
      <c r="B482" s="15"/>
      <c r="C482" s="10" t="str">
        <f>IF($B482="","",IFERROR(IF(ISNUMBER(FIND("[",$B482)),MID($B482,FIND("[",$B482)+1,FIND("]",$B482)-FIND("[",$B482)-1),IF(ISNUMBER($B482),INDEX(Personnes!$B$5:$B$154,MATCH($B482,Personnes!$A$5:$A$154,0)),IFERROR(INDEX(Personnes!$B$5:$B$154,MATCH($B482&amp;"*",Personnes!$C$5:$C$154,0)),INDEX(Personnes!$B$5:$B$154,MATCH($B482&amp;"*",Personnes!$D$5:$D$154,0))))),""))</f>
        <v/>
      </c>
      <c r="D482" s="10" t="str">
        <f>IFERROR(INDEX(Personnes!$C$5:$C$154,MATCH($C482,Personnes!$B$5:$B$154,0))&amp;"","")</f>
        <v/>
      </c>
      <c r="E482" s="10" t="str">
        <f>IFERROR(INDEX(Personnes!$D$5:$D$154,MATCH($C482,Personnes!$B$5:$B$154,0))&amp;"","")</f>
        <v/>
      </c>
      <c r="F482" s="15"/>
      <c r="G482" s="9"/>
      <c r="H482" s="10" t="str">
        <f>IF($B482="","",IF($C482="","apnéiste non reconnu",IF($A482="","séance non renseignée",IF(COUNTIFS($A$5:$A$504,$A482,$C$5:$C$504,$C482)&gt;1,"doublon séance / apnéiste",IF(OR($C482=IFERROR(INDEX('Calendrier'!$K$5:$K$5,MATCH($A482,'Calendrier'!$A$5:$A$5,0)),""),$C482=IFERROR(INDEX('Calendrier'!$O$5:$O$5,MATCH($A482,'Calendrier'!$A$5:$A$5,0)),"")),"encadrant et élève sur la même séance",IF(IFERROR(INDEX(Personnes!$H$5:$H$154,MATCH($C482,Personnes!$B$5:$B$154,0)),"")&lt;&gt;"oui","invité (hors ligne)","ok"))))))</f>
        <v/>
      </c>
    </row>
    <row r="483" spans="1:8" x14ac:dyDescent="0.2">
      <c r="A483" s="15"/>
      <c r="B483" s="15"/>
      <c r="C483" s="10" t="str">
        <f>IF($B483="","",IFERROR(IF(ISNUMBER(FIND("[",$B483)),MID($B483,FIND("[",$B483)+1,FIND("]",$B483)-FIND("[",$B483)-1),IF(ISNUMBER($B483),INDEX(Personnes!$B$5:$B$154,MATCH($B483,Personnes!$A$5:$A$154,0)),IFERROR(INDEX(Personnes!$B$5:$B$154,MATCH($B483&amp;"*",Personnes!$C$5:$C$154,0)),INDEX(Personnes!$B$5:$B$154,MATCH($B483&amp;"*",Personnes!$D$5:$D$154,0))))),""))</f>
        <v/>
      </c>
      <c r="D483" s="10" t="str">
        <f>IFERROR(INDEX(Personnes!$C$5:$C$154,MATCH($C483,Personnes!$B$5:$B$154,0))&amp;"","")</f>
        <v/>
      </c>
      <c r="E483" s="10" t="str">
        <f>IFERROR(INDEX(Personnes!$D$5:$D$154,MATCH($C483,Personnes!$B$5:$B$154,0))&amp;"","")</f>
        <v/>
      </c>
      <c r="F483" s="15"/>
      <c r="G483" s="9"/>
      <c r="H483" s="10" t="str">
        <f>IF($B483="","",IF($C483="","apnéiste non reconnu",IF($A483="","séance non renseignée",IF(COUNTIFS($A$5:$A$504,$A483,$C$5:$C$504,$C483)&gt;1,"doublon séance / apnéiste",IF(OR($C483=IFERROR(INDEX('Calendrier'!$K$5:$K$5,MATCH($A483,'Calendrier'!$A$5:$A$5,0)),""),$C483=IFERROR(INDEX('Calendrier'!$O$5:$O$5,MATCH($A483,'Calendrier'!$A$5:$A$5,0)),"")),"encadrant et élève sur la même séance",IF(IFERROR(INDEX(Personnes!$H$5:$H$154,MATCH($C483,Personnes!$B$5:$B$154,0)),"")&lt;&gt;"oui","invité (hors ligne)","ok"))))))</f>
        <v/>
      </c>
    </row>
    <row r="484" spans="1:8" x14ac:dyDescent="0.2">
      <c r="A484" s="15"/>
      <c r="B484" s="15"/>
      <c r="C484" s="10" t="str">
        <f>IF($B484="","",IFERROR(IF(ISNUMBER(FIND("[",$B484)),MID($B484,FIND("[",$B484)+1,FIND("]",$B484)-FIND("[",$B484)-1),IF(ISNUMBER($B484),INDEX(Personnes!$B$5:$B$154,MATCH($B484,Personnes!$A$5:$A$154,0)),IFERROR(INDEX(Personnes!$B$5:$B$154,MATCH($B484&amp;"*",Personnes!$C$5:$C$154,0)),INDEX(Personnes!$B$5:$B$154,MATCH($B484&amp;"*",Personnes!$D$5:$D$154,0))))),""))</f>
        <v/>
      </c>
      <c r="D484" s="10" t="str">
        <f>IFERROR(INDEX(Personnes!$C$5:$C$154,MATCH($C484,Personnes!$B$5:$B$154,0))&amp;"","")</f>
        <v/>
      </c>
      <c r="E484" s="10" t="str">
        <f>IFERROR(INDEX(Personnes!$D$5:$D$154,MATCH($C484,Personnes!$B$5:$B$154,0))&amp;"","")</f>
        <v/>
      </c>
      <c r="F484" s="15"/>
      <c r="G484" s="9"/>
      <c r="H484" s="10" t="str">
        <f>IF($B484="","",IF($C484="","apnéiste non reconnu",IF($A484="","séance non renseignée",IF(COUNTIFS($A$5:$A$504,$A484,$C$5:$C$504,$C484)&gt;1,"doublon séance / apnéiste",IF(OR($C484=IFERROR(INDEX('Calendrier'!$K$5:$K$5,MATCH($A484,'Calendrier'!$A$5:$A$5,0)),""),$C484=IFERROR(INDEX('Calendrier'!$O$5:$O$5,MATCH($A484,'Calendrier'!$A$5:$A$5,0)),"")),"encadrant et élève sur la même séance",IF(IFERROR(INDEX(Personnes!$H$5:$H$154,MATCH($C484,Personnes!$B$5:$B$154,0)),"")&lt;&gt;"oui","invité (hors ligne)","ok"))))))</f>
        <v/>
      </c>
    </row>
    <row r="485" spans="1:8" x14ac:dyDescent="0.2">
      <c r="A485" s="15"/>
      <c r="B485" s="15"/>
      <c r="C485" s="10" t="str">
        <f>IF($B485="","",IFERROR(IF(ISNUMBER(FIND("[",$B485)),MID($B485,FIND("[",$B485)+1,FIND("]",$B485)-FIND("[",$B485)-1),IF(ISNUMBER($B485),INDEX(Personnes!$B$5:$B$154,MATCH($B485,Personnes!$A$5:$A$154,0)),IFERROR(INDEX(Personnes!$B$5:$B$154,MATCH($B485&amp;"*",Personnes!$C$5:$C$154,0)),INDEX(Personnes!$B$5:$B$154,MATCH($B485&amp;"*",Personnes!$D$5:$D$154,0))))),""))</f>
        <v/>
      </c>
      <c r="D485" s="10" t="str">
        <f>IFERROR(INDEX(Personnes!$C$5:$C$154,MATCH($C485,Personnes!$B$5:$B$154,0))&amp;"","")</f>
        <v/>
      </c>
      <c r="E485" s="10" t="str">
        <f>IFERROR(INDEX(Personnes!$D$5:$D$154,MATCH($C485,Personnes!$B$5:$B$154,0))&amp;"","")</f>
        <v/>
      </c>
      <c r="F485" s="15"/>
      <c r="G485" s="9"/>
      <c r="H485" s="10" t="str">
        <f>IF($B485="","",IF($C485="","apnéiste non reconnu",IF($A485="","séance non renseignée",IF(COUNTIFS($A$5:$A$504,$A485,$C$5:$C$504,$C485)&gt;1,"doublon séance / apnéiste",IF(OR($C485=IFERROR(INDEX('Calendrier'!$K$5:$K$5,MATCH($A485,'Calendrier'!$A$5:$A$5,0)),""),$C485=IFERROR(INDEX('Calendrier'!$O$5:$O$5,MATCH($A485,'Calendrier'!$A$5:$A$5,0)),"")),"encadrant et élève sur la même séance",IF(IFERROR(INDEX(Personnes!$H$5:$H$154,MATCH($C485,Personnes!$B$5:$B$154,0)),"")&lt;&gt;"oui","invité (hors ligne)","ok"))))))</f>
        <v/>
      </c>
    </row>
    <row r="486" spans="1:8" x14ac:dyDescent="0.2">
      <c r="A486" s="15"/>
      <c r="B486" s="15"/>
      <c r="C486" s="10" t="str">
        <f>IF($B486="","",IFERROR(IF(ISNUMBER(FIND("[",$B486)),MID($B486,FIND("[",$B486)+1,FIND("]",$B486)-FIND("[",$B486)-1),IF(ISNUMBER($B486),INDEX(Personnes!$B$5:$B$154,MATCH($B486,Personnes!$A$5:$A$154,0)),IFERROR(INDEX(Personnes!$B$5:$B$154,MATCH($B486&amp;"*",Personnes!$C$5:$C$154,0)),INDEX(Personnes!$B$5:$B$154,MATCH($B486&amp;"*",Personnes!$D$5:$D$154,0))))),""))</f>
        <v/>
      </c>
      <c r="D486" s="10" t="str">
        <f>IFERROR(INDEX(Personnes!$C$5:$C$154,MATCH($C486,Personnes!$B$5:$B$154,0))&amp;"","")</f>
        <v/>
      </c>
      <c r="E486" s="10" t="str">
        <f>IFERROR(INDEX(Personnes!$D$5:$D$154,MATCH($C486,Personnes!$B$5:$B$154,0))&amp;"","")</f>
        <v/>
      </c>
      <c r="F486" s="15"/>
      <c r="G486" s="9"/>
      <c r="H486" s="10" t="str">
        <f>IF($B486="","",IF($C486="","apnéiste non reconnu",IF($A486="","séance non renseignée",IF(COUNTIFS($A$5:$A$504,$A486,$C$5:$C$504,$C486)&gt;1,"doublon séance / apnéiste",IF(OR($C486=IFERROR(INDEX('Calendrier'!$K$5:$K$5,MATCH($A486,'Calendrier'!$A$5:$A$5,0)),""),$C486=IFERROR(INDEX('Calendrier'!$O$5:$O$5,MATCH($A486,'Calendrier'!$A$5:$A$5,0)),"")),"encadrant et élève sur la même séance",IF(IFERROR(INDEX(Personnes!$H$5:$H$154,MATCH($C486,Personnes!$B$5:$B$154,0)),"")&lt;&gt;"oui","invité (hors ligne)","ok"))))))</f>
        <v/>
      </c>
    </row>
    <row r="487" spans="1:8" x14ac:dyDescent="0.2">
      <c r="A487" s="15"/>
      <c r="B487" s="15"/>
      <c r="C487" s="10" t="str">
        <f>IF($B487="","",IFERROR(IF(ISNUMBER(FIND("[",$B487)),MID($B487,FIND("[",$B487)+1,FIND("]",$B487)-FIND("[",$B487)-1),IF(ISNUMBER($B487),INDEX(Personnes!$B$5:$B$154,MATCH($B487,Personnes!$A$5:$A$154,0)),IFERROR(INDEX(Personnes!$B$5:$B$154,MATCH($B487&amp;"*",Personnes!$C$5:$C$154,0)),INDEX(Personnes!$B$5:$B$154,MATCH($B487&amp;"*",Personnes!$D$5:$D$154,0))))),""))</f>
        <v/>
      </c>
      <c r="D487" s="10" t="str">
        <f>IFERROR(INDEX(Personnes!$C$5:$C$154,MATCH($C487,Personnes!$B$5:$B$154,0))&amp;"","")</f>
        <v/>
      </c>
      <c r="E487" s="10" t="str">
        <f>IFERROR(INDEX(Personnes!$D$5:$D$154,MATCH($C487,Personnes!$B$5:$B$154,0))&amp;"","")</f>
        <v/>
      </c>
      <c r="F487" s="15"/>
      <c r="G487" s="9"/>
      <c r="H487" s="10" t="str">
        <f>IF($B487="","",IF($C487="","apnéiste non reconnu",IF($A487="","séance non renseignée",IF(COUNTIFS($A$5:$A$504,$A487,$C$5:$C$504,$C487)&gt;1,"doublon séance / apnéiste",IF(OR($C487=IFERROR(INDEX('Calendrier'!$K$5:$K$5,MATCH($A487,'Calendrier'!$A$5:$A$5,0)),""),$C487=IFERROR(INDEX('Calendrier'!$O$5:$O$5,MATCH($A487,'Calendrier'!$A$5:$A$5,0)),"")),"encadrant et élève sur la même séance",IF(IFERROR(INDEX(Personnes!$H$5:$H$154,MATCH($C487,Personnes!$B$5:$B$154,0)),"")&lt;&gt;"oui","invité (hors ligne)","ok"))))))</f>
        <v/>
      </c>
    </row>
    <row r="488" spans="1:8" x14ac:dyDescent="0.2">
      <c r="A488" s="15"/>
      <c r="B488" s="15"/>
      <c r="C488" s="10" t="str">
        <f>IF($B488="","",IFERROR(IF(ISNUMBER(FIND("[",$B488)),MID($B488,FIND("[",$B488)+1,FIND("]",$B488)-FIND("[",$B488)-1),IF(ISNUMBER($B488),INDEX(Personnes!$B$5:$B$154,MATCH($B488,Personnes!$A$5:$A$154,0)),IFERROR(INDEX(Personnes!$B$5:$B$154,MATCH($B488&amp;"*",Personnes!$C$5:$C$154,0)),INDEX(Personnes!$B$5:$B$154,MATCH($B488&amp;"*",Personnes!$D$5:$D$154,0))))),""))</f>
        <v/>
      </c>
      <c r="D488" s="10" t="str">
        <f>IFERROR(INDEX(Personnes!$C$5:$C$154,MATCH($C488,Personnes!$B$5:$B$154,0))&amp;"","")</f>
        <v/>
      </c>
      <c r="E488" s="10" t="str">
        <f>IFERROR(INDEX(Personnes!$D$5:$D$154,MATCH($C488,Personnes!$B$5:$B$154,0))&amp;"","")</f>
        <v/>
      </c>
      <c r="F488" s="15"/>
      <c r="G488" s="9"/>
      <c r="H488" s="10" t="str">
        <f>IF($B488="","",IF($C488="","apnéiste non reconnu",IF($A488="","séance non renseignée",IF(COUNTIFS($A$5:$A$504,$A488,$C$5:$C$504,$C488)&gt;1,"doublon séance / apnéiste",IF(OR($C488=IFERROR(INDEX('Calendrier'!$K$5:$K$5,MATCH($A488,'Calendrier'!$A$5:$A$5,0)),""),$C488=IFERROR(INDEX('Calendrier'!$O$5:$O$5,MATCH($A488,'Calendrier'!$A$5:$A$5,0)),"")),"encadrant et élève sur la même séance",IF(IFERROR(INDEX(Personnes!$H$5:$H$154,MATCH($C488,Personnes!$B$5:$B$154,0)),"")&lt;&gt;"oui","invité (hors ligne)","ok"))))))</f>
        <v/>
      </c>
    </row>
    <row r="489" spans="1:8" x14ac:dyDescent="0.2">
      <c r="A489" s="15"/>
      <c r="B489" s="15"/>
      <c r="C489" s="10" t="str">
        <f>IF($B489="","",IFERROR(IF(ISNUMBER(FIND("[",$B489)),MID($B489,FIND("[",$B489)+1,FIND("]",$B489)-FIND("[",$B489)-1),IF(ISNUMBER($B489),INDEX(Personnes!$B$5:$B$154,MATCH($B489,Personnes!$A$5:$A$154,0)),IFERROR(INDEX(Personnes!$B$5:$B$154,MATCH($B489&amp;"*",Personnes!$C$5:$C$154,0)),INDEX(Personnes!$B$5:$B$154,MATCH($B489&amp;"*",Personnes!$D$5:$D$154,0))))),""))</f>
        <v/>
      </c>
      <c r="D489" s="10" t="str">
        <f>IFERROR(INDEX(Personnes!$C$5:$C$154,MATCH($C489,Personnes!$B$5:$B$154,0))&amp;"","")</f>
        <v/>
      </c>
      <c r="E489" s="10" t="str">
        <f>IFERROR(INDEX(Personnes!$D$5:$D$154,MATCH($C489,Personnes!$B$5:$B$154,0))&amp;"","")</f>
        <v/>
      </c>
      <c r="F489" s="15"/>
      <c r="G489" s="9"/>
      <c r="H489" s="10" t="str">
        <f>IF($B489="","",IF($C489="","apnéiste non reconnu",IF($A489="","séance non renseignée",IF(COUNTIFS($A$5:$A$504,$A489,$C$5:$C$504,$C489)&gt;1,"doublon séance / apnéiste",IF(OR($C489=IFERROR(INDEX('Calendrier'!$K$5:$K$5,MATCH($A489,'Calendrier'!$A$5:$A$5,0)),""),$C489=IFERROR(INDEX('Calendrier'!$O$5:$O$5,MATCH($A489,'Calendrier'!$A$5:$A$5,0)),"")),"encadrant et élève sur la même séance",IF(IFERROR(INDEX(Personnes!$H$5:$H$154,MATCH($C489,Personnes!$B$5:$B$154,0)),"")&lt;&gt;"oui","invité (hors ligne)","ok"))))))</f>
        <v/>
      </c>
    </row>
    <row r="490" spans="1:8" x14ac:dyDescent="0.2">
      <c r="A490" s="15"/>
      <c r="B490" s="15"/>
      <c r="C490" s="10" t="str">
        <f>IF($B490="","",IFERROR(IF(ISNUMBER(FIND("[",$B490)),MID($B490,FIND("[",$B490)+1,FIND("]",$B490)-FIND("[",$B490)-1),IF(ISNUMBER($B490),INDEX(Personnes!$B$5:$B$154,MATCH($B490,Personnes!$A$5:$A$154,0)),IFERROR(INDEX(Personnes!$B$5:$B$154,MATCH($B490&amp;"*",Personnes!$C$5:$C$154,0)),INDEX(Personnes!$B$5:$B$154,MATCH($B490&amp;"*",Personnes!$D$5:$D$154,0))))),""))</f>
        <v/>
      </c>
      <c r="D490" s="10" t="str">
        <f>IFERROR(INDEX(Personnes!$C$5:$C$154,MATCH($C490,Personnes!$B$5:$B$154,0))&amp;"","")</f>
        <v/>
      </c>
      <c r="E490" s="10" t="str">
        <f>IFERROR(INDEX(Personnes!$D$5:$D$154,MATCH($C490,Personnes!$B$5:$B$154,0))&amp;"","")</f>
        <v/>
      </c>
      <c r="F490" s="15"/>
      <c r="G490" s="9"/>
      <c r="H490" s="10" t="str">
        <f>IF($B490="","",IF($C490="","apnéiste non reconnu",IF($A490="","séance non renseignée",IF(COUNTIFS($A$5:$A$504,$A490,$C$5:$C$504,$C490)&gt;1,"doublon séance / apnéiste",IF(OR($C490=IFERROR(INDEX('Calendrier'!$K$5:$K$5,MATCH($A490,'Calendrier'!$A$5:$A$5,0)),""),$C490=IFERROR(INDEX('Calendrier'!$O$5:$O$5,MATCH($A490,'Calendrier'!$A$5:$A$5,0)),"")),"encadrant et élève sur la même séance",IF(IFERROR(INDEX(Personnes!$H$5:$H$154,MATCH($C490,Personnes!$B$5:$B$154,0)),"")&lt;&gt;"oui","invité (hors ligne)","ok"))))))</f>
        <v/>
      </c>
    </row>
    <row r="491" spans="1:8" x14ac:dyDescent="0.2">
      <c r="A491" s="15"/>
      <c r="B491" s="15"/>
      <c r="C491" s="10" t="str">
        <f>IF($B491="","",IFERROR(IF(ISNUMBER(FIND("[",$B491)),MID($B491,FIND("[",$B491)+1,FIND("]",$B491)-FIND("[",$B491)-1),IF(ISNUMBER($B491),INDEX(Personnes!$B$5:$B$154,MATCH($B491,Personnes!$A$5:$A$154,0)),IFERROR(INDEX(Personnes!$B$5:$B$154,MATCH($B491&amp;"*",Personnes!$C$5:$C$154,0)),INDEX(Personnes!$B$5:$B$154,MATCH($B491&amp;"*",Personnes!$D$5:$D$154,0))))),""))</f>
        <v/>
      </c>
      <c r="D491" s="10" t="str">
        <f>IFERROR(INDEX(Personnes!$C$5:$C$154,MATCH($C491,Personnes!$B$5:$B$154,0))&amp;"","")</f>
        <v/>
      </c>
      <c r="E491" s="10" t="str">
        <f>IFERROR(INDEX(Personnes!$D$5:$D$154,MATCH($C491,Personnes!$B$5:$B$154,0))&amp;"","")</f>
        <v/>
      </c>
      <c r="F491" s="15"/>
      <c r="G491" s="9"/>
      <c r="H491" s="10" t="str">
        <f>IF($B491="","",IF($C491="","apnéiste non reconnu",IF($A491="","séance non renseignée",IF(COUNTIFS($A$5:$A$504,$A491,$C$5:$C$504,$C491)&gt;1,"doublon séance / apnéiste",IF(OR($C491=IFERROR(INDEX('Calendrier'!$K$5:$K$5,MATCH($A491,'Calendrier'!$A$5:$A$5,0)),""),$C491=IFERROR(INDEX('Calendrier'!$O$5:$O$5,MATCH($A491,'Calendrier'!$A$5:$A$5,0)),"")),"encadrant et élève sur la même séance",IF(IFERROR(INDEX(Personnes!$H$5:$H$154,MATCH($C491,Personnes!$B$5:$B$154,0)),"")&lt;&gt;"oui","invité (hors ligne)","ok"))))))</f>
        <v/>
      </c>
    </row>
    <row r="492" spans="1:8" x14ac:dyDescent="0.2">
      <c r="A492" s="15"/>
      <c r="B492" s="15"/>
      <c r="C492" s="10" t="str">
        <f>IF($B492="","",IFERROR(IF(ISNUMBER(FIND("[",$B492)),MID($B492,FIND("[",$B492)+1,FIND("]",$B492)-FIND("[",$B492)-1),IF(ISNUMBER($B492),INDEX(Personnes!$B$5:$B$154,MATCH($B492,Personnes!$A$5:$A$154,0)),IFERROR(INDEX(Personnes!$B$5:$B$154,MATCH($B492&amp;"*",Personnes!$C$5:$C$154,0)),INDEX(Personnes!$B$5:$B$154,MATCH($B492&amp;"*",Personnes!$D$5:$D$154,0))))),""))</f>
        <v/>
      </c>
      <c r="D492" s="10" t="str">
        <f>IFERROR(INDEX(Personnes!$C$5:$C$154,MATCH($C492,Personnes!$B$5:$B$154,0))&amp;"","")</f>
        <v/>
      </c>
      <c r="E492" s="10" t="str">
        <f>IFERROR(INDEX(Personnes!$D$5:$D$154,MATCH($C492,Personnes!$B$5:$B$154,0))&amp;"","")</f>
        <v/>
      </c>
      <c r="F492" s="15"/>
      <c r="G492" s="9"/>
      <c r="H492" s="10" t="str">
        <f>IF($B492="","",IF($C492="","apnéiste non reconnu",IF($A492="","séance non renseignée",IF(COUNTIFS($A$5:$A$504,$A492,$C$5:$C$504,$C492)&gt;1,"doublon séance / apnéiste",IF(OR($C492=IFERROR(INDEX('Calendrier'!$K$5:$K$5,MATCH($A492,'Calendrier'!$A$5:$A$5,0)),""),$C492=IFERROR(INDEX('Calendrier'!$O$5:$O$5,MATCH($A492,'Calendrier'!$A$5:$A$5,0)),"")),"encadrant et élève sur la même séance",IF(IFERROR(INDEX(Personnes!$H$5:$H$154,MATCH($C492,Personnes!$B$5:$B$154,0)),"")&lt;&gt;"oui","invité (hors ligne)","ok"))))))</f>
        <v/>
      </c>
    </row>
    <row r="493" spans="1:8" x14ac:dyDescent="0.2">
      <c r="A493" s="15"/>
      <c r="B493" s="15"/>
      <c r="C493" s="10" t="str">
        <f>IF($B493="","",IFERROR(IF(ISNUMBER(FIND("[",$B493)),MID($B493,FIND("[",$B493)+1,FIND("]",$B493)-FIND("[",$B493)-1),IF(ISNUMBER($B493),INDEX(Personnes!$B$5:$B$154,MATCH($B493,Personnes!$A$5:$A$154,0)),IFERROR(INDEX(Personnes!$B$5:$B$154,MATCH($B493&amp;"*",Personnes!$C$5:$C$154,0)),INDEX(Personnes!$B$5:$B$154,MATCH($B493&amp;"*",Personnes!$D$5:$D$154,0))))),""))</f>
        <v/>
      </c>
      <c r="D493" s="10" t="str">
        <f>IFERROR(INDEX(Personnes!$C$5:$C$154,MATCH($C493,Personnes!$B$5:$B$154,0))&amp;"","")</f>
        <v/>
      </c>
      <c r="E493" s="10" t="str">
        <f>IFERROR(INDEX(Personnes!$D$5:$D$154,MATCH($C493,Personnes!$B$5:$B$154,0))&amp;"","")</f>
        <v/>
      </c>
      <c r="F493" s="15"/>
      <c r="G493" s="9"/>
      <c r="H493" s="10" t="str">
        <f>IF($B493="","",IF($C493="","apnéiste non reconnu",IF($A493="","séance non renseignée",IF(COUNTIFS($A$5:$A$504,$A493,$C$5:$C$504,$C493)&gt;1,"doublon séance / apnéiste",IF(OR($C493=IFERROR(INDEX('Calendrier'!$K$5:$K$5,MATCH($A493,'Calendrier'!$A$5:$A$5,0)),""),$C493=IFERROR(INDEX('Calendrier'!$O$5:$O$5,MATCH($A493,'Calendrier'!$A$5:$A$5,0)),"")),"encadrant et élève sur la même séance",IF(IFERROR(INDEX(Personnes!$H$5:$H$154,MATCH($C493,Personnes!$B$5:$B$154,0)),"")&lt;&gt;"oui","invité (hors ligne)","ok"))))))</f>
        <v/>
      </c>
    </row>
    <row r="494" spans="1:8" x14ac:dyDescent="0.2">
      <c r="A494" s="15"/>
      <c r="B494" s="15"/>
      <c r="C494" s="10" t="str">
        <f>IF($B494="","",IFERROR(IF(ISNUMBER(FIND("[",$B494)),MID($B494,FIND("[",$B494)+1,FIND("]",$B494)-FIND("[",$B494)-1),IF(ISNUMBER($B494),INDEX(Personnes!$B$5:$B$154,MATCH($B494,Personnes!$A$5:$A$154,0)),IFERROR(INDEX(Personnes!$B$5:$B$154,MATCH($B494&amp;"*",Personnes!$C$5:$C$154,0)),INDEX(Personnes!$B$5:$B$154,MATCH($B494&amp;"*",Personnes!$D$5:$D$154,0))))),""))</f>
        <v/>
      </c>
      <c r="D494" s="10" t="str">
        <f>IFERROR(INDEX(Personnes!$C$5:$C$154,MATCH($C494,Personnes!$B$5:$B$154,0))&amp;"","")</f>
        <v/>
      </c>
      <c r="E494" s="10" t="str">
        <f>IFERROR(INDEX(Personnes!$D$5:$D$154,MATCH($C494,Personnes!$B$5:$B$154,0))&amp;"","")</f>
        <v/>
      </c>
      <c r="F494" s="15"/>
      <c r="G494" s="9"/>
      <c r="H494" s="10" t="str">
        <f>IF($B494="","",IF($C494="","apnéiste non reconnu",IF($A494="","séance non renseignée",IF(COUNTIFS($A$5:$A$504,$A494,$C$5:$C$504,$C494)&gt;1,"doublon séance / apnéiste",IF(OR($C494=IFERROR(INDEX('Calendrier'!$K$5:$K$5,MATCH($A494,'Calendrier'!$A$5:$A$5,0)),""),$C494=IFERROR(INDEX('Calendrier'!$O$5:$O$5,MATCH($A494,'Calendrier'!$A$5:$A$5,0)),"")),"encadrant et élève sur la même séance",IF(IFERROR(INDEX(Personnes!$H$5:$H$154,MATCH($C494,Personnes!$B$5:$B$154,0)),"")&lt;&gt;"oui","invité (hors ligne)","ok"))))))</f>
        <v/>
      </c>
    </row>
    <row r="495" spans="1:8" x14ac:dyDescent="0.2">
      <c r="A495" s="15"/>
      <c r="B495" s="15"/>
      <c r="C495" s="10" t="str">
        <f>IF($B495="","",IFERROR(IF(ISNUMBER(FIND("[",$B495)),MID($B495,FIND("[",$B495)+1,FIND("]",$B495)-FIND("[",$B495)-1),IF(ISNUMBER($B495),INDEX(Personnes!$B$5:$B$154,MATCH($B495,Personnes!$A$5:$A$154,0)),IFERROR(INDEX(Personnes!$B$5:$B$154,MATCH($B495&amp;"*",Personnes!$C$5:$C$154,0)),INDEX(Personnes!$B$5:$B$154,MATCH($B495&amp;"*",Personnes!$D$5:$D$154,0))))),""))</f>
        <v/>
      </c>
      <c r="D495" s="10" t="str">
        <f>IFERROR(INDEX(Personnes!$C$5:$C$154,MATCH($C495,Personnes!$B$5:$B$154,0))&amp;"","")</f>
        <v/>
      </c>
      <c r="E495" s="10" t="str">
        <f>IFERROR(INDEX(Personnes!$D$5:$D$154,MATCH($C495,Personnes!$B$5:$B$154,0))&amp;"","")</f>
        <v/>
      </c>
      <c r="F495" s="15"/>
      <c r="G495" s="9"/>
      <c r="H495" s="10" t="str">
        <f>IF($B495="","",IF($C495="","apnéiste non reconnu",IF($A495="","séance non renseignée",IF(COUNTIFS($A$5:$A$504,$A495,$C$5:$C$504,$C495)&gt;1,"doublon séance / apnéiste",IF(OR($C495=IFERROR(INDEX('Calendrier'!$K$5:$K$5,MATCH($A495,'Calendrier'!$A$5:$A$5,0)),""),$C495=IFERROR(INDEX('Calendrier'!$O$5:$O$5,MATCH($A495,'Calendrier'!$A$5:$A$5,0)),"")),"encadrant et élève sur la même séance",IF(IFERROR(INDEX(Personnes!$H$5:$H$154,MATCH($C495,Personnes!$B$5:$B$154,0)),"")&lt;&gt;"oui","invité (hors ligne)","ok"))))))</f>
        <v/>
      </c>
    </row>
    <row r="496" spans="1:8" x14ac:dyDescent="0.2">
      <c r="A496" s="15"/>
      <c r="B496" s="15"/>
      <c r="C496" s="10" t="str">
        <f>IF($B496="","",IFERROR(IF(ISNUMBER(FIND("[",$B496)),MID($B496,FIND("[",$B496)+1,FIND("]",$B496)-FIND("[",$B496)-1),IF(ISNUMBER($B496),INDEX(Personnes!$B$5:$B$154,MATCH($B496,Personnes!$A$5:$A$154,0)),IFERROR(INDEX(Personnes!$B$5:$B$154,MATCH($B496&amp;"*",Personnes!$C$5:$C$154,0)),INDEX(Personnes!$B$5:$B$154,MATCH($B496&amp;"*",Personnes!$D$5:$D$154,0))))),""))</f>
        <v/>
      </c>
      <c r="D496" s="10" t="str">
        <f>IFERROR(INDEX(Personnes!$C$5:$C$154,MATCH($C496,Personnes!$B$5:$B$154,0))&amp;"","")</f>
        <v/>
      </c>
      <c r="E496" s="10" t="str">
        <f>IFERROR(INDEX(Personnes!$D$5:$D$154,MATCH($C496,Personnes!$B$5:$B$154,0))&amp;"","")</f>
        <v/>
      </c>
      <c r="F496" s="15"/>
      <c r="G496" s="9"/>
      <c r="H496" s="10" t="str">
        <f>IF($B496="","",IF($C496="","apnéiste non reconnu",IF($A496="","séance non renseignée",IF(COUNTIFS($A$5:$A$504,$A496,$C$5:$C$504,$C496)&gt;1,"doublon séance / apnéiste",IF(OR($C496=IFERROR(INDEX('Calendrier'!$K$5:$K$5,MATCH($A496,'Calendrier'!$A$5:$A$5,0)),""),$C496=IFERROR(INDEX('Calendrier'!$O$5:$O$5,MATCH($A496,'Calendrier'!$A$5:$A$5,0)),"")),"encadrant et élève sur la même séance",IF(IFERROR(INDEX(Personnes!$H$5:$H$154,MATCH($C496,Personnes!$B$5:$B$154,0)),"")&lt;&gt;"oui","invité (hors ligne)","ok"))))))</f>
        <v/>
      </c>
    </row>
    <row r="497" spans="1:8" x14ac:dyDescent="0.2">
      <c r="A497" s="15"/>
      <c r="B497" s="15"/>
      <c r="C497" s="10" t="str">
        <f>IF($B497="","",IFERROR(IF(ISNUMBER(FIND("[",$B497)),MID($B497,FIND("[",$B497)+1,FIND("]",$B497)-FIND("[",$B497)-1),IF(ISNUMBER($B497),INDEX(Personnes!$B$5:$B$154,MATCH($B497,Personnes!$A$5:$A$154,0)),IFERROR(INDEX(Personnes!$B$5:$B$154,MATCH($B497&amp;"*",Personnes!$C$5:$C$154,0)),INDEX(Personnes!$B$5:$B$154,MATCH($B497&amp;"*",Personnes!$D$5:$D$154,0))))),""))</f>
        <v/>
      </c>
      <c r="D497" s="10" t="str">
        <f>IFERROR(INDEX(Personnes!$C$5:$C$154,MATCH($C497,Personnes!$B$5:$B$154,0))&amp;"","")</f>
        <v/>
      </c>
      <c r="E497" s="10" t="str">
        <f>IFERROR(INDEX(Personnes!$D$5:$D$154,MATCH($C497,Personnes!$B$5:$B$154,0))&amp;"","")</f>
        <v/>
      </c>
      <c r="F497" s="15"/>
      <c r="G497" s="9"/>
      <c r="H497" s="10" t="str">
        <f>IF($B497="","",IF($C497="","apnéiste non reconnu",IF($A497="","séance non renseignée",IF(COUNTIFS($A$5:$A$504,$A497,$C$5:$C$504,$C497)&gt;1,"doublon séance / apnéiste",IF(OR($C497=IFERROR(INDEX('Calendrier'!$K$5:$K$5,MATCH($A497,'Calendrier'!$A$5:$A$5,0)),""),$C497=IFERROR(INDEX('Calendrier'!$O$5:$O$5,MATCH($A497,'Calendrier'!$A$5:$A$5,0)),"")),"encadrant et élève sur la même séance",IF(IFERROR(INDEX(Personnes!$H$5:$H$154,MATCH($C497,Personnes!$B$5:$B$154,0)),"")&lt;&gt;"oui","invité (hors ligne)","ok"))))))</f>
        <v/>
      </c>
    </row>
    <row r="498" spans="1:8" x14ac:dyDescent="0.2">
      <c r="A498" s="15"/>
      <c r="B498" s="15"/>
      <c r="C498" s="10" t="str">
        <f>IF($B498="","",IFERROR(IF(ISNUMBER(FIND("[",$B498)),MID($B498,FIND("[",$B498)+1,FIND("]",$B498)-FIND("[",$B498)-1),IF(ISNUMBER($B498),INDEX(Personnes!$B$5:$B$154,MATCH($B498,Personnes!$A$5:$A$154,0)),IFERROR(INDEX(Personnes!$B$5:$B$154,MATCH($B498&amp;"*",Personnes!$C$5:$C$154,0)),INDEX(Personnes!$B$5:$B$154,MATCH($B498&amp;"*",Personnes!$D$5:$D$154,0))))),""))</f>
        <v/>
      </c>
      <c r="D498" s="10" t="str">
        <f>IFERROR(INDEX(Personnes!$C$5:$C$154,MATCH($C498,Personnes!$B$5:$B$154,0))&amp;"","")</f>
        <v/>
      </c>
      <c r="E498" s="10" t="str">
        <f>IFERROR(INDEX(Personnes!$D$5:$D$154,MATCH($C498,Personnes!$B$5:$B$154,0))&amp;"","")</f>
        <v/>
      </c>
      <c r="F498" s="15"/>
      <c r="G498" s="9"/>
      <c r="H498" s="10" t="str">
        <f>IF($B498="","",IF($C498="","apnéiste non reconnu",IF($A498="","séance non renseignée",IF(COUNTIFS($A$5:$A$504,$A498,$C$5:$C$504,$C498)&gt;1,"doublon séance / apnéiste",IF(OR($C498=IFERROR(INDEX('Calendrier'!$K$5:$K$5,MATCH($A498,'Calendrier'!$A$5:$A$5,0)),""),$C498=IFERROR(INDEX('Calendrier'!$O$5:$O$5,MATCH($A498,'Calendrier'!$A$5:$A$5,0)),"")),"encadrant et élève sur la même séance",IF(IFERROR(INDEX(Personnes!$H$5:$H$154,MATCH($C498,Personnes!$B$5:$B$154,0)),"")&lt;&gt;"oui","invité (hors ligne)","ok"))))))</f>
        <v/>
      </c>
    </row>
    <row r="499" spans="1:8" x14ac:dyDescent="0.2">
      <c r="A499" s="15"/>
      <c r="B499" s="15"/>
      <c r="C499" s="10" t="str">
        <f>IF($B499="","",IFERROR(IF(ISNUMBER(FIND("[",$B499)),MID($B499,FIND("[",$B499)+1,FIND("]",$B499)-FIND("[",$B499)-1),IF(ISNUMBER($B499),INDEX(Personnes!$B$5:$B$154,MATCH($B499,Personnes!$A$5:$A$154,0)),IFERROR(INDEX(Personnes!$B$5:$B$154,MATCH($B499&amp;"*",Personnes!$C$5:$C$154,0)),INDEX(Personnes!$B$5:$B$154,MATCH($B499&amp;"*",Personnes!$D$5:$D$154,0))))),""))</f>
        <v/>
      </c>
      <c r="D499" s="10" t="str">
        <f>IFERROR(INDEX(Personnes!$C$5:$C$154,MATCH($C499,Personnes!$B$5:$B$154,0))&amp;"","")</f>
        <v/>
      </c>
      <c r="E499" s="10" t="str">
        <f>IFERROR(INDEX(Personnes!$D$5:$D$154,MATCH($C499,Personnes!$B$5:$B$154,0))&amp;"","")</f>
        <v/>
      </c>
      <c r="F499" s="15"/>
      <c r="G499" s="9"/>
      <c r="H499" s="10" t="str">
        <f>IF($B499="","",IF($C499="","apnéiste non reconnu",IF($A499="","séance non renseignée",IF(COUNTIFS($A$5:$A$504,$A499,$C$5:$C$504,$C499)&gt;1,"doublon séance / apnéiste",IF(OR($C499=IFERROR(INDEX('Calendrier'!$K$5:$K$5,MATCH($A499,'Calendrier'!$A$5:$A$5,0)),""),$C499=IFERROR(INDEX('Calendrier'!$O$5:$O$5,MATCH($A499,'Calendrier'!$A$5:$A$5,0)),"")),"encadrant et élève sur la même séance",IF(IFERROR(INDEX(Personnes!$H$5:$H$154,MATCH($C499,Personnes!$B$5:$B$154,0)),"")&lt;&gt;"oui","invité (hors ligne)","ok"))))))</f>
        <v/>
      </c>
    </row>
    <row r="500" spans="1:8" x14ac:dyDescent="0.2">
      <c r="A500" s="15"/>
      <c r="B500" s="15"/>
      <c r="C500" s="10" t="str">
        <f>IF($B500="","",IFERROR(IF(ISNUMBER(FIND("[",$B500)),MID($B500,FIND("[",$B500)+1,FIND("]",$B500)-FIND("[",$B500)-1),IF(ISNUMBER($B500),INDEX(Personnes!$B$5:$B$154,MATCH($B500,Personnes!$A$5:$A$154,0)),IFERROR(INDEX(Personnes!$B$5:$B$154,MATCH($B500&amp;"*",Personnes!$C$5:$C$154,0)),INDEX(Personnes!$B$5:$B$154,MATCH($B500&amp;"*",Personnes!$D$5:$D$154,0))))),""))</f>
        <v/>
      </c>
      <c r="D500" s="10" t="str">
        <f>IFERROR(INDEX(Personnes!$C$5:$C$154,MATCH($C500,Personnes!$B$5:$B$154,0))&amp;"","")</f>
        <v/>
      </c>
      <c r="E500" s="10" t="str">
        <f>IFERROR(INDEX(Personnes!$D$5:$D$154,MATCH($C500,Personnes!$B$5:$B$154,0))&amp;"","")</f>
        <v/>
      </c>
      <c r="F500" s="15"/>
      <c r="G500" s="9"/>
      <c r="H500" s="10" t="str">
        <f>IF($B500="","",IF($C500="","apnéiste non reconnu",IF($A500="","séance non renseignée",IF(COUNTIFS($A$5:$A$504,$A500,$C$5:$C$504,$C500)&gt;1,"doublon séance / apnéiste",IF(OR($C500=IFERROR(INDEX('Calendrier'!$K$5:$K$5,MATCH($A500,'Calendrier'!$A$5:$A$5,0)),""),$C500=IFERROR(INDEX('Calendrier'!$O$5:$O$5,MATCH($A500,'Calendrier'!$A$5:$A$5,0)),"")),"encadrant et élève sur la même séance",IF(IFERROR(INDEX(Personnes!$H$5:$H$154,MATCH($C500,Personnes!$B$5:$B$154,0)),"")&lt;&gt;"oui","invité (hors ligne)","ok"))))))</f>
        <v/>
      </c>
    </row>
    <row r="501" spans="1:8" x14ac:dyDescent="0.2">
      <c r="A501" s="15"/>
      <c r="B501" s="15"/>
      <c r="C501" s="10" t="str">
        <f>IF($B501="","",IFERROR(IF(ISNUMBER(FIND("[",$B501)),MID($B501,FIND("[",$B501)+1,FIND("]",$B501)-FIND("[",$B501)-1),IF(ISNUMBER($B501),INDEX(Personnes!$B$5:$B$154,MATCH($B501,Personnes!$A$5:$A$154,0)),IFERROR(INDEX(Personnes!$B$5:$B$154,MATCH($B501&amp;"*",Personnes!$C$5:$C$154,0)),INDEX(Personnes!$B$5:$B$154,MATCH($B501&amp;"*",Personnes!$D$5:$D$154,0))))),""))</f>
        <v/>
      </c>
      <c r="D501" s="10" t="str">
        <f>IFERROR(INDEX(Personnes!$C$5:$C$154,MATCH($C501,Personnes!$B$5:$B$154,0))&amp;"","")</f>
        <v/>
      </c>
      <c r="E501" s="10" t="str">
        <f>IFERROR(INDEX(Personnes!$D$5:$D$154,MATCH($C501,Personnes!$B$5:$B$154,0))&amp;"","")</f>
        <v/>
      </c>
      <c r="F501" s="15"/>
      <c r="G501" s="9"/>
      <c r="H501" s="10" t="str">
        <f>IF($B501="","",IF($C501="","apnéiste non reconnu",IF($A501="","séance non renseignée",IF(COUNTIFS($A$5:$A$504,$A501,$C$5:$C$504,$C501)&gt;1,"doublon séance / apnéiste",IF(OR($C501=IFERROR(INDEX('Calendrier'!$K$5:$K$5,MATCH($A501,'Calendrier'!$A$5:$A$5,0)),""),$C501=IFERROR(INDEX('Calendrier'!$O$5:$O$5,MATCH($A501,'Calendrier'!$A$5:$A$5,0)),"")),"encadrant et élève sur la même séance",IF(IFERROR(INDEX(Personnes!$H$5:$H$154,MATCH($C501,Personnes!$B$5:$B$154,0)),"")&lt;&gt;"oui","invité (hors ligne)","ok"))))))</f>
        <v/>
      </c>
    </row>
    <row r="502" spans="1:8" x14ac:dyDescent="0.2">
      <c r="A502" s="15"/>
      <c r="B502" s="15"/>
      <c r="C502" s="10" t="str">
        <f>IF($B502="","",IFERROR(IF(ISNUMBER(FIND("[",$B502)),MID($B502,FIND("[",$B502)+1,FIND("]",$B502)-FIND("[",$B502)-1),IF(ISNUMBER($B502),INDEX(Personnes!$B$5:$B$154,MATCH($B502,Personnes!$A$5:$A$154,0)),IFERROR(INDEX(Personnes!$B$5:$B$154,MATCH($B502&amp;"*",Personnes!$C$5:$C$154,0)),INDEX(Personnes!$B$5:$B$154,MATCH($B502&amp;"*",Personnes!$D$5:$D$154,0))))),""))</f>
        <v/>
      </c>
      <c r="D502" s="10" t="str">
        <f>IFERROR(INDEX(Personnes!$C$5:$C$154,MATCH($C502,Personnes!$B$5:$B$154,0))&amp;"","")</f>
        <v/>
      </c>
      <c r="E502" s="10" t="str">
        <f>IFERROR(INDEX(Personnes!$D$5:$D$154,MATCH($C502,Personnes!$B$5:$B$154,0))&amp;"","")</f>
        <v/>
      </c>
      <c r="F502" s="15"/>
      <c r="G502" s="9"/>
      <c r="H502" s="10" t="str">
        <f>IF($B502="","",IF($C502="","apnéiste non reconnu",IF($A502="","séance non renseignée",IF(COUNTIFS($A$5:$A$504,$A502,$C$5:$C$504,$C502)&gt;1,"doublon séance / apnéiste",IF(OR($C502=IFERROR(INDEX('Calendrier'!$K$5:$K$5,MATCH($A502,'Calendrier'!$A$5:$A$5,0)),""),$C502=IFERROR(INDEX('Calendrier'!$O$5:$O$5,MATCH($A502,'Calendrier'!$A$5:$A$5,0)),"")),"encadrant et élève sur la même séance",IF(IFERROR(INDEX(Personnes!$H$5:$H$154,MATCH($C502,Personnes!$B$5:$B$154,0)),"")&lt;&gt;"oui","invité (hors ligne)","ok"))))))</f>
        <v/>
      </c>
    </row>
    <row r="503" spans="1:8" x14ac:dyDescent="0.2">
      <c r="A503" s="15"/>
      <c r="B503" s="15"/>
      <c r="C503" s="10" t="str">
        <f>IF($B503="","",IFERROR(IF(ISNUMBER(FIND("[",$B503)),MID($B503,FIND("[",$B503)+1,FIND("]",$B503)-FIND("[",$B503)-1),IF(ISNUMBER($B503),INDEX(Personnes!$B$5:$B$154,MATCH($B503,Personnes!$A$5:$A$154,0)),IFERROR(INDEX(Personnes!$B$5:$B$154,MATCH($B503&amp;"*",Personnes!$C$5:$C$154,0)),INDEX(Personnes!$B$5:$B$154,MATCH($B503&amp;"*",Personnes!$D$5:$D$154,0))))),""))</f>
        <v/>
      </c>
      <c r="D503" s="10" t="str">
        <f>IFERROR(INDEX(Personnes!$C$5:$C$154,MATCH($C503,Personnes!$B$5:$B$154,0))&amp;"","")</f>
        <v/>
      </c>
      <c r="E503" s="10" t="str">
        <f>IFERROR(INDEX(Personnes!$D$5:$D$154,MATCH($C503,Personnes!$B$5:$B$154,0))&amp;"","")</f>
        <v/>
      </c>
      <c r="F503" s="15"/>
      <c r="G503" s="9"/>
      <c r="H503" s="10" t="str">
        <f>IF($B503="","",IF($C503="","apnéiste non reconnu",IF($A503="","séance non renseignée",IF(COUNTIFS($A$5:$A$504,$A503,$C$5:$C$504,$C503)&gt;1,"doublon séance / apnéiste",IF(OR($C503=IFERROR(INDEX('Calendrier'!$K$5:$K$5,MATCH($A503,'Calendrier'!$A$5:$A$5,0)),""),$C503=IFERROR(INDEX('Calendrier'!$O$5:$O$5,MATCH($A503,'Calendrier'!$A$5:$A$5,0)),"")),"encadrant et élève sur la même séance",IF(IFERROR(INDEX(Personnes!$H$5:$H$154,MATCH($C503,Personnes!$B$5:$B$154,0)),"")&lt;&gt;"oui","invité (hors ligne)","ok"))))))</f>
        <v/>
      </c>
    </row>
    <row r="504" spans="1:8" x14ac:dyDescent="0.2">
      <c r="A504" s="15"/>
      <c r="B504" s="15"/>
      <c r="C504" s="10" t="str">
        <f>IF($B504="","",IFERROR(IF(ISNUMBER(FIND("[",$B504)),MID($B504,FIND("[",$B504)+1,FIND("]",$B504)-FIND("[",$B504)-1),IF(ISNUMBER($B504),INDEX(Personnes!$B$5:$B$154,MATCH($B504,Personnes!$A$5:$A$154,0)),IFERROR(INDEX(Personnes!$B$5:$B$154,MATCH($B504&amp;"*",Personnes!$C$5:$C$154,0)),INDEX(Personnes!$B$5:$B$154,MATCH($B504&amp;"*",Personnes!$D$5:$D$154,0))))),""))</f>
        <v/>
      </c>
      <c r="D504" s="10" t="str">
        <f>IFERROR(INDEX(Personnes!$C$5:$C$154,MATCH($C504,Personnes!$B$5:$B$154,0))&amp;"","")</f>
        <v/>
      </c>
      <c r="E504" s="10" t="str">
        <f>IFERROR(INDEX(Personnes!$D$5:$D$154,MATCH($C504,Personnes!$B$5:$B$154,0))&amp;"","")</f>
        <v/>
      </c>
      <c r="F504" s="15"/>
      <c r="G504" s="9"/>
      <c r="H504" s="10" t="str">
        <f>IF($B504="","",IF($C504="","apnéiste non reconnu",IF($A504="","séance non renseignée",IF(COUNTIFS($A$5:$A$504,$A504,$C$5:$C$504,$C504)&gt;1,"doublon séance / apnéiste",IF(OR($C504=IFERROR(INDEX('Calendrier'!$K$5:$K$5,MATCH($A504,'Calendrier'!$A$5:$A$5,0)),""),$C504=IFERROR(INDEX('Calendrier'!$O$5:$O$5,MATCH($A504,'Calendrier'!$A$5:$A$5,0)),"")),"encadrant et élève sur la même séance",IF(IFERROR(INDEX(Personnes!$H$5:$H$154,MATCH($C504,Personnes!$B$5:$B$154,0)),"")&lt;&gt;"oui","invité (hors ligne)","ok"))))))</f>
        <v/>
      </c>
    </row>
  </sheetData>
  <dataValidations count="1">
    <dataValidation type="list" allowBlank="1" sqref="F5:F504" xr:uid="{00000000-0002-0000-0500-000001000000}">
      <formula1>"en difficulté,conforme,à l'aise"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500-000000000000}">
          <x14:formula1>
            <xm:f>Selection!$A$2:$A$151</xm:f>
          </x14:formula1>
          <xm:sqref>B5:B504</xm:sqref>
        </x14:dataValidation>
        <x14:dataValidation type="list" allowBlank="1" xr:uid="{00000000-0002-0000-0500-000002000000}">
          <x14:formula1>
            <xm:f>'Calendrier'!$A$5:$A$48</xm:f>
          </x14:formula1>
          <xm:sqref>A5:A504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5F"/>
  </sheetPr>
  <dimension ref="A1:U107"/>
  <sheetViews>
    <sheetView workbookViewId="0">
      <pane xSplit="4" ySplit="7" topLeftCell="E8"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5" width="9" customWidth="1"/>
    <col min="6" max="6" width="8" customWidth="1"/>
    <col min="7" max="7" width="9" customWidth="1"/>
    <col min="8" max="8" width="8" customWidth="1"/>
    <col min="9" max="9" width="9" customWidth="1"/>
    <col min="10" max="10" width="8" customWidth="1"/>
    <col min="11" max="11" width="9" customWidth="1"/>
    <col min="12" max="12" width="8" customWidth="1"/>
    <col min="13" max="13" width="9" customWidth="1"/>
    <col min="14" max="14" width="8" customWidth="1"/>
    <col min="15" max="19" width="13" customWidth="1"/>
    <col min="20" max="20" width="24" customWidth="1"/>
    <col min="21" max="21" width="12" customWidth="1"/>
  </cols>
  <sheetData>
    <row r="1" spans="1:21" ht="18" x14ac:dyDescent="0.2">
      <c r="A1" s="4" t="s">
        <v>518</v>
      </c>
    </row>
    <row r="2" spans="1:21" x14ac:dyDescent="0.2">
      <c r="A2" s="5" t="s">
        <v>519</v>
      </c>
    </row>
    <row r="4" spans="1:21" x14ac:dyDescent="0.2">
      <c r="E4" s="16" t="s">
        <v>520</v>
      </c>
      <c r="O4" s="16" t="s">
        <v>521</v>
      </c>
    </row>
    <row r="5" spans="1:21" ht="44" customHeight="1" x14ac:dyDescent="0.2">
      <c r="E5" s="17" t="s">
        <v>73</v>
      </c>
      <c r="G5" s="17" t="s">
        <v>77</v>
      </c>
      <c r="I5" s="17" t="s">
        <v>80</v>
      </c>
      <c r="K5" s="17" t="s">
        <v>83</v>
      </c>
      <c r="M5" s="17" t="s">
        <v>86</v>
      </c>
      <c r="O5" s="17" t="s">
        <v>89</v>
      </c>
      <c r="P5" s="17" t="s">
        <v>92</v>
      </c>
      <c r="Q5" s="17" t="s">
        <v>94</v>
      </c>
      <c r="R5" s="17" t="s">
        <v>96</v>
      </c>
      <c r="S5" s="17" t="s">
        <v>98</v>
      </c>
    </row>
    <row r="6" spans="1:21" x14ac:dyDescent="0.2">
      <c r="E6" s="10">
        <f>IFERROR(INDEX(Referentiel!$E$6:$E$25,MATCH("L4-M1",Referentiel!$A$6:$A$25,0)),"")</f>
        <v>0</v>
      </c>
      <c r="F6" s="5" t="s">
        <v>522</v>
      </c>
      <c r="G6" s="10">
        <f>IFERROR(INDEX(Referentiel!$E$6:$E$25,MATCH("L4-M2",Referentiel!$A$6:$A$25,0)),"")</f>
        <v>0</v>
      </c>
      <c r="H6" s="5" t="s">
        <v>522</v>
      </c>
      <c r="I6" s="10">
        <f>IFERROR(INDEX(Referentiel!$E$6:$E$25,MATCH("L4-M3",Referentiel!$A$6:$A$25,0)),"")</f>
        <v>0</v>
      </c>
      <c r="J6" s="5" t="s">
        <v>522</v>
      </c>
      <c r="K6" s="10">
        <f>IFERROR(INDEX(Referentiel!$E$6:$E$25,MATCH("L4-M4",Referentiel!$A$6:$A$25,0)),"")</f>
        <v>0</v>
      </c>
      <c r="L6" s="5" t="s">
        <v>522</v>
      </c>
      <c r="M6" s="10">
        <f>IFERROR(INDEX(Referentiel!$E$6:$E$25,MATCH("L4-M5",Referentiel!$A$6:$A$25,0)),"")</f>
        <v>0</v>
      </c>
      <c r="N6" s="5" t="s">
        <v>522</v>
      </c>
    </row>
    <row r="7" spans="1:21" ht="28" x14ac:dyDescent="0.2">
      <c r="A7" s="18" t="s">
        <v>100</v>
      </c>
      <c r="B7" s="18" t="s">
        <v>63</v>
      </c>
      <c r="C7" s="18" t="s">
        <v>150</v>
      </c>
      <c r="D7" s="18" t="s">
        <v>151</v>
      </c>
      <c r="E7" s="18" t="s">
        <v>523</v>
      </c>
      <c r="F7" s="18" t="s">
        <v>524</v>
      </c>
      <c r="G7" s="18" t="s">
        <v>525</v>
      </c>
      <c r="H7" s="18" t="s">
        <v>526</v>
      </c>
      <c r="I7" s="18" t="s">
        <v>527</v>
      </c>
      <c r="J7" s="18" t="s">
        <v>528</v>
      </c>
      <c r="K7" s="18" t="s">
        <v>529</v>
      </c>
      <c r="L7" s="18" t="s">
        <v>530</v>
      </c>
      <c r="M7" s="18" t="s">
        <v>531</v>
      </c>
      <c r="N7" s="18" t="s">
        <v>532</v>
      </c>
      <c r="O7" s="18" t="s">
        <v>533</v>
      </c>
      <c r="P7" s="18" t="s">
        <v>534</v>
      </c>
      <c r="Q7" s="18" t="s">
        <v>535</v>
      </c>
      <c r="R7" s="18" t="s">
        <v>536</v>
      </c>
      <c r="S7" s="18" t="s">
        <v>537</v>
      </c>
      <c r="T7" s="18" t="s">
        <v>538</v>
      </c>
      <c r="U7" s="18" t="s">
        <v>539</v>
      </c>
    </row>
    <row r="8" spans="1:21" x14ac:dyDescent="0.2">
      <c r="A8" s="7">
        <v>1</v>
      </c>
      <c r="B8" s="10" t="str">
        <f>IFERROR(INDEX(Personnes!$B$5:$B$154,MATCH(1,Personnes!$L$5:$L$154,0)),"")</f>
        <v>P100</v>
      </c>
      <c r="C8" s="10" t="str">
        <f>IFERROR(INDEX(Personnes!$C$5:$C$154,MATCH($B8,Personnes!$B$5:$B$154,0))&amp;"","")</f>
        <v>AUBERT</v>
      </c>
      <c r="D8" s="10" t="str">
        <f>IFERROR(INDEX(Personnes!$D$5:$D$154,MATCH($B8,Personnes!$B$5:$B$154,0))&amp;"","")</f>
        <v>Sebastien</v>
      </c>
      <c r="E8" s="7"/>
      <c r="F8" s="19" t="str">
        <f t="shared" ref="F8:F39" si="0">IFERROR(IF($E8="","",MIN(1,$E8/E$6)),"")</f>
        <v/>
      </c>
      <c r="G8" s="7"/>
      <c r="H8" s="19" t="str">
        <f t="shared" ref="H8:H39" si="1">IFERROR(IF($G8="","",MIN(1,$G8/G$6)),"")</f>
        <v/>
      </c>
      <c r="I8" s="7"/>
      <c r="J8" s="19" t="str">
        <f t="shared" ref="J8:J39" si="2">IFERROR(IF($I8="","",MIN(1,$I8/I$6)),"")</f>
        <v/>
      </c>
      <c r="K8" s="7"/>
      <c r="L8" s="19" t="str">
        <f t="shared" ref="L8:L39" si="3">IFERROR(IF($K8="","",MIN(1,$K8/K$6)),"")</f>
        <v/>
      </c>
      <c r="M8" s="7"/>
      <c r="N8" s="19" t="str">
        <f t="shared" ref="N8:N39" si="4">IFERROR(IF($M8="","",MIN(1,$M8/M$6)),"")</f>
        <v/>
      </c>
      <c r="O8" s="15"/>
      <c r="P8" s="15"/>
      <c r="Q8" s="15"/>
      <c r="R8" s="15"/>
      <c r="S8" s="15"/>
      <c r="T8" s="15"/>
      <c r="U8" s="14"/>
    </row>
    <row r="9" spans="1:21" x14ac:dyDescent="0.2">
      <c r="A9" s="7">
        <v>2</v>
      </c>
      <c r="B9" s="10" t="str">
        <f>IFERROR(INDEX(Personnes!$B$5:$B$154,MATCH(2,Personnes!$L$5:$L$154,0)),"")</f>
        <v>P101</v>
      </c>
      <c r="C9" s="10" t="str">
        <f>IFERROR(INDEX(Personnes!$C$5:$C$154,MATCH($B9,Personnes!$B$5:$B$154,0))&amp;"","")</f>
        <v>BELHADJ KACEM</v>
      </c>
      <c r="D9" s="10" t="str">
        <f>IFERROR(INDEX(Personnes!$D$5:$D$154,MATCH($B9,Personnes!$B$5:$B$154,0))&amp;"","")</f>
        <v>Mohammed</v>
      </c>
      <c r="E9" s="7"/>
      <c r="F9" s="19" t="str">
        <f t="shared" si="0"/>
        <v/>
      </c>
      <c r="G9" s="7"/>
      <c r="H9" s="19" t="str">
        <f t="shared" si="1"/>
        <v/>
      </c>
      <c r="I9" s="7"/>
      <c r="J9" s="19" t="str">
        <f t="shared" si="2"/>
        <v/>
      </c>
      <c r="K9" s="7"/>
      <c r="L9" s="19" t="str">
        <f t="shared" si="3"/>
        <v/>
      </c>
      <c r="M9" s="7"/>
      <c r="N9" s="19" t="str">
        <f t="shared" si="4"/>
        <v/>
      </c>
      <c r="O9" s="15"/>
      <c r="P9" s="15"/>
      <c r="Q9" s="15"/>
      <c r="R9" s="15"/>
      <c r="S9" s="15"/>
      <c r="T9" s="15"/>
      <c r="U9" s="14"/>
    </row>
    <row r="10" spans="1:21" x14ac:dyDescent="0.2">
      <c r="A10" s="7">
        <v>3</v>
      </c>
      <c r="B10" s="10" t="str">
        <f>IFERROR(INDEX(Personnes!$B$5:$B$154,MATCH(3,Personnes!$L$5:$L$154,0)),"")</f>
        <v>P049</v>
      </c>
      <c r="C10" s="10" t="str">
        <f>IFERROR(INDEX(Personnes!$C$5:$C$154,MATCH($B10,Personnes!$B$5:$B$154,0))&amp;"","")</f>
        <v>BOULANT</v>
      </c>
      <c r="D10" s="10" t="str">
        <f>IFERROR(INDEX(Personnes!$D$5:$D$154,MATCH($B10,Personnes!$B$5:$B$154,0))&amp;"","")</f>
        <v>Guillaume</v>
      </c>
      <c r="E10" s="7"/>
      <c r="F10" s="19" t="str">
        <f t="shared" si="0"/>
        <v/>
      </c>
      <c r="G10" s="7"/>
      <c r="H10" s="19" t="str">
        <f t="shared" si="1"/>
        <v/>
      </c>
      <c r="I10" s="7"/>
      <c r="J10" s="19" t="str">
        <f t="shared" si="2"/>
        <v/>
      </c>
      <c r="K10" s="7"/>
      <c r="L10" s="19" t="str">
        <f t="shared" si="3"/>
        <v/>
      </c>
      <c r="M10" s="7"/>
      <c r="N10" s="19" t="str">
        <f t="shared" si="4"/>
        <v/>
      </c>
      <c r="O10" s="15"/>
      <c r="P10" s="15"/>
      <c r="Q10" s="15"/>
      <c r="R10" s="15"/>
      <c r="S10" s="15"/>
      <c r="T10" s="15"/>
      <c r="U10" s="14"/>
    </row>
    <row r="11" spans="1:21" x14ac:dyDescent="0.2">
      <c r="A11" s="7">
        <v>4</v>
      </c>
      <c r="B11" s="10" t="str">
        <f>IFERROR(INDEX(Personnes!$B$5:$B$154,MATCH(4,Personnes!$L$5:$L$154,0)),"")</f>
        <v>P057</v>
      </c>
      <c r="C11" s="10" t="str">
        <f>IFERROR(INDEX(Personnes!$C$5:$C$154,MATCH($B11,Personnes!$B$5:$B$154,0))&amp;"","")</f>
        <v>COLIN DE VERDIERE</v>
      </c>
      <c r="D11" s="10" t="str">
        <f>IFERROR(INDEX(Personnes!$D$5:$D$154,MATCH($B11,Personnes!$B$5:$B$154,0))&amp;"","")</f>
        <v>Antoine</v>
      </c>
      <c r="E11" s="7"/>
      <c r="F11" s="19" t="str">
        <f t="shared" si="0"/>
        <v/>
      </c>
      <c r="G11" s="7"/>
      <c r="H11" s="19" t="str">
        <f t="shared" si="1"/>
        <v/>
      </c>
      <c r="I11" s="7"/>
      <c r="J11" s="19" t="str">
        <f t="shared" si="2"/>
        <v/>
      </c>
      <c r="K11" s="7"/>
      <c r="L11" s="19" t="str">
        <f t="shared" si="3"/>
        <v/>
      </c>
      <c r="M11" s="7"/>
      <c r="N11" s="19" t="str">
        <f t="shared" si="4"/>
        <v/>
      </c>
      <c r="O11" s="15"/>
      <c r="P11" s="15"/>
      <c r="Q11" s="15"/>
      <c r="R11" s="15"/>
      <c r="S11" s="15"/>
      <c r="T11" s="15"/>
      <c r="U11" s="14"/>
    </row>
    <row r="12" spans="1:21" x14ac:dyDescent="0.2">
      <c r="A12" s="7">
        <v>5</v>
      </c>
      <c r="B12" s="10" t="str">
        <f>IFERROR(INDEX(Personnes!$B$5:$B$154,MATCH(5,Personnes!$L$5:$L$154,0)),"")</f>
        <v>P063</v>
      </c>
      <c r="C12" s="10" t="str">
        <f>IFERROR(INDEX(Personnes!$C$5:$C$154,MATCH($B12,Personnes!$B$5:$B$154,0))&amp;"","")</f>
        <v>COLLINET</v>
      </c>
      <c r="D12" s="10" t="str">
        <f>IFERROR(INDEX(Personnes!$D$5:$D$154,MATCH($B12,Personnes!$B$5:$B$154,0))&amp;"","")</f>
        <v>Sabine</v>
      </c>
      <c r="E12" s="7"/>
      <c r="F12" s="19" t="str">
        <f t="shared" si="0"/>
        <v/>
      </c>
      <c r="G12" s="7"/>
      <c r="H12" s="19" t="str">
        <f t="shared" si="1"/>
        <v/>
      </c>
      <c r="I12" s="7"/>
      <c r="J12" s="19" t="str">
        <f t="shared" si="2"/>
        <v/>
      </c>
      <c r="K12" s="7"/>
      <c r="L12" s="19" t="str">
        <f t="shared" si="3"/>
        <v/>
      </c>
      <c r="M12" s="7"/>
      <c r="N12" s="19" t="str">
        <f t="shared" si="4"/>
        <v/>
      </c>
      <c r="O12" s="15"/>
      <c r="P12" s="15"/>
      <c r="Q12" s="15"/>
      <c r="R12" s="15"/>
      <c r="S12" s="15"/>
      <c r="T12" s="15"/>
      <c r="U12" s="14"/>
    </row>
    <row r="13" spans="1:21" x14ac:dyDescent="0.2">
      <c r="A13" s="7">
        <v>6</v>
      </c>
      <c r="B13" s="10" t="str">
        <f>IFERROR(INDEX(Personnes!$B$5:$B$154,MATCH(6,Personnes!$L$5:$L$154,0)),"")</f>
        <v>P043</v>
      </c>
      <c r="C13" s="10" t="str">
        <f>IFERROR(INDEX(Personnes!$C$5:$C$154,MATCH($B13,Personnes!$B$5:$B$154,0))&amp;"","")</f>
        <v>DUMONT</v>
      </c>
      <c r="D13" s="10" t="str">
        <f>IFERROR(INDEX(Personnes!$D$5:$D$154,MATCH($B13,Personnes!$B$5:$B$154,0))&amp;"","")</f>
        <v>Céline</v>
      </c>
      <c r="E13" s="7"/>
      <c r="F13" s="19" t="str">
        <f t="shared" si="0"/>
        <v/>
      </c>
      <c r="G13" s="7"/>
      <c r="H13" s="19" t="str">
        <f t="shared" si="1"/>
        <v/>
      </c>
      <c r="I13" s="7"/>
      <c r="J13" s="19" t="str">
        <f t="shared" si="2"/>
        <v/>
      </c>
      <c r="K13" s="7"/>
      <c r="L13" s="19" t="str">
        <f t="shared" si="3"/>
        <v/>
      </c>
      <c r="M13" s="7"/>
      <c r="N13" s="19" t="str">
        <f t="shared" si="4"/>
        <v/>
      </c>
      <c r="O13" s="15"/>
      <c r="P13" s="15"/>
      <c r="Q13" s="15"/>
      <c r="R13" s="15"/>
      <c r="S13" s="15"/>
      <c r="T13" s="15"/>
      <c r="U13" s="14"/>
    </row>
    <row r="14" spans="1:21" x14ac:dyDescent="0.2">
      <c r="A14" s="7">
        <v>7</v>
      </c>
      <c r="B14" s="10" t="str">
        <f>IFERROR(INDEX(Personnes!$B$5:$B$154,MATCH(7,Personnes!$L$5:$L$154,0)),"")</f>
        <v>P102</v>
      </c>
      <c r="C14" s="10" t="str">
        <f>IFERROR(INDEX(Personnes!$C$5:$C$154,MATCH($B14,Personnes!$B$5:$B$154,0))&amp;"","")</f>
        <v>DUSSAUD</v>
      </c>
      <c r="D14" s="10" t="str">
        <f>IFERROR(INDEX(Personnes!$D$5:$D$154,MATCH($B14,Personnes!$B$5:$B$154,0))&amp;"","")</f>
        <v>Sebastien</v>
      </c>
      <c r="E14" s="7"/>
      <c r="F14" s="19" t="str">
        <f t="shared" si="0"/>
        <v/>
      </c>
      <c r="G14" s="7"/>
      <c r="H14" s="19" t="str">
        <f t="shared" si="1"/>
        <v/>
      </c>
      <c r="I14" s="7"/>
      <c r="J14" s="19" t="str">
        <f t="shared" si="2"/>
        <v/>
      </c>
      <c r="K14" s="7"/>
      <c r="L14" s="19" t="str">
        <f t="shared" si="3"/>
        <v/>
      </c>
      <c r="M14" s="7"/>
      <c r="N14" s="19" t="str">
        <f t="shared" si="4"/>
        <v/>
      </c>
      <c r="O14" s="15"/>
      <c r="P14" s="15"/>
      <c r="Q14" s="15"/>
      <c r="R14" s="15"/>
      <c r="S14" s="15"/>
      <c r="T14" s="15"/>
      <c r="U14" s="14"/>
    </row>
    <row r="15" spans="1:21" x14ac:dyDescent="0.2">
      <c r="A15" s="7">
        <v>8</v>
      </c>
      <c r="B15" s="10" t="str">
        <f>IFERROR(INDEX(Personnes!$B$5:$B$154,MATCH(8,Personnes!$L$5:$L$154,0)),"")</f>
        <v>P039</v>
      </c>
      <c r="C15" s="10" t="str">
        <f>IFERROR(INDEX(Personnes!$C$5:$C$154,MATCH($B15,Personnes!$B$5:$B$154,0))&amp;"","")</f>
        <v>FREDON</v>
      </c>
      <c r="D15" s="10" t="str">
        <f>IFERROR(INDEX(Personnes!$D$5:$D$154,MATCH($B15,Personnes!$B$5:$B$154,0))&amp;"","")</f>
        <v>Philippe</v>
      </c>
      <c r="E15" s="7"/>
      <c r="F15" s="19" t="str">
        <f t="shared" si="0"/>
        <v/>
      </c>
      <c r="G15" s="7"/>
      <c r="H15" s="19" t="str">
        <f t="shared" si="1"/>
        <v/>
      </c>
      <c r="I15" s="7"/>
      <c r="J15" s="19" t="str">
        <f t="shared" si="2"/>
        <v/>
      </c>
      <c r="K15" s="7"/>
      <c r="L15" s="19" t="str">
        <f t="shared" si="3"/>
        <v/>
      </c>
      <c r="M15" s="7"/>
      <c r="N15" s="19" t="str">
        <f t="shared" si="4"/>
        <v/>
      </c>
      <c r="O15" s="15"/>
      <c r="P15" s="15"/>
      <c r="Q15" s="15"/>
      <c r="R15" s="15"/>
      <c r="S15" s="15"/>
      <c r="T15" s="15"/>
      <c r="U15" s="14"/>
    </row>
    <row r="16" spans="1:21" x14ac:dyDescent="0.2">
      <c r="A16" s="7">
        <v>9</v>
      </c>
      <c r="B16" s="10" t="str">
        <f>IFERROR(INDEX(Personnes!$B$5:$B$154,MATCH(9,Personnes!$L$5:$L$154,0)),"")</f>
        <v>P058</v>
      </c>
      <c r="C16" s="10" t="str">
        <f>IFERROR(INDEX(Personnes!$C$5:$C$154,MATCH($B16,Personnes!$B$5:$B$154,0))&amp;"","")</f>
        <v>MAALAOUI</v>
      </c>
      <c r="D16" s="10" t="str">
        <f>IFERROR(INDEX(Personnes!$D$5:$D$154,MATCH($B16,Personnes!$B$5:$B$154,0))&amp;"","")</f>
        <v>Larbi</v>
      </c>
      <c r="E16" s="7"/>
      <c r="F16" s="19" t="str">
        <f t="shared" si="0"/>
        <v/>
      </c>
      <c r="G16" s="7"/>
      <c r="H16" s="19" t="str">
        <f t="shared" si="1"/>
        <v/>
      </c>
      <c r="I16" s="7"/>
      <c r="J16" s="19" t="str">
        <f t="shared" si="2"/>
        <v/>
      </c>
      <c r="K16" s="7"/>
      <c r="L16" s="19" t="str">
        <f t="shared" si="3"/>
        <v/>
      </c>
      <c r="M16" s="7"/>
      <c r="N16" s="19" t="str">
        <f t="shared" si="4"/>
        <v/>
      </c>
      <c r="O16" s="15"/>
      <c r="P16" s="15"/>
      <c r="Q16" s="15"/>
      <c r="R16" s="15"/>
      <c r="S16" s="15"/>
      <c r="T16" s="15"/>
      <c r="U16" s="14"/>
    </row>
    <row r="17" spans="1:21" x14ac:dyDescent="0.2">
      <c r="A17" s="7">
        <v>10</v>
      </c>
      <c r="B17" s="10" t="str">
        <f>IFERROR(INDEX(Personnes!$B$5:$B$154,MATCH(10,Personnes!$L$5:$L$154,0)),"")</f>
        <v>P103</v>
      </c>
      <c r="C17" s="10" t="str">
        <f>IFERROR(INDEX(Personnes!$C$5:$C$154,MATCH($B17,Personnes!$B$5:$B$154,0))&amp;"","")</f>
        <v>NOURA</v>
      </c>
      <c r="D17" s="10" t="str">
        <f>IFERROR(INDEX(Personnes!$D$5:$D$154,MATCH($B17,Personnes!$B$5:$B$154,0))&amp;"","")</f>
        <v>Karim</v>
      </c>
      <c r="E17" s="7"/>
      <c r="F17" s="19" t="str">
        <f t="shared" si="0"/>
        <v/>
      </c>
      <c r="G17" s="7"/>
      <c r="H17" s="19" t="str">
        <f t="shared" si="1"/>
        <v/>
      </c>
      <c r="I17" s="7"/>
      <c r="J17" s="19" t="str">
        <f t="shared" si="2"/>
        <v/>
      </c>
      <c r="K17" s="7"/>
      <c r="L17" s="19" t="str">
        <f t="shared" si="3"/>
        <v/>
      </c>
      <c r="M17" s="7"/>
      <c r="N17" s="19" t="str">
        <f t="shared" si="4"/>
        <v/>
      </c>
      <c r="O17" s="15"/>
      <c r="P17" s="15"/>
      <c r="Q17" s="15"/>
      <c r="R17" s="15"/>
      <c r="S17" s="15"/>
      <c r="T17" s="15"/>
      <c r="U17" s="14"/>
    </row>
    <row r="18" spans="1:21" x14ac:dyDescent="0.2">
      <c r="A18" s="7">
        <v>11</v>
      </c>
      <c r="B18" s="10" t="str">
        <f>IFERROR(INDEX(Personnes!$B$5:$B$154,MATCH(11,Personnes!$L$5:$L$154,0)),"")</f>
        <v>P044</v>
      </c>
      <c r="C18" s="10" t="str">
        <f>IFERROR(INDEX(Personnes!$C$5:$C$154,MATCH($B18,Personnes!$B$5:$B$154,0))&amp;"","")</f>
        <v>PASCAL</v>
      </c>
      <c r="D18" s="10" t="str">
        <f>IFERROR(INDEX(Personnes!$D$5:$D$154,MATCH($B18,Personnes!$B$5:$B$154,0))&amp;"","")</f>
        <v>Alain</v>
      </c>
      <c r="E18" s="7"/>
      <c r="F18" s="19" t="str">
        <f t="shared" si="0"/>
        <v/>
      </c>
      <c r="G18" s="7"/>
      <c r="H18" s="19" t="str">
        <f t="shared" si="1"/>
        <v/>
      </c>
      <c r="I18" s="7"/>
      <c r="J18" s="19" t="str">
        <f t="shared" si="2"/>
        <v/>
      </c>
      <c r="K18" s="7"/>
      <c r="L18" s="19" t="str">
        <f t="shared" si="3"/>
        <v/>
      </c>
      <c r="M18" s="7"/>
      <c r="N18" s="19" t="str">
        <f t="shared" si="4"/>
        <v/>
      </c>
      <c r="O18" s="15"/>
      <c r="P18" s="15"/>
      <c r="Q18" s="15"/>
      <c r="R18" s="15"/>
      <c r="S18" s="15"/>
      <c r="T18" s="15"/>
      <c r="U18" s="14"/>
    </row>
    <row r="19" spans="1:21" x14ac:dyDescent="0.2">
      <c r="A19" s="7">
        <v>12</v>
      </c>
      <c r="B19" s="10" t="str">
        <f>IFERROR(INDEX(Personnes!$B$5:$B$154,MATCH(12,Personnes!$L$5:$L$154,0)),"")</f>
        <v>P045</v>
      </c>
      <c r="C19" s="10" t="str">
        <f>IFERROR(INDEX(Personnes!$C$5:$C$154,MATCH($B19,Personnes!$B$5:$B$154,0))&amp;"","")</f>
        <v>SEGUI</v>
      </c>
      <c r="D19" s="10" t="str">
        <f>IFERROR(INDEX(Personnes!$D$5:$D$154,MATCH($B19,Personnes!$B$5:$B$154,0))&amp;"","")</f>
        <v>Danny</v>
      </c>
      <c r="E19" s="7"/>
      <c r="F19" s="19" t="str">
        <f t="shared" si="0"/>
        <v/>
      </c>
      <c r="G19" s="7"/>
      <c r="H19" s="19" t="str">
        <f t="shared" si="1"/>
        <v/>
      </c>
      <c r="I19" s="7"/>
      <c r="J19" s="19" t="str">
        <f t="shared" si="2"/>
        <v/>
      </c>
      <c r="K19" s="7"/>
      <c r="L19" s="19" t="str">
        <f t="shared" si="3"/>
        <v/>
      </c>
      <c r="M19" s="7"/>
      <c r="N19" s="19" t="str">
        <f t="shared" si="4"/>
        <v/>
      </c>
      <c r="O19" s="15"/>
      <c r="P19" s="15"/>
      <c r="Q19" s="15"/>
      <c r="R19" s="15"/>
      <c r="S19" s="15"/>
      <c r="T19" s="15"/>
      <c r="U19" s="14"/>
    </row>
    <row r="20" spans="1:21" x14ac:dyDescent="0.2">
      <c r="A20" s="7">
        <v>13</v>
      </c>
      <c r="B20" s="10" t="str">
        <f>IFERROR(INDEX(Personnes!$B$5:$B$154,MATCH(13,Personnes!$L$5:$L$154,0)),"")</f>
        <v/>
      </c>
      <c r="C20" s="10" t="str">
        <f>IFERROR(INDEX(Personnes!$C$5:$C$154,MATCH($B20,Personnes!$B$5:$B$154,0))&amp;"","")</f>
        <v/>
      </c>
      <c r="D20" s="10" t="str">
        <f>IFERROR(INDEX(Personnes!$D$5:$D$154,MATCH($B20,Personnes!$B$5:$B$154,0))&amp;"","")</f>
        <v/>
      </c>
      <c r="E20" s="7"/>
      <c r="F20" s="19" t="str">
        <f t="shared" si="0"/>
        <v/>
      </c>
      <c r="G20" s="7"/>
      <c r="H20" s="19" t="str">
        <f t="shared" si="1"/>
        <v/>
      </c>
      <c r="I20" s="7"/>
      <c r="J20" s="19" t="str">
        <f t="shared" si="2"/>
        <v/>
      </c>
      <c r="K20" s="7"/>
      <c r="L20" s="19" t="str">
        <f t="shared" si="3"/>
        <v/>
      </c>
      <c r="M20" s="7"/>
      <c r="N20" s="19" t="str">
        <f t="shared" si="4"/>
        <v/>
      </c>
      <c r="O20" s="15"/>
      <c r="P20" s="15"/>
      <c r="Q20" s="15"/>
      <c r="R20" s="15"/>
      <c r="S20" s="15"/>
      <c r="T20" s="15"/>
      <c r="U20" s="14"/>
    </row>
    <row r="21" spans="1:21" x14ac:dyDescent="0.2">
      <c r="A21" s="7">
        <v>14</v>
      </c>
      <c r="B21" s="10" t="str">
        <f>IFERROR(INDEX(Personnes!$B$5:$B$154,MATCH(14,Personnes!$L$5:$L$154,0)),"")</f>
        <v/>
      </c>
      <c r="C21" s="10" t="str">
        <f>IFERROR(INDEX(Personnes!$C$5:$C$154,MATCH($B21,Personnes!$B$5:$B$154,0))&amp;"","")</f>
        <v/>
      </c>
      <c r="D21" s="10" t="str">
        <f>IFERROR(INDEX(Personnes!$D$5:$D$154,MATCH($B21,Personnes!$B$5:$B$154,0))&amp;"","")</f>
        <v/>
      </c>
      <c r="E21" s="7"/>
      <c r="F21" s="19" t="str">
        <f t="shared" si="0"/>
        <v/>
      </c>
      <c r="G21" s="7"/>
      <c r="H21" s="19" t="str">
        <f t="shared" si="1"/>
        <v/>
      </c>
      <c r="I21" s="7"/>
      <c r="J21" s="19" t="str">
        <f t="shared" si="2"/>
        <v/>
      </c>
      <c r="K21" s="7"/>
      <c r="L21" s="19" t="str">
        <f t="shared" si="3"/>
        <v/>
      </c>
      <c r="M21" s="7"/>
      <c r="N21" s="19" t="str">
        <f t="shared" si="4"/>
        <v/>
      </c>
      <c r="O21" s="15"/>
      <c r="P21" s="15"/>
      <c r="Q21" s="15"/>
      <c r="R21" s="15"/>
      <c r="S21" s="15"/>
      <c r="T21" s="15"/>
      <c r="U21" s="14"/>
    </row>
    <row r="22" spans="1:21" x14ac:dyDescent="0.2">
      <c r="A22" s="7">
        <v>15</v>
      </c>
      <c r="B22" s="10" t="str">
        <f>IFERROR(INDEX(Personnes!$B$5:$B$154,MATCH(15,Personnes!$L$5:$L$154,0)),"")</f>
        <v/>
      </c>
      <c r="C22" s="10" t="str">
        <f>IFERROR(INDEX(Personnes!$C$5:$C$154,MATCH($B22,Personnes!$B$5:$B$154,0))&amp;"","")</f>
        <v/>
      </c>
      <c r="D22" s="10" t="str">
        <f>IFERROR(INDEX(Personnes!$D$5:$D$154,MATCH($B22,Personnes!$B$5:$B$154,0))&amp;"","")</f>
        <v/>
      </c>
      <c r="E22" s="7"/>
      <c r="F22" s="19" t="str">
        <f t="shared" si="0"/>
        <v/>
      </c>
      <c r="G22" s="7"/>
      <c r="H22" s="19" t="str">
        <f t="shared" si="1"/>
        <v/>
      </c>
      <c r="I22" s="7"/>
      <c r="J22" s="19" t="str">
        <f t="shared" si="2"/>
        <v/>
      </c>
      <c r="K22" s="7"/>
      <c r="L22" s="19" t="str">
        <f t="shared" si="3"/>
        <v/>
      </c>
      <c r="M22" s="7"/>
      <c r="N22" s="19" t="str">
        <f t="shared" si="4"/>
        <v/>
      </c>
      <c r="O22" s="15"/>
      <c r="P22" s="15"/>
      <c r="Q22" s="15"/>
      <c r="R22" s="15"/>
      <c r="S22" s="15"/>
      <c r="T22" s="15"/>
      <c r="U22" s="14"/>
    </row>
    <row r="23" spans="1:21" x14ac:dyDescent="0.2">
      <c r="A23" s="7">
        <v>16</v>
      </c>
      <c r="B23" s="10" t="str">
        <f>IFERROR(INDEX(Personnes!$B$5:$B$154,MATCH(16,Personnes!$L$5:$L$154,0)),"")</f>
        <v/>
      </c>
      <c r="C23" s="10" t="str">
        <f>IFERROR(INDEX(Personnes!$C$5:$C$154,MATCH($B23,Personnes!$B$5:$B$154,0))&amp;"","")</f>
        <v/>
      </c>
      <c r="D23" s="10" t="str">
        <f>IFERROR(INDEX(Personnes!$D$5:$D$154,MATCH($B23,Personnes!$B$5:$B$154,0))&amp;"","")</f>
        <v/>
      </c>
      <c r="E23" s="7"/>
      <c r="F23" s="19" t="str">
        <f t="shared" si="0"/>
        <v/>
      </c>
      <c r="G23" s="7"/>
      <c r="H23" s="19" t="str">
        <f t="shared" si="1"/>
        <v/>
      </c>
      <c r="I23" s="7"/>
      <c r="J23" s="19" t="str">
        <f t="shared" si="2"/>
        <v/>
      </c>
      <c r="K23" s="7"/>
      <c r="L23" s="19" t="str">
        <f t="shared" si="3"/>
        <v/>
      </c>
      <c r="M23" s="7"/>
      <c r="N23" s="19" t="str">
        <f t="shared" si="4"/>
        <v/>
      </c>
      <c r="O23" s="15"/>
      <c r="P23" s="15"/>
      <c r="Q23" s="15"/>
      <c r="R23" s="15"/>
      <c r="S23" s="15"/>
      <c r="T23" s="15"/>
      <c r="U23" s="14"/>
    </row>
    <row r="24" spans="1:21" x14ac:dyDescent="0.2">
      <c r="A24" s="7">
        <v>17</v>
      </c>
      <c r="B24" s="10" t="str">
        <f>IFERROR(INDEX(Personnes!$B$5:$B$154,MATCH(17,Personnes!$L$5:$L$154,0)),"")</f>
        <v/>
      </c>
      <c r="C24" s="10" t="str">
        <f>IFERROR(INDEX(Personnes!$C$5:$C$154,MATCH($B24,Personnes!$B$5:$B$154,0))&amp;"","")</f>
        <v/>
      </c>
      <c r="D24" s="10" t="str">
        <f>IFERROR(INDEX(Personnes!$D$5:$D$154,MATCH($B24,Personnes!$B$5:$B$154,0))&amp;"","")</f>
        <v/>
      </c>
      <c r="E24" s="7"/>
      <c r="F24" s="19" t="str">
        <f t="shared" si="0"/>
        <v/>
      </c>
      <c r="G24" s="7"/>
      <c r="H24" s="19" t="str">
        <f t="shared" si="1"/>
        <v/>
      </c>
      <c r="I24" s="7"/>
      <c r="J24" s="19" t="str">
        <f t="shared" si="2"/>
        <v/>
      </c>
      <c r="K24" s="7"/>
      <c r="L24" s="19" t="str">
        <f t="shared" si="3"/>
        <v/>
      </c>
      <c r="M24" s="7"/>
      <c r="N24" s="19" t="str">
        <f t="shared" si="4"/>
        <v/>
      </c>
      <c r="O24" s="15"/>
      <c r="P24" s="15"/>
      <c r="Q24" s="15"/>
      <c r="R24" s="15"/>
      <c r="S24" s="15"/>
      <c r="T24" s="15"/>
      <c r="U24" s="14"/>
    </row>
    <row r="25" spans="1:21" x14ac:dyDescent="0.2">
      <c r="A25" s="7">
        <v>18</v>
      </c>
      <c r="B25" s="10" t="str">
        <f>IFERROR(INDEX(Personnes!$B$5:$B$154,MATCH(18,Personnes!$L$5:$L$154,0)),"")</f>
        <v/>
      </c>
      <c r="C25" s="10" t="str">
        <f>IFERROR(INDEX(Personnes!$C$5:$C$154,MATCH($B25,Personnes!$B$5:$B$154,0))&amp;"","")</f>
        <v/>
      </c>
      <c r="D25" s="10" t="str">
        <f>IFERROR(INDEX(Personnes!$D$5:$D$154,MATCH($B25,Personnes!$B$5:$B$154,0))&amp;"","")</f>
        <v/>
      </c>
      <c r="E25" s="7"/>
      <c r="F25" s="19" t="str">
        <f t="shared" si="0"/>
        <v/>
      </c>
      <c r="G25" s="7"/>
      <c r="H25" s="19" t="str">
        <f t="shared" si="1"/>
        <v/>
      </c>
      <c r="I25" s="7"/>
      <c r="J25" s="19" t="str">
        <f t="shared" si="2"/>
        <v/>
      </c>
      <c r="K25" s="7"/>
      <c r="L25" s="19" t="str">
        <f t="shared" si="3"/>
        <v/>
      </c>
      <c r="M25" s="7"/>
      <c r="N25" s="19" t="str">
        <f t="shared" si="4"/>
        <v/>
      </c>
      <c r="O25" s="15"/>
      <c r="P25" s="15"/>
      <c r="Q25" s="15"/>
      <c r="R25" s="15"/>
      <c r="S25" s="15"/>
      <c r="T25" s="15"/>
      <c r="U25" s="14"/>
    </row>
    <row r="26" spans="1:21" x14ac:dyDescent="0.2">
      <c r="A26" s="7">
        <v>19</v>
      </c>
      <c r="B26" s="10" t="str">
        <f>IFERROR(INDEX(Personnes!$B$5:$B$154,MATCH(19,Personnes!$L$5:$L$154,0)),"")</f>
        <v/>
      </c>
      <c r="C26" s="10" t="str">
        <f>IFERROR(INDEX(Personnes!$C$5:$C$154,MATCH($B26,Personnes!$B$5:$B$154,0))&amp;"","")</f>
        <v/>
      </c>
      <c r="D26" s="10" t="str">
        <f>IFERROR(INDEX(Personnes!$D$5:$D$154,MATCH($B26,Personnes!$B$5:$B$154,0))&amp;"","")</f>
        <v/>
      </c>
      <c r="E26" s="7"/>
      <c r="F26" s="19" t="str">
        <f t="shared" si="0"/>
        <v/>
      </c>
      <c r="G26" s="7"/>
      <c r="H26" s="19" t="str">
        <f t="shared" si="1"/>
        <v/>
      </c>
      <c r="I26" s="7"/>
      <c r="J26" s="19" t="str">
        <f t="shared" si="2"/>
        <v/>
      </c>
      <c r="K26" s="7"/>
      <c r="L26" s="19" t="str">
        <f t="shared" si="3"/>
        <v/>
      </c>
      <c r="M26" s="7"/>
      <c r="N26" s="19" t="str">
        <f t="shared" si="4"/>
        <v/>
      </c>
      <c r="O26" s="15"/>
      <c r="P26" s="15"/>
      <c r="Q26" s="15"/>
      <c r="R26" s="15"/>
      <c r="S26" s="15"/>
      <c r="T26" s="15"/>
      <c r="U26" s="14"/>
    </row>
    <row r="27" spans="1:21" x14ac:dyDescent="0.2">
      <c r="A27" s="7">
        <v>20</v>
      </c>
      <c r="B27" s="10" t="str">
        <f>IFERROR(INDEX(Personnes!$B$5:$B$154,MATCH(20,Personnes!$L$5:$L$154,0)),"")</f>
        <v/>
      </c>
      <c r="C27" s="10" t="str">
        <f>IFERROR(INDEX(Personnes!$C$5:$C$154,MATCH($B27,Personnes!$B$5:$B$154,0))&amp;"","")</f>
        <v/>
      </c>
      <c r="D27" s="10" t="str">
        <f>IFERROR(INDEX(Personnes!$D$5:$D$154,MATCH($B27,Personnes!$B$5:$B$154,0))&amp;"","")</f>
        <v/>
      </c>
      <c r="E27" s="7"/>
      <c r="F27" s="19" t="str">
        <f t="shared" si="0"/>
        <v/>
      </c>
      <c r="G27" s="7"/>
      <c r="H27" s="19" t="str">
        <f t="shared" si="1"/>
        <v/>
      </c>
      <c r="I27" s="7"/>
      <c r="J27" s="19" t="str">
        <f t="shared" si="2"/>
        <v/>
      </c>
      <c r="K27" s="7"/>
      <c r="L27" s="19" t="str">
        <f t="shared" si="3"/>
        <v/>
      </c>
      <c r="M27" s="7"/>
      <c r="N27" s="19" t="str">
        <f t="shared" si="4"/>
        <v/>
      </c>
      <c r="O27" s="15"/>
      <c r="P27" s="15"/>
      <c r="Q27" s="15"/>
      <c r="R27" s="15"/>
      <c r="S27" s="15"/>
      <c r="T27" s="15"/>
      <c r="U27" s="14"/>
    </row>
    <row r="28" spans="1:21" x14ac:dyDescent="0.2">
      <c r="A28" s="7">
        <v>21</v>
      </c>
      <c r="B28" s="10" t="str">
        <f>IFERROR(INDEX(Personnes!$B$5:$B$154,MATCH(21,Personnes!$L$5:$L$154,0)),"")</f>
        <v/>
      </c>
      <c r="C28" s="10" t="str">
        <f>IFERROR(INDEX(Personnes!$C$5:$C$154,MATCH($B28,Personnes!$B$5:$B$154,0))&amp;"","")</f>
        <v/>
      </c>
      <c r="D28" s="10" t="str">
        <f>IFERROR(INDEX(Personnes!$D$5:$D$154,MATCH($B28,Personnes!$B$5:$B$154,0))&amp;"","")</f>
        <v/>
      </c>
      <c r="E28" s="7"/>
      <c r="F28" s="19" t="str">
        <f t="shared" si="0"/>
        <v/>
      </c>
      <c r="G28" s="7"/>
      <c r="H28" s="19" t="str">
        <f t="shared" si="1"/>
        <v/>
      </c>
      <c r="I28" s="7"/>
      <c r="J28" s="19" t="str">
        <f t="shared" si="2"/>
        <v/>
      </c>
      <c r="K28" s="7"/>
      <c r="L28" s="19" t="str">
        <f t="shared" si="3"/>
        <v/>
      </c>
      <c r="M28" s="7"/>
      <c r="N28" s="19" t="str">
        <f t="shared" si="4"/>
        <v/>
      </c>
      <c r="O28" s="15"/>
      <c r="P28" s="15"/>
      <c r="Q28" s="15"/>
      <c r="R28" s="15"/>
      <c r="S28" s="15"/>
      <c r="T28" s="15"/>
      <c r="U28" s="14"/>
    </row>
    <row r="29" spans="1:21" x14ac:dyDescent="0.2">
      <c r="A29" s="7">
        <v>22</v>
      </c>
      <c r="B29" s="10" t="str">
        <f>IFERROR(INDEX(Personnes!$B$5:$B$154,MATCH(22,Personnes!$L$5:$L$154,0)),"")</f>
        <v/>
      </c>
      <c r="C29" s="10" t="str">
        <f>IFERROR(INDEX(Personnes!$C$5:$C$154,MATCH($B29,Personnes!$B$5:$B$154,0))&amp;"","")</f>
        <v/>
      </c>
      <c r="D29" s="10" t="str">
        <f>IFERROR(INDEX(Personnes!$D$5:$D$154,MATCH($B29,Personnes!$B$5:$B$154,0))&amp;"","")</f>
        <v/>
      </c>
      <c r="E29" s="7"/>
      <c r="F29" s="19" t="str">
        <f t="shared" si="0"/>
        <v/>
      </c>
      <c r="G29" s="7"/>
      <c r="H29" s="19" t="str">
        <f t="shared" si="1"/>
        <v/>
      </c>
      <c r="I29" s="7"/>
      <c r="J29" s="19" t="str">
        <f t="shared" si="2"/>
        <v/>
      </c>
      <c r="K29" s="7"/>
      <c r="L29" s="19" t="str">
        <f t="shared" si="3"/>
        <v/>
      </c>
      <c r="M29" s="7"/>
      <c r="N29" s="19" t="str">
        <f t="shared" si="4"/>
        <v/>
      </c>
      <c r="O29" s="15"/>
      <c r="P29" s="15"/>
      <c r="Q29" s="15"/>
      <c r="R29" s="15"/>
      <c r="S29" s="15"/>
      <c r="T29" s="15"/>
      <c r="U29" s="14"/>
    </row>
    <row r="30" spans="1:21" x14ac:dyDescent="0.2">
      <c r="A30" s="7">
        <v>23</v>
      </c>
      <c r="B30" s="10" t="str">
        <f>IFERROR(INDEX(Personnes!$B$5:$B$154,MATCH(23,Personnes!$L$5:$L$154,0)),"")</f>
        <v/>
      </c>
      <c r="C30" s="10" t="str">
        <f>IFERROR(INDEX(Personnes!$C$5:$C$154,MATCH($B30,Personnes!$B$5:$B$154,0))&amp;"","")</f>
        <v/>
      </c>
      <c r="D30" s="10" t="str">
        <f>IFERROR(INDEX(Personnes!$D$5:$D$154,MATCH($B30,Personnes!$B$5:$B$154,0))&amp;"","")</f>
        <v/>
      </c>
      <c r="E30" s="7"/>
      <c r="F30" s="19" t="str">
        <f t="shared" si="0"/>
        <v/>
      </c>
      <c r="G30" s="7"/>
      <c r="H30" s="19" t="str">
        <f t="shared" si="1"/>
        <v/>
      </c>
      <c r="I30" s="7"/>
      <c r="J30" s="19" t="str">
        <f t="shared" si="2"/>
        <v/>
      </c>
      <c r="K30" s="7"/>
      <c r="L30" s="19" t="str">
        <f t="shared" si="3"/>
        <v/>
      </c>
      <c r="M30" s="7"/>
      <c r="N30" s="19" t="str">
        <f t="shared" si="4"/>
        <v/>
      </c>
      <c r="O30" s="15"/>
      <c r="P30" s="15"/>
      <c r="Q30" s="15"/>
      <c r="R30" s="15"/>
      <c r="S30" s="15"/>
      <c r="T30" s="15"/>
      <c r="U30" s="14"/>
    </row>
    <row r="31" spans="1:21" x14ac:dyDescent="0.2">
      <c r="A31" s="7">
        <v>24</v>
      </c>
      <c r="B31" s="10" t="str">
        <f>IFERROR(INDEX(Personnes!$B$5:$B$154,MATCH(24,Personnes!$L$5:$L$154,0)),"")</f>
        <v/>
      </c>
      <c r="C31" s="10" t="str">
        <f>IFERROR(INDEX(Personnes!$C$5:$C$154,MATCH($B31,Personnes!$B$5:$B$154,0))&amp;"","")</f>
        <v/>
      </c>
      <c r="D31" s="10" t="str">
        <f>IFERROR(INDEX(Personnes!$D$5:$D$154,MATCH($B31,Personnes!$B$5:$B$154,0))&amp;"","")</f>
        <v/>
      </c>
      <c r="E31" s="7"/>
      <c r="F31" s="19" t="str">
        <f t="shared" si="0"/>
        <v/>
      </c>
      <c r="G31" s="7"/>
      <c r="H31" s="19" t="str">
        <f t="shared" si="1"/>
        <v/>
      </c>
      <c r="I31" s="7"/>
      <c r="J31" s="19" t="str">
        <f t="shared" si="2"/>
        <v/>
      </c>
      <c r="K31" s="7"/>
      <c r="L31" s="19" t="str">
        <f t="shared" si="3"/>
        <v/>
      </c>
      <c r="M31" s="7"/>
      <c r="N31" s="19" t="str">
        <f t="shared" si="4"/>
        <v/>
      </c>
      <c r="O31" s="15"/>
      <c r="P31" s="15"/>
      <c r="Q31" s="15"/>
      <c r="R31" s="15"/>
      <c r="S31" s="15"/>
      <c r="T31" s="15"/>
      <c r="U31" s="14"/>
    </row>
    <row r="32" spans="1:21" x14ac:dyDescent="0.2">
      <c r="A32" s="7">
        <v>25</v>
      </c>
      <c r="B32" s="10" t="str">
        <f>IFERROR(INDEX(Personnes!$B$5:$B$154,MATCH(25,Personnes!$L$5:$L$154,0)),"")</f>
        <v/>
      </c>
      <c r="C32" s="10" t="str">
        <f>IFERROR(INDEX(Personnes!$C$5:$C$154,MATCH($B32,Personnes!$B$5:$B$154,0))&amp;"","")</f>
        <v/>
      </c>
      <c r="D32" s="10" t="str">
        <f>IFERROR(INDEX(Personnes!$D$5:$D$154,MATCH($B32,Personnes!$B$5:$B$154,0))&amp;"","")</f>
        <v/>
      </c>
      <c r="E32" s="7"/>
      <c r="F32" s="19" t="str">
        <f t="shared" si="0"/>
        <v/>
      </c>
      <c r="G32" s="7"/>
      <c r="H32" s="19" t="str">
        <f t="shared" si="1"/>
        <v/>
      </c>
      <c r="I32" s="7"/>
      <c r="J32" s="19" t="str">
        <f t="shared" si="2"/>
        <v/>
      </c>
      <c r="K32" s="7"/>
      <c r="L32" s="19" t="str">
        <f t="shared" si="3"/>
        <v/>
      </c>
      <c r="M32" s="7"/>
      <c r="N32" s="19" t="str">
        <f t="shared" si="4"/>
        <v/>
      </c>
      <c r="O32" s="15"/>
      <c r="P32" s="15"/>
      <c r="Q32" s="15"/>
      <c r="R32" s="15"/>
      <c r="S32" s="15"/>
      <c r="T32" s="15"/>
      <c r="U32" s="14"/>
    </row>
    <row r="33" spans="1:21" x14ac:dyDescent="0.2">
      <c r="A33" s="7">
        <v>26</v>
      </c>
      <c r="B33" s="10" t="str">
        <f>IFERROR(INDEX(Personnes!$B$5:$B$154,MATCH(26,Personnes!$L$5:$L$154,0)),"")</f>
        <v/>
      </c>
      <c r="C33" s="10" t="str">
        <f>IFERROR(INDEX(Personnes!$C$5:$C$154,MATCH($B33,Personnes!$B$5:$B$154,0))&amp;"","")</f>
        <v/>
      </c>
      <c r="D33" s="10" t="str">
        <f>IFERROR(INDEX(Personnes!$D$5:$D$154,MATCH($B33,Personnes!$B$5:$B$154,0))&amp;"","")</f>
        <v/>
      </c>
      <c r="E33" s="7"/>
      <c r="F33" s="19" t="str">
        <f t="shared" si="0"/>
        <v/>
      </c>
      <c r="G33" s="7"/>
      <c r="H33" s="19" t="str">
        <f t="shared" si="1"/>
        <v/>
      </c>
      <c r="I33" s="7"/>
      <c r="J33" s="19" t="str">
        <f t="shared" si="2"/>
        <v/>
      </c>
      <c r="K33" s="7"/>
      <c r="L33" s="19" t="str">
        <f t="shared" si="3"/>
        <v/>
      </c>
      <c r="M33" s="7"/>
      <c r="N33" s="19" t="str">
        <f t="shared" si="4"/>
        <v/>
      </c>
      <c r="O33" s="15"/>
      <c r="P33" s="15"/>
      <c r="Q33" s="15"/>
      <c r="R33" s="15"/>
      <c r="S33" s="15"/>
      <c r="T33" s="15"/>
      <c r="U33" s="14"/>
    </row>
    <row r="34" spans="1:21" x14ac:dyDescent="0.2">
      <c r="A34" s="7">
        <v>27</v>
      </c>
      <c r="B34" s="10" t="str">
        <f>IFERROR(INDEX(Personnes!$B$5:$B$154,MATCH(27,Personnes!$L$5:$L$154,0)),"")</f>
        <v/>
      </c>
      <c r="C34" s="10" t="str">
        <f>IFERROR(INDEX(Personnes!$C$5:$C$154,MATCH($B34,Personnes!$B$5:$B$154,0))&amp;"","")</f>
        <v/>
      </c>
      <c r="D34" s="10" t="str">
        <f>IFERROR(INDEX(Personnes!$D$5:$D$154,MATCH($B34,Personnes!$B$5:$B$154,0))&amp;"","")</f>
        <v/>
      </c>
      <c r="E34" s="7"/>
      <c r="F34" s="19" t="str">
        <f t="shared" si="0"/>
        <v/>
      </c>
      <c r="G34" s="7"/>
      <c r="H34" s="19" t="str">
        <f t="shared" si="1"/>
        <v/>
      </c>
      <c r="I34" s="7"/>
      <c r="J34" s="19" t="str">
        <f t="shared" si="2"/>
        <v/>
      </c>
      <c r="K34" s="7"/>
      <c r="L34" s="19" t="str">
        <f t="shared" si="3"/>
        <v/>
      </c>
      <c r="M34" s="7"/>
      <c r="N34" s="19" t="str">
        <f t="shared" si="4"/>
        <v/>
      </c>
      <c r="O34" s="15"/>
      <c r="P34" s="15"/>
      <c r="Q34" s="15"/>
      <c r="R34" s="15"/>
      <c r="S34" s="15"/>
      <c r="T34" s="15"/>
      <c r="U34" s="14"/>
    </row>
    <row r="35" spans="1:21" x14ac:dyDescent="0.2">
      <c r="A35" s="7">
        <v>28</v>
      </c>
      <c r="B35" s="10" t="str">
        <f>IFERROR(INDEX(Personnes!$B$5:$B$154,MATCH(28,Personnes!$L$5:$L$154,0)),"")</f>
        <v/>
      </c>
      <c r="C35" s="10" t="str">
        <f>IFERROR(INDEX(Personnes!$C$5:$C$154,MATCH($B35,Personnes!$B$5:$B$154,0))&amp;"","")</f>
        <v/>
      </c>
      <c r="D35" s="10" t="str">
        <f>IFERROR(INDEX(Personnes!$D$5:$D$154,MATCH($B35,Personnes!$B$5:$B$154,0))&amp;"","")</f>
        <v/>
      </c>
      <c r="E35" s="7"/>
      <c r="F35" s="19" t="str">
        <f t="shared" si="0"/>
        <v/>
      </c>
      <c r="G35" s="7"/>
      <c r="H35" s="19" t="str">
        <f t="shared" si="1"/>
        <v/>
      </c>
      <c r="I35" s="7"/>
      <c r="J35" s="19" t="str">
        <f t="shared" si="2"/>
        <v/>
      </c>
      <c r="K35" s="7"/>
      <c r="L35" s="19" t="str">
        <f t="shared" si="3"/>
        <v/>
      </c>
      <c r="M35" s="7"/>
      <c r="N35" s="19" t="str">
        <f t="shared" si="4"/>
        <v/>
      </c>
      <c r="O35" s="15"/>
      <c r="P35" s="15"/>
      <c r="Q35" s="15"/>
      <c r="R35" s="15"/>
      <c r="S35" s="15"/>
      <c r="T35" s="15"/>
      <c r="U35" s="14"/>
    </row>
    <row r="36" spans="1:21" x14ac:dyDescent="0.2">
      <c r="A36" s="7">
        <v>29</v>
      </c>
      <c r="B36" s="10" t="str">
        <f>IFERROR(INDEX(Personnes!$B$5:$B$154,MATCH(29,Personnes!$L$5:$L$154,0)),"")</f>
        <v/>
      </c>
      <c r="C36" s="10" t="str">
        <f>IFERROR(INDEX(Personnes!$C$5:$C$154,MATCH($B36,Personnes!$B$5:$B$154,0))&amp;"","")</f>
        <v/>
      </c>
      <c r="D36" s="10" t="str">
        <f>IFERROR(INDEX(Personnes!$D$5:$D$154,MATCH($B36,Personnes!$B$5:$B$154,0))&amp;"","")</f>
        <v/>
      </c>
      <c r="E36" s="7"/>
      <c r="F36" s="19" t="str">
        <f t="shared" si="0"/>
        <v/>
      </c>
      <c r="G36" s="7"/>
      <c r="H36" s="19" t="str">
        <f t="shared" si="1"/>
        <v/>
      </c>
      <c r="I36" s="7"/>
      <c r="J36" s="19" t="str">
        <f t="shared" si="2"/>
        <v/>
      </c>
      <c r="K36" s="7"/>
      <c r="L36" s="19" t="str">
        <f t="shared" si="3"/>
        <v/>
      </c>
      <c r="M36" s="7"/>
      <c r="N36" s="19" t="str">
        <f t="shared" si="4"/>
        <v/>
      </c>
      <c r="O36" s="15"/>
      <c r="P36" s="15"/>
      <c r="Q36" s="15"/>
      <c r="R36" s="15"/>
      <c r="S36" s="15"/>
      <c r="T36" s="15"/>
      <c r="U36" s="14"/>
    </row>
    <row r="37" spans="1:21" x14ac:dyDescent="0.2">
      <c r="A37" s="7">
        <v>30</v>
      </c>
      <c r="B37" s="10" t="str">
        <f>IFERROR(INDEX(Personnes!$B$5:$B$154,MATCH(30,Personnes!$L$5:$L$154,0)),"")</f>
        <v/>
      </c>
      <c r="C37" s="10" t="str">
        <f>IFERROR(INDEX(Personnes!$C$5:$C$154,MATCH($B37,Personnes!$B$5:$B$154,0))&amp;"","")</f>
        <v/>
      </c>
      <c r="D37" s="10" t="str">
        <f>IFERROR(INDEX(Personnes!$D$5:$D$154,MATCH($B37,Personnes!$B$5:$B$154,0))&amp;"","")</f>
        <v/>
      </c>
      <c r="E37" s="7"/>
      <c r="F37" s="19" t="str">
        <f t="shared" si="0"/>
        <v/>
      </c>
      <c r="G37" s="7"/>
      <c r="H37" s="19" t="str">
        <f t="shared" si="1"/>
        <v/>
      </c>
      <c r="I37" s="7"/>
      <c r="J37" s="19" t="str">
        <f t="shared" si="2"/>
        <v/>
      </c>
      <c r="K37" s="7"/>
      <c r="L37" s="19" t="str">
        <f t="shared" si="3"/>
        <v/>
      </c>
      <c r="M37" s="7"/>
      <c r="N37" s="19" t="str">
        <f t="shared" si="4"/>
        <v/>
      </c>
      <c r="O37" s="15"/>
      <c r="P37" s="15"/>
      <c r="Q37" s="15"/>
      <c r="R37" s="15"/>
      <c r="S37" s="15"/>
      <c r="T37" s="15"/>
      <c r="U37" s="14"/>
    </row>
    <row r="38" spans="1:21" x14ac:dyDescent="0.2">
      <c r="A38" s="7">
        <v>31</v>
      </c>
      <c r="B38" s="10" t="str">
        <f>IFERROR(INDEX(Personnes!$B$5:$B$154,MATCH(31,Personnes!$L$5:$L$154,0)),"")</f>
        <v/>
      </c>
      <c r="C38" s="10" t="str">
        <f>IFERROR(INDEX(Personnes!$C$5:$C$154,MATCH($B38,Personnes!$B$5:$B$154,0))&amp;"","")</f>
        <v/>
      </c>
      <c r="D38" s="10" t="str">
        <f>IFERROR(INDEX(Personnes!$D$5:$D$154,MATCH($B38,Personnes!$B$5:$B$154,0))&amp;"","")</f>
        <v/>
      </c>
      <c r="E38" s="7"/>
      <c r="F38" s="19" t="str">
        <f t="shared" si="0"/>
        <v/>
      </c>
      <c r="G38" s="7"/>
      <c r="H38" s="19" t="str">
        <f t="shared" si="1"/>
        <v/>
      </c>
      <c r="I38" s="7"/>
      <c r="J38" s="19" t="str">
        <f t="shared" si="2"/>
        <v/>
      </c>
      <c r="K38" s="7"/>
      <c r="L38" s="19" t="str">
        <f t="shared" si="3"/>
        <v/>
      </c>
      <c r="M38" s="7"/>
      <c r="N38" s="19" t="str">
        <f t="shared" si="4"/>
        <v/>
      </c>
      <c r="O38" s="15"/>
      <c r="P38" s="15"/>
      <c r="Q38" s="15"/>
      <c r="R38" s="15"/>
      <c r="S38" s="15"/>
      <c r="T38" s="15"/>
      <c r="U38" s="14"/>
    </row>
    <row r="39" spans="1:21" x14ac:dyDescent="0.2">
      <c r="A39" s="7">
        <v>32</v>
      </c>
      <c r="B39" s="10" t="str">
        <f>IFERROR(INDEX(Personnes!$B$5:$B$154,MATCH(32,Personnes!$L$5:$L$154,0)),"")</f>
        <v/>
      </c>
      <c r="C39" s="10" t="str">
        <f>IFERROR(INDEX(Personnes!$C$5:$C$154,MATCH($B39,Personnes!$B$5:$B$154,0))&amp;"","")</f>
        <v/>
      </c>
      <c r="D39" s="10" t="str">
        <f>IFERROR(INDEX(Personnes!$D$5:$D$154,MATCH($B39,Personnes!$B$5:$B$154,0))&amp;"","")</f>
        <v/>
      </c>
      <c r="E39" s="7"/>
      <c r="F39" s="19" t="str">
        <f t="shared" si="0"/>
        <v/>
      </c>
      <c r="G39" s="7"/>
      <c r="H39" s="19" t="str">
        <f t="shared" si="1"/>
        <v/>
      </c>
      <c r="I39" s="7"/>
      <c r="J39" s="19" t="str">
        <f t="shared" si="2"/>
        <v/>
      </c>
      <c r="K39" s="7"/>
      <c r="L39" s="19" t="str">
        <f t="shared" si="3"/>
        <v/>
      </c>
      <c r="M39" s="7"/>
      <c r="N39" s="19" t="str">
        <f t="shared" si="4"/>
        <v/>
      </c>
      <c r="O39" s="15"/>
      <c r="P39" s="15"/>
      <c r="Q39" s="15"/>
      <c r="R39" s="15"/>
      <c r="S39" s="15"/>
      <c r="T39" s="15"/>
      <c r="U39" s="14"/>
    </row>
    <row r="40" spans="1:21" x14ac:dyDescent="0.2">
      <c r="A40" s="7">
        <v>33</v>
      </c>
      <c r="B40" s="10" t="str">
        <f>IFERROR(INDEX(Personnes!$B$5:$B$154,MATCH(33,Personnes!$L$5:$L$154,0)),"")</f>
        <v/>
      </c>
      <c r="C40" s="10" t="str">
        <f>IFERROR(INDEX(Personnes!$C$5:$C$154,MATCH($B40,Personnes!$B$5:$B$154,0))&amp;"","")</f>
        <v/>
      </c>
      <c r="D40" s="10" t="str">
        <f>IFERROR(INDEX(Personnes!$D$5:$D$154,MATCH($B40,Personnes!$B$5:$B$154,0))&amp;"","")</f>
        <v/>
      </c>
      <c r="E40" s="7"/>
      <c r="F40" s="19" t="str">
        <f t="shared" ref="F40:F71" si="5">IFERROR(IF($E40="","",MIN(1,$E40/E$6)),"")</f>
        <v/>
      </c>
      <c r="G40" s="7"/>
      <c r="H40" s="19" t="str">
        <f t="shared" ref="H40:H71" si="6">IFERROR(IF($G40="","",MIN(1,$G40/G$6)),"")</f>
        <v/>
      </c>
      <c r="I40" s="7"/>
      <c r="J40" s="19" t="str">
        <f t="shared" ref="J40:J71" si="7">IFERROR(IF($I40="","",MIN(1,$I40/I$6)),"")</f>
        <v/>
      </c>
      <c r="K40" s="7"/>
      <c r="L40" s="19" t="str">
        <f t="shared" ref="L40:L71" si="8">IFERROR(IF($K40="","",MIN(1,$K40/K$6)),"")</f>
        <v/>
      </c>
      <c r="M40" s="7"/>
      <c r="N40" s="19" t="str">
        <f t="shared" ref="N40:N71" si="9">IFERROR(IF($M40="","",MIN(1,$M40/M$6)),"")</f>
        <v/>
      </c>
      <c r="O40" s="15"/>
      <c r="P40" s="15"/>
      <c r="Q40" s="15"/>
      <c r="R40" s="15"/>
      <c r="S40" s="15"/>
      <c r="T40" s="15"/>
      <c r="U40" s="14"/>
    </row>
    <row r="41" spans="1:21" x14ac:dyDescent="0.2">
      <c r="A41" s="7">
        <v>34</v>
      </c>
      <c r="B41" s="10" t="str">
        <f>IFERROR(INDEX(Personnes!$B$5:$B$154,MATCH(34,Personnes!$L$5:$L$154,0)),"")</f>
        <v/>
      </c>
      <c r="C41" s="10" t="str">
        <f>IFERROR(INDEX(Personnes!$C$5:$C$154,MATCH($B41,Personnes!$B$5:$B$154,0))&amp;"","")</f>
        <v/>
      </c>
      <c r="D41" s="10" t="str">
        <f>IFERROR(INDEX(Personnes!$D$5:$D$154,MATCH($B41,Personnes!$B$5:$B$154,0))&amp;"","")</f>
        <v/>
      </c>
      <c r="E41" s="7"/>
      <c r="F41" s="19" t="str">
        <f t="shared" si="5"/>
        <v/>
      </c>
      <c r="G41" s="7"/>
      <c r="H41" s="19" t="str">
        <f t="shared" si="6"/>
        <v/>
      </c>
      <c r="I41" s="7"/>
      <c r="J41" s="19" t="str">
        <f t="shared" si="7"/>
        <v/>
      </c>
      <c r="K41" s="7"/>
      <c r="L41" s="19" t="str">
        <f t="shared" si="8"/>
        <v/>
      </c>
      <c r="M41" s="7"/>
      <c r="N41" s="19" t="str">
        <f t="shared" si="9"/>
        <v/>
      </c>
      <c r="O41" s="15"/>
      <c r="P41" s="15"/>
      <c r="Q41" s="15"/>
      <c r="R41" s="15"/>
      <c r="S41" s="15"/>
      <c r="T41" s="15"/>
      <c r="U41" s="14"/>
    </row>
    <row r="42" spans="1:21" x14ac:dyDescent="0.2">
      <c r="A42" s="7">
        <v>35</v>
      </c>
      <c r="B42" s="10" t="str">
        <f>IFERROR(INDEX(Personnes!$B$5:$B$154,MATCH(35,Personnes!$L$5:$L$154,0)),"")</f>
        <v/>
      </c>
      <c r="C42" s="10" t="str">
        <f>IFERROR(INDEX(Personnes!$C$5:$C$154,MATCH($B42,Personnes!$B$5:$B$154,0))&amp;"","")</f>
        <v/>
      </c>
      <c r="D42" s="10" t="str">
        <f>IFERROR(INDEX(Personnes!$D$5:$D$154,MATCH($B42,Personnes!$B$5:$B$154,0))&amp;"","")</f>
        <v/>
      </c>
      <c r="E42" s="7"/>
      <c r="F42" s="19" t="str">
        <f t="shared" si="5"/>
        <v/>
      </c>
      <c r="G42" s="7"/>
      <c r="H42" s="19" t="str">
        <f t="shared" si="6"/>
        <v/>
      </c>
      <c r="I42" s="7"/>
      <c r="J42" s="19" t="str">
        <f t="shared" si="7"/>
        <v/>
      </c>
      <c r="K42" s="7"/>
      <c r="L42" s="19" t="str">
        <f t="shared" si="8"/>
        <v/>
      </c>
      <c r="M42" s="7"/>
      <c r="N42" s="19" t="str">
        <f t="shared" si="9"/>
        <v/>
      </c>
      <c r="O42" s="15"/>
      <c r="P42" s="15"/>
      <c r="Q42" s="15"/>
      <c r="R42" s="15"/>
      <c r="S42" s="15"/>
      <c r="T42" s="15"/>
      <c r="U42" s="14"/>
    </row>
    <row r="43" spans="1:21" x14ac:dyDescent="0.2">
      <c r="A43" s="7">
        <v>36</v>
      </c>
      <c r="B43" s="10" t="str">
        <f>IFERROR(INDEX(Personnes!$B$5:$B$154,MATCH(36,Personnes!$L$5:$L$154,0)),"")</f>
        <v/>
      </c>
      <c r="C43" s="10" t="str">
        <f>IFERROR(INDEX(Personnes!$C$5:$C$154,MATCH($B43,Personnes!$B$5:$B$154,0))&amp;"","")</f>
        <v/>
      </c>
      <c r="D43" s="10" t="str">
        <f>IFERROR(INDEX(Personnes!$D$5:$D$154,MATCH($B43,Personnes!$B$5:$B$154,0))&amp;"","")</f>
        <v/>
      </c>
      <c r="E43" s="7"/>
      <c r="F43" s="19" t="str">
        <f t="shared" si="5"/>
        <v/>
      </c>
      <c r="G43" s="7"/>
      <c r="H43" s="19" t="str">
        <f t="shared" si="6"/>
        <v/>
      </c>
      <c r="I43" s="7"/>
      <c r="J43" s="19" t="str">
        <f t="shared" si="7"/>
        <v/>
      </c>
      <c r="K43" s="7"/>
      <c r="L43" s="19" t="str">
        <f t="shared" si="8"/>
        <v/>
      </c>
      <c r="M43" s="7"/>
      <c r="N43" s="19" t="str">
        <f t="shared" si="9"/>
        <v/>
      </c>
      <c r="O43" s="15"/>
      <c r="P43" s="15"/>
      <c r="Q43" s="15"/>
      <c r="R43" s="15"/>
      <c r="S43" s="15"/>
      <c r="T43" s="15"/>
      <c r="U43" s="14"/>
    </row>
    <row r="44" spans="1:21" x14ac:dyDescent="0.2">
      <c r="A44" s="7">
        <v>37</v>
      </c>
      <c r="B44" s="10" t="str">
        <f>IFERROR(INDEX(Personnes!$B$5:$B$154,MATCH(37,Personnes!$L$5:$L$154,0)),"")</f>
        <v/>
      </c>
      <c r="C44" s="10" t="str">
        <f>IFERROR(INDEX(Personnes!$C$5:$C$154,MATCH($B44,Personnes!$B$5:$B$154,0))&amp;"","")</f>
        <v/>
      </c>
      <c r="D44" s="10" t="str">
        <f>IFERROR(INDEX(Personnes!$D$5:$D$154,MATCH($B44,Personnes!$B$5:$B$154,0))&amp;"","")</f>
        <v/>
      </c>
      <c r="E44" s="7"/>
      <c r="F44" s="19" t="str">
        <f t="shared" si="5"/>
        <v/>
      </c>
      <c r="G44" s="7"/>
      <c r="H44" s="19" t="str">
        <f t="shared" si="6"/>
        <v/>
      </c>
      <c r="I44" s="7"/>
      <c r="J44" s="19" t="str">
        <f t="shared" si="7"/>
        <v/>
      </c>
      <c r="K44" s="7"/>
      <c r="L44" s="19" t="str">
        <f t="shared" si="8"/>
        <v/>
      </c>
      <c r="M44" s="7"/>
      <c r="N44" s="19" t="str">
        <f t="shared" si="9"/>
        <v/>
      </c>
      <c r="O44" s="15"/>
      <c r="P44" s="15"/>
      <c r="Q44" s="15"/>
      <c r="R44" s="15"/>
      <c r="S44" s="15"/>
      <c r="T44" s="15"/>
      <c r="U44" s="14"/>
    </row>
    <row r="45" spans="1:21" x14ac:dyDescent="0.2">
      <c r="A45" s="7">
        <v>38</v>
      </c>
      <c r="B45" s="10" t="str">
        <f>IFERROR(INDEX(Personnes!$B$5:$B$154,MATCH(38,Personnes!$L$5:$L$154,0)),"")</f>
        <v/>
      </c>
      <c r="C45" s="10" t="str">
        <f>IFERROR(INDEX(Personnes!$C$5:$C$154,MATCH($B45,Personnes!$B$5:$B$154,0))&amp;"","")</f>
        <v/>
      </c>
      <c r="D45" s="10" t="str">
        <f>IFERROR(INDEX(Personnes!$D$5:$D$154,MATCH($B45,Personnes!$B$5:$B$154,0))&amp;"","")</f>
        <v/>
      </c>
      <c r="E45" s="7"/>
      <c r="F45" s="19" t="str">
        <f t="shared" si="5"/>
        <v/>
      </c>
      <c r="G45" s="7"/>
      <c r="H45" s="19" t="str">
        <f t="shared" si="6"/>
        <v/>
      </c>
      <c r="I45" s="7"/>
      <c r="J45" s="19" t="str">
        <f t="shared" si="7"/>
        <v/>
      </c>
      <c r="K45" s="7"/>
      <c r="L45" s="19" t="str">
        <f t="shared" si="8"/>
        <v/>
      </c>
      <c r="M45" s="7"/>
      <c r="N45" s="19" t="str">
        <f t="shared" si="9"/>
        <v/>
      </c>
      <c r="O45" s="15"/>
      <c r="P45" s="15"/>
      <c r="Q45" s="15"/>
      <c r="R45" s="15"/>
      <c r="S45" s="15"/>
      <c r="T45" s="15"/>
      <c r="U45" s="14"/>
    </row>
    <row r="46" spans="1:21" x14ac:dyDescent="0.2">
      <c r="A46" s="7">
        <v>39</v>
      </c>
      <c r="B46" s="10" t="str">
        <f>IFERROR(INDEX(Personnes!$B$5:$B$154,MATCH(39,Personnes!$L$5:$L$154,0)),"")</f>
        <v/>
      </c>
      <c r="C46" s="10" t="str">
        <f>IFERROR(INDEX(Personnes!$C$5:$C$154,MATCH($B46,Personnes!$B$5:$B$154,0))&amp;"","")</f>
        <v/>
      </c>
      <c r="D46" s="10" t="str">
        <f>IFERROR(INDEX(Personnes!$D$5:$D$154,MATCH($B46,Personnes!$B$5:$B$154,0))&amp;"","")</f>
        <v/>
      </c>
      <c r="E46" s="7"/>
      <c r="F46" s="19" t="str">
        <f t="shared" si="5"/>
        <v/>
      </c>
      <c r="G46" s="7"/>
      <c r="H46" s="19" t="str">
        <f t="shared" si="6"/>
        <v/>
      </c>
      <c r="I46" s="7"/>
      <c r="J46" s="19" t="str">
        <f t="shared" si="7"/>
        <v/>
      </c>
      <c r="K46" s="7"/>
      <c r="L46" s="19" t="str">
        <f t="shared" si="8"/>
        <v/>
      </c>
      <c r="M46" s="7"/>
      <c r="N46" s="19" t="str">
        <f t="shared" si="9"/>
        <v/>
      </c>
      <c r="O46" s="15"/>
      <c r="P46" s="15"/>
      <c r="Q46" s="15"/>
      <c r="R46" s="15"/>
      <c r="S46" s="15"/>
      <c r="T46" s="15"/>
      <c r="U46" s="14"/>
    </row>
    <row r="47" spans="1:21" x14ac:dyDescent="0.2">
      <c r="A47" s="7">
        <v>40</v>
      </c>
      <c r="B47" s="10" t="str">
        <f>IFERROR(INDEX(Personnes!$B$5:$B$154,MATCH(40,Personnes!$L$5:$L$154,0)),"")</f>
        <v/>
      </c>
      <c r="C47" s="10" t="str">
        <f>IFERROR(INDEX(Personnes!$C$5:$C$154,MATCH($B47,Personnes!$B$5:$B$154,0))&amp;"","")</f>
        <v/>
      </c>
      <c r="D47" s="10" t="str">
        <f>IFERROR(INDEX(Personnes!$D$5:$D$154,MATCH($B47,Personnes!$B$5:$B$154,0))&amp;"","")</f>
        <v/>
      </c>
      <c r="E47" s="7"/>
      <c r="F47" s="19" t="str">
        <f t="shared" si="5"/>
        <v/>
      </c>
      <c r="G47" s="7"/>
      <c r="H47" s="19" t="str">
        <f t="shared" si="6"/>
        <v/>
      </c>
      <c r="I47" s="7"/>
      <c r="J47" s="19" t="str">
        <f t="shared" si="7"/>
        <v/>
      </c>
      <c r="K47" s="7"/>
      <c r="L47" s="19" t="str">
        <f t="shared" si="8"/>
        <v/>
      </c>
      <c r="M47" s="7"/>
      <c r="N47" s="19" t="str">
        <f t="shared" si="9"/>
        <v/>
      </c>
      <c r="O47" s="15"/>
      <c r="P47" s="15"/>
      <c r="Q47" s="15"/>
      <c r="R47" s="15"/>
      <c r="S47" s="15"/>
      <c r="T47" s="15"/>
      <c r="U47" s="14"/>
    </row>
    <row r="48" spans="1:21" x14ac:dyDescent="0.2">
      <c r="A48" s="7">
        <v>41</v>
      </c>
      <c r="B48" s="10" t="str">
        <f>IFERROR(INDEX(Personnes!$B$5:$B$154,MATCH(41,Personnes!$L$5:$L$154,0)),"")</f>
        <v/>
      </c>
      <c r="C48" s="10" t="str">
        <f>IFERROR(INDEX(Personnes!$C$5:$C$154,MATCH($B48,Personnes!$B$5:$B$154,0))&amp;"","")</f>
        <v/>
      </c>
      <c r="D48" s="10" t="str">
        <f>IFERROR(INDEX(Personnes!$D$5:$D$154,MATCH($B48,Personnes!$B$5:$B$154,0))&amp;"","")</f>
        <v/>
      </c>
      <c r="E48" s="7"/>
      <c r="F48" s="19" t="str">
        <f t="shared" si="5"/>
        <v/>
      </c>
      <c r="G48" s="7"/>
      <c r="H48" s="19" t="str">
        <f t="shared" si="6"/>
        <v/>
      </c>
      <c r="I48" s="7"/>
      <c r="J48" s="19" t="str">
        <f t="shared" si="7"/>
        <v/>
      </c>
      <c r="K48" s="7"/>
      <c r="L48" s="19" t="str">
        <f t="shared" si="8"/>
        <v/>
      </c>
      <c r="M48" s="7"/>
      <c r="N48" s="19" t="str">
        <f t="shared" si="9"/>
        <v/>
      </c>
      <c r="O48" s="15"/>
      <c r="P48" s="15"/>
      <c r="Q48" s="15"/>
      <c r="R48" s="15"/>
      <c r="S48" s="15"/>
      <c r="T48" s="15"/>
      <c r="U48" s="14"/>
    </row>
    <row r="49" spans="1:21" x14ac:dyDescent="0.2">
      <c r="A49" s="7">
        <v>42</v>
      </c>
      <c r="B49" s="10" t="str">
        <f>IFERROR(INDEX(Personnes!$B$5:$B$154,MATCH(42,Personnes!$L$5:$L$154,0)),"")</f>
        <v/>
      </c>
      <c r="C49" s="10" t="str">
        <f>IFERROR(INDEX(Personnes!$C$5:$C$154,MATCH($B49,Personnes!$B$5:$B$154,0))&amp;"","")</f>
        <v/>
      </c>
      <c r="D49" s="10" t="str">
        <f>IFERROR(INDEX(Personnes!$D$5:$D$154,MATCH($B49,Personnes!$B$5:$B$154,0))&amp;"","")</f>
        <v/>
      </c>
      <c r="E49" s="7"/>
      <c r="F49" s="19" t="str">
        <f t="shared" si="5"/>
        <v/>
      </c>
      <c r="G49" s="7"/>
      <c r="H49" s="19" t="str">
        <f t="shared" si="6"/>
        <v/>
      </c>
      <c r="I49" s="7"/>
      <c r="J49" s="19" t="str">
        <f t="shared" si="7"/>
        <v/>
      </c>
      <c r="K49" s="7"/>
      <c r="L49" s="19" t="str">
        <f t="shared" si="8"/>
        <v/>
      </c>
      <c r="M49" s="7"/>
      <c r="N49" s="19" t="str">
        <f t="shared" si="9"/>
        <v/>
      </c>
      <c r="O49" s="15"/>
      <c r="P49" s="15"/>
      <c r="Q49" s="15"/>
      <c r="R49" s="15"/>
      <c r="S49" s="15"/>
      <c r="T49" s="15"/>
      <c r="U49" s="14"/>
    </row>
    <row r="50" spans="1:21" x14ac:dyDescent="0.2">
      <c r="A50" s="7">
        <v>43</v>
      </c>
      <c r="B50" s="10" t="str">
        <f>IFERROR(INDEX(Personnes!$B$5:$B$154,MATCH(43,Personnes!$L$5:$L$154,0)),"")</f>
        <v/>
      </c>
      <c r="C50" s="10" t="str">
        <f>IFERROR(INDEX(Personnes!$C$5:$C$154,MATCH($B50,Personnes!$B$5:$B$154,0))&amp;"","")</f>
        <v/>
      </c>
      <c r="D50" s="10" t="str">
        <f>IFERROR(INDEX(Personnes!$D$5:$D$154,MATCH($B50,Personnes!$B$5:$B$154,0))&amp;"","")</f>
        <v/>
      </c>
      <c r="E50" s="7"/>
      <c r="F50" s="19" t="str">
        <f t="shared" si="5"/>
        <v/>
      </c>
      <c r="G50" s="7"/>
      <c r="H50" s="19" t="str">
        <f t="shared" si="6"/>
        <v/>
      </c>
      <c r="I50" s="7"/>
      <c r="J50" s="19" t="str">
        <f t="shared" si="7"/>
        <v/>
      </c>
      <c r="K50" s="7"/>
      <c r="L50" s="19" t="str">
        <f t="shared" si="8"/>
        <v/>
      </c>
      <c r="M50" s="7"/>
      <c r="N50" s="19" t="str">
        <f t="shared" si="9"/>
        <v/>
      </c>
      <c r="O50" s="15"/>
      <c r="P50" s="15"/>
      <c r="Q50" s="15"/>
      <c r="R50" s="15"/>
      <c r="S50" s="15"/>
      <c r="T50" s="15"/>
      <c r="U50" s="14"/>
    </row>
    <row r="51" spans="1:21" x14ac:dyDescent="0.2">
      <c r="A51" s="7">
        <v>44</v>
      </c>
      <c r="B51" s="10" t="str">
        <f>IFERROR(INDEX(Personnes!$B$5:$B$154,MATCH(44,Personnes!$L$5:$L$154,0)),"")</f>
        <v/>
      </c>
      <c r="C51" s="10" t="str">
        <f>IFERROR(INDEX(Personnes!$C$5:$C$154,MATCH($B51,Personnes!$B$5:$B$154,0))&amp;"","")</f>
        <v/>
      </c>
      <c r="D51" s="10" t="str">
        <f>IFERROR(INDEX(Personnes!$D$5:$D$154,MATCH($B51,Personnes!$B$5:$B$154,0))&amp;"","")</f>
        <v/>
      </c>
      <c r="E51" s="7"/>
      <c r="F51" s="19" t="str">
        <f t="shared" si="5"/>
        <v/>
      </c>
      <c r="G51" s="7"/>
      <c r="H51" s="19" t="str">
        <f t="shared" si="6"/>
        <v/>
      </c>
      <c r="I51" s="7"/>
      <c r="J51" s="19" t="str">
        <f t="shared" si="7"/>
        <v/>
      </c>
      <c r="K51" s="7"/>
      <c r="L51" s="19" t="str">
        <f t="shared" si="8"/>
        <v/>
      </c>
      <c r="M51" s="7"/>
      <c r="N51" s="19" t="str">
        <f t="shared" si="9"/>
        <v/>
      </c>
      <c r="O51" s="15"/>
      <c r="P51" s="15"/>
      <c r="Q51" s="15"/>
      <c r="R51" s="15"/>
      <c r="S51" s="15"/>
      <c r="T51" s="15"/>
      <c r="U51" s="14"/>
    </row>
    <row r="52" spans="1:21" x14ac:dyDescent="0.2">
      <c r="A52" s="7">
        <v>45</v>
      </c>
      <c r="B52" s="10" t="str">
        <f>IFERROR(INDEX(Personnes!$B$5:$B$154,MATCH(45,Personnes!$L$5:$L$154,0)),"")</f>
        <v/>
      </c>
      <c r="C52" s="10" t="str">
        <f>IFERROR(INDEX(Personnes!$C$5:$C$154,MATCH($B52,Personnes!$B$5:$B$154,0))&amp;"","")</f>
        <v/>
      </c>
      <c r="D52" s="10" t="str">
        <f>IFERROR(INDEX(Personnes!$D$5:$D$154,MATCH($B52,Personnes!$B$5:$B$154,0))&amp;"","")</f>
        <v/>
      </c>
      <c r="E52" s="7"/>
      <c r="F52" s="19" t="str">
        <f t="shared" si="5"/>
        <v/>
      </c>
      <c r="G52" s="7"/>
      <c r="H52" s="19" t="str">
        <f t="shared" si="6"/>
        <v/>
      </c>
      <c r="I52" s="7"/>
      <c r="J52" s="19" t="str">
        <f t="shared" si="7"/>
        <v/>
      </c>
      <c r="K52" s="7"/>
      <c r="L52" s="19" t="str">
        <f t="shared" si="8"/>
        <v/>
      </c>
      <c r="M52" s="7"/>
      <c r="N52" s="19" t="str">
        <f t="shared" si="9"/>
        <v/>
      </c>
      <c r="O52" s="15"/>
      <c r="P52" s="15"/>
      <c r="Q52" s="15"/>
      <c r="R52" s="15"/>
      <c r="S52" s="15"/>
      <c r="T52" s="15"/>
      <c r="U52" s="14"/>
    </row>
    <row r="53" spans="1:21" x14ac:dyDescent="0.2">
      <c r="A53" s="7">
        <v>46</v>
      </c>
      <c r="B53" s="10" t="str">
        <f>IFERROR(INDEX(Personnes!$B$5:$B$154,MATCH(46,Personnes!$L$5:$L$154,0)),"")</f>
        <v/>
      </c>
      <c r="C53" s="10" t="str">
        <f>IFERROR(INDEX(Personnes!$C$5:$C$154,MATCH($B53,Personnes!$B$5:$B$154,0))&amp;"","")</f>
        <v/>
      </c>
      <c r="D53" s="10" t="str">
        <f>IFERROR(INDEX(Personnes!$D$5:$D$154,MATCH($B53,Personnes!$B$5:$B$154,0))&amp;"","")</f>
        <v/>
      </c>
      <c r="E53" s="7"/>
      <c r="F53" s="19" t="str">
        <f t="shared" si="5"/>
        <v/>
      </c>
      <c r="G53" s="7"/>
      <c r="H53" s="19" t="str">
        <f t="shared" si="6"/>
        <v/>
      </c>
      <c r="I53" s="7"/>
      <c r="J53" s="19" t="str">
        <f t="shared" si="7"/>
        <v/>
      </c>
      <c r="K53" s="7"/>
      <c r="L53" s="19" t="str">
        <f t="shared" si="8"/>
        <v/>
      </c>
      <c r="M53" s="7"/>
      <c r="N53" s="19" t="str">
        <f t="shared" si="9"/>
        <v/>
      </c>
      <c r="O53" s="15"/>
      <c r="P53" s="15"/>
      <c r="Q53" s="15"/>
      <c r="R53" s="15"/>
      <c r="S53" s="15"/>
      <c r="T53" s="15"/>
      <c r="U53" s="14"/>
    </row>
    <row r="54" spans="1:21" x14ac:dyDescent="0.2">
      <c r="A54" s="7">
        <v>47</v>
      </c>
      <c r="B54" s="10" t="str">
        <f>IFERROR(INDEX(Personnes!$B$5:$B$154,MATCH(47,Personnes!$L$5:$L$154,0)),"")</f>
        <v/>
      </c>
      <c r="C54" s="10" t="str">
        <f>IFERROR(INDEX(Personnes!$C$5:$C$154,MATCH($B54,Personnes!$B$5:$B$154,0))&amp;"","")</f>
        <v/>
      </c>
      <c r="D54" s="10" t="str">
        <f>IFERROR(INDEX(Personnes!$D$5:$D$154,MATCH($B54,Personnes!$B$5:$B$154,0))&amp;"","")</f>
        <v/>
      </c>
      <c r="E54" s="7"/>
      <c r="F54" s="19" t="str">
        <f t="shared" si="5"/>
        <v/>
      </c>
      <c r="G54" s="7"/>
      <c r="H54" s="19" t="str">
        <f t="shared" si="6"/>
        <v/>
      </c>
      <c r="I54" s="7"/>
      <c r="J54" s="19" t="str">
        <f t="shared" si="7"/>
        <v/>
      </c>
      <c r="K54" s="7"/>
      <c r="L54" s="19" t="str">
        <f t="shared" si="8"/>
        <v/>
      </c>
      <c r="M54" s="7"/>
      <c r="N54" s="19" t="str">
        <f t="shared" si="9"/>
        <v/>
      </c>
      <c r="O54" s="15"/>
      <c r="P54" s="15"/>
      <c r="Q54" s="15"/>
      <c r="R54" s="15"/>
      <c r="S54" s="15"/>
      <c r="T54" s="15"/>
      <c r="U54" s="14"/>
    </row>
    <row r="55" spans="1:21" x14ac:dyDescent="0.2">
      <c r="A55" s="7">
        <v>48</v>
      </c>
      <c r="B55" s="10" t="str">
        <f>IFERROR(INDEX(Personnes!$B$5:$B$154,MATCH(48,Personnes!$L$5:$L$154,0)),"")</f>
        <v/>
      </c>
      <c r="C55" s="10" t="str">
        <f>IFERROR(INDEX(Personnes!$C$5:$C$154,MATCH($B55,Personnes!$B$5:$B$154,0))&amp;"","")</f>
        <v/>
      </c>
      <c r="D55" s="10" t="str">
        <f>IFERROR(INDEX(Personnes!$D$5:$D$154,MATCH($B55,Personnes!$B$5:$B$154,0))&amp;"","")</f>
        <v/>
      </c>
      <c r="E55" s="7"/>
      <c r="F55" s="19" t="str">
        <f t="shared" si="5"/>
        <v/>
      </c>
      <c r="G55" s="7"/>
      <c r="H55" s="19" t="str">
        <f t="shared" si="6"/>
        <v/>
      </c>
      <c r="I55" s="7"/>
      <c r="J55" s="19" t="str">
        <f t="shared" si="7"/>
        <v/>
      </c>
      <c r="K55" s="7"/>
      <c r="L55" s="19" t="str">
        <f t="shared" si="8"/>
        <v/>
      </c>
      <c r="M55" s="7"/>
      <c r="N55" s="19" t="str">
        <f t="shared" si="9"/>
        <v/>
      </c>
      <c r="O55" s="15"/>
      <c r="P55" s="15"/>
      <c r="Q55" s="15"/>
      <c r="R55" s="15"/>
      <c r="S55" s="15"/>
      <c r="T55" s="15"/>
      <c r="U55" s="14"/>
    </row>
    <row r="56" spans="1:21" x14ac:dyDescent="0.2">
      <c r="A56" s="7">
        <v>49</v>
      </c>
      <c r="B56" s="10" t="str">
        <f>IFERROR(INDEX(Personnes!$B$5:$B$154,MATCH(49,Personnes!$L$5:$L$154,0)),"")</f>
        <v/>
      </c>
      <c r="C56" s="10" t="str">
        <f>IFERROR(INDEX(Personnes!$C$5:$C$154,MATCH($B56,Personnes!$B$5:$B$154,0))&amp;"","")</f>
        <v/>
      </c>
      <c r="D56" s="10" t="str">
        <f>IFERROR(INDEX(Personnes!$D$5:$D$154,MATCH($B56,Personnes!$B$5:$B$154,0))&amp;"","")</f>
        <v/>
      </c>
      <c r="E56" s="7"/>
      <c r="F56" s="19" t="str">
        <f t="shared" si="5"/>
        <v/>
      </c>
      <c r="G56" s="7"/>
      <c r="H56" s="19" t="str">
        <f t="shared" si="6"/>
        <v/>
      </c>
      <c r="I56" s="7"/>
      <c r="J56" s="19" t="str">
        <f t="shared" si="7"/>
        <v/>
      </c>
      <c r="K56" s="7"/>
      <c r="L56" s="19" t="str">
        <f t="shared" si="8"/>
        <v/>
      </c>
      <c r="M56" s="7"/>
      <c r="N56" s="19" t="str">
        <f t="shared" si="9"/>
        <v/>
      </c>
      <c r="O56" s="15"/>
      <c r="P56" s="15"/>
      <c r="Q56" s="15"/>
      <c r="R56" s="15"/>
      <c r="S56" s="15"/>
      <c r="T56" s="15"/>
      <c r="U56" s="14"/>
    </row>
    <row r="57" spans="1:21" x14ac:dyDescent="0.2">
      <c r="A57" s="7">
        <v>50</v>
      </c>
      <c r="B57" s="10" t="str">
        <f>IFERROR(INDEX(Personnes!$B$5:$B$154,MATCH(50,Personnes!$L$5:$L$154,0)),"")</f>
        <v/>
      </c>
      <c r="C57" s="10" t="str">
        <f>IFERROR(INDEX(Personnes!$C$5:$C$154,MATCH($B57,Personnes!$B$5:$B$154,0))&amp;"","")</f>
        <v/>
      </c>
      <c r="D57" s="10" t="str">
        <f>IFERROR(INDEX(Personnes!$D$5:$D$154,MATCH($B57,Personnes!$B$5:$B$154,0))&amp;"","")</f>
        <v/>
      </c>
      <c r="E57" s="7"/>
      <c r="F57" s="19" t="str">
        <f t="shared" si="5"/>
        <v/>
      </c>
      <c r="G57" s="7"/>
      <c r="H57" s="19" t="str">
        <f t="shared" si="6"/>
        <v/>
      </c>
      <c r="I57" s="7"/>
      <c r="J57" s="19" t="str">
        <f t="shared" si="7"/>
        <v/>
      </c>
      <c r="K57" s="7"/>
      <c r="L57" s="19" t="str">
        <f t="shared" si="8"/>
        <v/>
      </c>
      <c r="M57" s="7"/>
      <c r="N57" s="19" t="str">
        <f t="shared" si="9"/>
        <v/>
      </c>
      <c r="O57" s="15"/>
      <c r="P57" s="15"/>
      <c r="Q57" s="15"/>
      <c r="R57" s="15"/>
      <c r="S57" s="15"/>
      <c r="T57" s="15"/>
      <c r="U57" s="14"/>
    </row>
    <row r="58" spans="1:21" x14ac:dyDescent="0.2">
      <c r="A58" s="7">
        <v>51</v>
      </c>
      <c r="B58" s="10" t="str">
        <f>IFERROR(INDEX(Personnes!$B$5:$B$154,MATCH(51,Personnes!$L$5:$L$154,0)),"")</f>
        <v/>
      </c>
      <c r="C58" s="10" t="str">
        <f>IFERROR(INDEX(Personnes!$C$5:$C$154,MATCH($B58,Personnes!$B$5:$B$154,0))&amp;"","")</f>
        <v/>
      </c>
      <c r="D58" s="10" t="str">
        <f>IFERROR(INDEX(Personnes!$D$5:$D$154,MATCH($B58,Personnes!$B$5:$B$154,0))&amp;"","")</f>
        <v/>
      </c>
      <c r="E58" s="7"/>
      <c r="F58" s="19" t="str">
        <f t="shared" si="5"/>
        <v/>
      </c>
      <c r="G58" s="7"/>
      <c r="H58" s="19" t="str">
        <f t="shared" si="6"/>
        <v/>
      </c>
      <c r="I58" s="7"/>
      <c r="J58" s="19" t="str">
        <f t="shared" si="7"/>
        <v/>
      </c>
      <c r="K58" s="7"/>
      <c r="L58" s="19" t="str">
        <f t="shared" si="8"/>
        <v/>
      </c>
      <c r="M58" s="7"/>
      <c r="N58" s="19" t="str">
        <f t="shared" si="9"/>
        <v/>
      </c>
      <c r="O58" s="15"/>
      <c r="P58" s="15"/>
      <c r="Q58" s="15"/>
      <c r="R58" s="15"/>
      <c r="S58" s="15"/>
      <c r="T58" s="15"/>
      <c r="U58" s="14"/>
    </row>
    <row r="59" spans="1:21" x14ac:dyDescent="0.2">
      <c r="A59" s="7">
        <v>52</v>
      </c>
      <c r="B59" s="10" t="str">
        <f>IFERROR(INDEX(Personnes!$B$5:$B$154,MATCH(52,Personnes!$L$5:$L$154,0)),"")</f>
        <v/>
      </c>
      <c r="C59" s="10" t="str">
        <f>IFERROR(INDEX(Personnes!$C$5:$C$154,MATCH($B59,Personnes!$B$5:$B$154,0))&amp;"","")</f>
        <v/>
      </c>
      <c r="D59" s="10" t="str">
        <f>IFERROR(INDEX(Personnes!$D$5:$D$154,MATCH($B59,Personnes!$B$5:$B$154,0))&amp;"","")</f>
        <v/>
      </c>
      <c r="E59" s="7"/>
      <c r="F59" s="19" t="str">
        <f t="shared" si="5"/>
        <v/>
      </c>
      <c r="G59" s="7"/>
      <c r="H59" s="19" t="str">
        <f t="shared" si="6"/>
        <v/>
      </c>
      <c r="I59" s="7"/>
      <c r="J59" s="19" t="str">
        <f t="shared" si="7"/>
        <v/>
      </c>
      <c r="K59" s="7"/>
      <c r="L59" s="19" t="str">
        <f t="shared" si="8"/>
        <v/>
      </c>
      <c r="M59" s="7"/>
      <c r="N59" s="19" t="str">
        <f t="shared" si="9"/>
        <v/>
      </c>
      <c r="O59" s="15"/>
      <c r="P59" s="15"/>
      <c r="Q59" s="15"/>
      <c r="R59" s="15"/>
      <c r="S59" s="15"/>
      <c r="T59" s="15"/>
      <c r="U59" s="14"/>
    </row>
    <row r="60" spans="1:21" x14ac:dyDescent="0.2">
      <c r="A60" s="7">
        <v>53</v>
      </c>
      <c r="B60" s="10" t="str">
        <f>IFERROR(INDEX(Personnes!$B$5:$B$154,MATCH(53,Personnes!$L$5:$L$154,0)),"")</f>
        <v/>
      </c>
      <c r="C60" s="10" t="str">
        <f>IFERROR(INDEX(Personnes!$C$5:$C$154,MATCH($B60,Personnes!$B$5:$B$154,0))&amp;"","")</f>
        <v/>
      </c>
      <c r="D60" s="10" t="str">
        <f>IFERROR(INDEX(Personnes!$D$5:$D$154,MATCH($B60,Personnes!$B$5:$B$154,0))&amp;"","")</f>
        <v/>
      </c>
      <c r="E60" s="7"/>
      <c r="F60" s="19" t="str">
        <f t="shared" si="5"/>
        <v/>
      </c>
      <c r="G60" s="7"/>
      <c r="H60" s="19" t="str">
        <f t="shared" si="6"/>
        <v/>
      </c>
      <c r="I60" s="7"/>
      <c r="J60" s="19" t="str">
        <f t="shared" si="7"/>
        <v/>
      </c>
      <c r="K60" s="7"/>
      <c r="L60" s="19" t="str">
        <f t="shared" si="8"/>
        <v/>
      </c>
      <c r="M60" s="7"/>
      <c r="N60" s="19" t="str">
        <f t="shared" si="9"/>
        <v/>
      </c>
      <c r="O60" s="15"/>
      <c r="P60" s="15"/>
      <c r="Q60" s="15"/>
      <c r="R60" s="15"/>
      <c r="S60" s="15"/>
      <c r="T60" s="15"/>
      <c r="U60" s="14"/>
    </row>
    <row r="61" spans="1:21" x14ac:dyDescent="0.2">
      <c r="A61" s="7">
        <v>54</v>
      </c>
      <c r="B61" s="10" t="str">
        <f>IFERROR(INDEX(Personnes!$B$5:$B$154,MATCH(54,Personnes!$L$5:$L$154,0)),"")</f>
        <v/>
      </c>
      <c r="C61" s="10" t="str">
        <f>IFERROR(INDEX(Personnes!$C$5:$C$154,MATCH($B61,Personnes!$B$5:$B$154,0))&amp;"","")</f>
        <v/>
      </c>
      <c r="D61" s="10" t="str">
        <f>IFERROR(INDEX(Personnes!$D$5:$D$154,MATCH($B61,Personnes!$B$5:$B$154,0))&amp;"","")</f>
        <v/>
      </c>
      <c r="E61" s="7"/>
      <c r="F61" s="19" t="str">
        <f t="shared" si="5"/>
        <v/>
      </c>
      <c r="G61" s="7"/>
      <c r="H61" s="19" t="str">
        <f t="shared" si="6"/>
        <v/>
      </c>
      <c r="I61" s="7"/>
      <c r="J61" s="19" t="str">
        <f t="shared" si="7"/>
        <v/>
      </c>
      <c r="K61" s="7"/>
      <c r="L61" s="19" t="str">
        <f t="shared" si="8"/>
        <v/>
      </c>
      <c r="M61" s="7"/>
      <c r="N61" s="19" t="str">
        <f t="shared" si="9"/>
        <v/>
      </c>
      <c r="O61" s="15"/>
      <c r="P61" s="15"/>
      <c r="Q61" s="15"/>
      <c r="R61" s="15"/>
      <c r="S61" s="15"/>
      <c r="T61" s="15"/>
      <c r="U61" s="14"/>
    </row>
    <row r="62" spans="1:21" x14ac:dyDescent="0.2">
      <c r="A62" s="7">
        <v>55</v>
      </c>
      <c r="B62" s="10" t="str">
        <f>IFERROR(INDEX(Personnes!$B$5:$B$154,MATCH(55,Personnes!$L$5:$L$154,0)),"")</f>
        <v/>
      </c>
      <c r="C62" s="10" t="str">
        <f>IFERROR(INDEX(Personnes!$C$5:$C$154,MATCH($B62,Personnes!$B$5:$B$154,0))&amp;"","")</f>
        <v/>
      </c>
      <c r="D62" s="10" t="str">
        <f>IFERROR(INDEX(Personnes!$D$5:$D$154,MATCH($B62,Personnes!$B$5:$B$154,0))&amp;"","")</f>
        <v/>
      </c>
      <c r="E62" s="7"/>
      <c r="F62" s="19" t="str">
        <f t="shared" si="5"/>
        <v/>
      </c>
      <c r="G62" s="7"/>
      <c r="H62" s="19" t="str">
        <f t="shared" si="6"/>
        <v/>
      </c>
      <c r="I62" s="7"/>
      <c r="J62" s="19" t="str">
        <f t="shared" si="7"/>
        <v/>
      </c>
      <c r="K62" s="7"/>
      <c r="L62" s="19" t="str">
        <f t="shared" si="8"/>
        <v/>
      </c>
      <c r="M62" s="7"/>
      <c r="N62" s="19" t="str">
        <f t="shared" si="9"/>
        <v/>
      </c>
      <c r="O62" s="15"/>
      <c r="P62" s="15"/>
      <c r="Q62" s="15"/>
      <c r="R62" s="15"/>
      <c r="S62" s="15"/>
      <c r="T62" s="15"/>
      <c r="U62" s="14"/>
    </row>
    <row r="63" spans="1:21" x14ac:dyDescent="0.2">
      <c r="A63" s="7">
        <v>56</v>
      </c>
      <c r="B63" s="10" t="str">
        <f>IFERROR(INDEX(Personnes!$B$5:$B$154,MATCH(56,Personnes!$L$5:$L$154,0)),"")</f>
        <v/>
      </c>
      <c r="C63" s="10" t="str">
        <f>IFERROR(INDEX(Personnes!$C$5:$C$154,MATCH($B63,Personnes!$B$5:$B$154,0))&amp;"","")</f>
        <v/>
      </c>
      <c r="D63" s="10" t="str">
        <f>IFERROR(INDEX(Personnes!$D$5:$D$154,MATCH($B63,Personnes!$B$5:$B$154,0))&amp;"","")</f>
        <v/>
      </c>
      <c r="E63" s="7"/>
      <c r="F63" s="19" t="str">
        <f t="shared" si="5"/>
        <v/>
      </c>
      <c r="G63" s="7"/>
      <c r="H63" s="19" t="str">
        <f t="shared" si="6"/>
        <v/>
      </c>
      <c r="I63" s="7"/>
      <c r="J63" s="19" t="str">
        <f t="shared" si="7"/>
        <v/>
      </c>
      <c r="K63" s="7"/>
      <c r="L63" s="19" t="str">
        <f t="shared" si="8"/>
        <v/>
      </c>
      <c r="M63" s="7"/>
      <c r="N63" s="19" t="str">
        <f t="shared" si="9"/>
        <v/>
      </c>
      <c r="O63" s="15"/>
      <c r="P63" s="15"/>
      <c r="Q63" s="15"/>
      <c r="R63" s="15"/>
      <c r="S63" s="15"/>
      <c r="T63" s="15"/>
      <c r="U63" s="14"/>
    </row>
    <row r="64" spans="1:21" x14ac:dyDescent="0.2">
      <c r="A64" s="7">
        <v>57</v>
      </c>
      <c r="B64" s="10" t="str">
        <f>IFERROR(INDEX(Personnes!$B$5:$B$154,MATCH(57,Personnes!$L$5:$L$154,0)),"")</f>
        <v/>
      </c>
      <c r="C64" s="10" t="str">
        <f>IFERROR(INDEX(Personnes!$C$5:$C$154,MATCH($B64,Personnes!$B$5:$B$154,0))&amp;"","")</f>
        <v/>
      </c>
      <c r="D64" s="10" t="str">
        <f>IFERROR(INDEX(Personnes!$D$5:$D$154,MATCH($B64,Personnes!$B$5:$B$154,0))&amp;"","")</f>
        <v/>
      </c>
      <c r="E64" s="7"/>
      <c r="F64" s="19" t="str">
        <f t="shared" si="5"/>
        <v/>
      </c>
      <c r="G64" s="7"/>
      <c r="H64" s="19" t="str">
        <f t="shared" si="6"/>
        <v/>
      </c>
      <c r="I64" s="7"/>
      <c r="J64" s="19" t="str">
        <f t="shared" si="7"/>
        <v/>
      </c>
      <c r="K64" s="7"/>
      <c r="L64" s="19" t="str">
        <f t="shared" si="8"/>
        <v/>
      </c>
      <c r="M64" s="7"/>
      <c r="N64" s="19" t="str">
        <f t="shared" si="9"/>
        <v/>
      </c>
      <c r="O64" s="15"/>
      <c r="P64" s="15"/>
      <c r="Q64" s="15"/>
      <c r="R64" s="15"/>
      <c r="S64" s="15"/>
      <c r="T64" s="15"/>
      <c r="U64" s="14"/>
    </row>
    <row r="65" spans="1:21" x14ac:dyDescent="0.2">
      <c r="A65" s="7">
        <v>58</v>
      </c>
      <c r="B65" s="10" t="str">
        <f>IFERROR(INDEX(Personnes!$B$5:$B$154,MATCH(58,Personnes!$L$5:$L$154,0)),"")</f>
        <v/>
      </c>
      <c r="C65" s="10" t="str">
        <f>IFERROR(INDEX(Personnes!$C$5:$C$154,MATCH($B65,Personnes!$B$5:$B$154,0))&amp;"","")</f>
        <v/>
      </c>
      <c r="D65" s="10" t="str">
        <f>IFERROR(INDEX(Personnes!$D$5:$D$154,MATCH($B65,Personnes!$B$5:$B$154,0))&amp;"","")</f>
        <v/>
      </c>
      <c r="E65" s="7"/>
      <c r="F65" s="19" t="str">
        <f t="shared" si="5"/>
        <v/>
      </c>
      <c r="G65" s="7"/>
      <c r="H65" s="19" t="str">
        <f t="shared" si="6"/>
        <v/>
      </c>
      <c r="I65" s="7"/>
      <c r="J65" s="19" t="str">
        <f t="shared" si="7"/>
        <v/>
      </c>
      <c r="K65" s="7"/>
      <c r="L65" s="19" t="str">
        <f t="shared" si="8"/>
        <v/>
      </c>
      <c r="M65" s="7"/>
      <c r="N65" s="19" t="str">
        <f t="shared" si="9"/>
        <v/>
      </c>
      <c r="O65" s="15"/>
      <c r="P65" s="15"/>
      <c r="Q65" s="15"/>
      <c r="R65" s="15"/>
      <c r="S65" s="15"/>
      <c r="T65" s="15"/>
      <c r="U65" s="14"/>
    </row>
    <row r="66" spans="1:21" x14ac:dyDescent="0.2">
      <c r="A66" s="7">
        <v>59</v>
      </c>
      <c r="B66" s="10" t="str">
        <f>IFERROR(INDEX(Personnes!$B$5:$B$154,MATCH(59,Personnes!$L$5:$L$154,0)),"")</f>
        <v/>
      </c>
      <c r="C66" s="10" t="str">
        <f>IFERROR(INDEX(Personnes!$C$5:$C$154,MATCH($B66,Personnes!$B$5:$B$154,0))&amp;"","")</f>
        <v/>
      </c>
      <c r="D66" s="10" t="str">
        <f>IFERROR(INDEX(Personnes!$D$5:$D$154,MATCH($B66,Personnes!$B$5:$B$154,0))&amp;"","")</f>
        <v/>
      </c>
      <c r="E66" s="7"/>
      <c r="F66" s="19" t="str">
        <f t="shared" si="5"/>
        <v/>
      </c>
      <c r="G66" s="7"/>
      <c r="H66" s="19" t="str">
        <f t="shared" si="6"/>
        <v/>
      </c>
      <c r="I66" s="7"/>
      <c r="J66" s="19" t="str">
        <f t="shared" si="7"/>
        <v/>
      </c>
      <c r="K66" s="7"/>
      <c r="L66" s="19" t="str">
        <f t="shared" si="8"/>
        <v/>
      </c>
      <c r="M66" s="7"/>
      <c r="N66" s="19" t="str">
        <f t="shared" si="9"/>
        <v/>
      </c>
      <c r="O66" s="15"/>
      <c r="P66" s="15"/>
      <c r="Q66" s="15"/>
      <c r="R66" s="15"/>
      <c r="S66" s="15"/>
      <c r="T66" s="15"/>
      <c r="U66" s="14"/>
    </row>
    <row r="67" spans="1:21" x14ac:dyDescent="0.2">
      <c r="A67" s="7">
        <v>60</v>
      </c>
      <c r="B67" s="10" t="str">
        <f>IFERROR(INDEX(Personnes!$B$5:$B$154,MATCH(60,Personnes!$L$5:$L$154,0)),"")</f>
        <v/>
      </c>
      <c r="C67" s="10" t="str">
        <f>IFERROR(INDEX(Personnes!$C$5:$C$154,MATCH($B67,Personnes!$B$5:$B$154,0))&amp;"","")</f>
        <v/>
      </c>
      <c r="D67" s="10" t="str">
        <f>IFERROR(INDEX(Personnes!$D$5:$D$154,MATCH($B67,Personnes!$B$5:$B$154,0))&amp;"","")</f>
        <v/>
      </c>
      <c r="E67" s="7"/>
      <c r="F67" s="19" t="str">
        <f t="shared" si="5"/>
        <v/>
      </c>
      <c r="G67" s="7"/>
      <c r="H67" s="19" t="str">
        <f t="shared" si="6"/>
        <v/>
      </c>
      <c r="I67" s="7"/>
      <c r="J67" s="19" t="str">
        <f t="shared" si="7"/>
        <v/>
      </c>
      <c r="K67" s="7"/>
      <c r="L67" s="19" t="str">
        <f t="shared" si="8"/>
        <v/>
      </c>
      <c r="M67" s="7"/>
      <c r="N67" s="19" t="str">
        <f t="shared" si="9"/>
        <v/>
      </c>
      <c r="O67" s="15"/>
      <c r="P67" s="15"/>
      <c r="Q67" s="15"/>
      <c r="R67" s="15"/>
      <c r="S67" s="15"/>
      <c r="T67" s="15"/>
      <c r="U67" s="14"/>
    </row>
    <row r="68" spans="1:21" x14ac:dyDescent="0.2">
      <c r="A68" s="7">
        <v>61</v>
      </c>
      <c r="B68" s="10" t="str">
        <f>IFERROR(INDEX(Personnes!$B$5:$B$154,MATCH(61,Personnes!$L$5:$L$154,0)),"")</f>
        <v/>
      </c>
      <c r="C68" s="10" t="str">
        <f>IFERROR(INDEX(Personnes!$C$5:$C$154,MATCH($B68,Personnes!$B$5:$B$154,0))&amp;"","")</f>
        <v/>
      </c>
      <c r="D68" s="10" t="str">
        <f>IFERROR(INDEX(Personnes!$D$5:$D$154,MATCH($B68,Personnes!$B$5:$B$154,0))&amp;"","")</f>
        <v/>
      </c>
      <c r="E68" s="7"/>
      <c r="F68" s="19" t="str">
        <f t="shared" si="5"/>
        <v/>
      </c>
      <c r="G68" s="7"/>
      <c r="H68" s="19" t="str">
        <f t="shared" si="6"/>
        <v/>
      </c>
      <c r="I68" s="7"/>
      <c r="J68" s="19" t="str">
        <f t="shared" si="7"/>
        <v/>
      </c>
      <c r="K68" s="7"/>
      <c r="L68" s="19" t="str">
        <f t="shared" si="8"/>
        <v/>
      </c>
      <c r="M68" s="7"/>
      <c r="N68" s="19" t="str">
        <f t="shared" si="9"/>
        <v/>
      </c>
      <c r="O68" s="15"/>
      <c r="P68" s="15"/>
      <c r="Q68" s="15"/>
      <c r="R68" s="15"/>
      <c r="S68" s="15"/>
      <c r="T68" s="15"/>
      <c r="U68" s="14"/>
    </row>
    <row r="69" spans="1:21" x14ac:dyDescent="0.2">
      <c r="A69" s="7">
        <v>62</v>
      </c>
      <c r="B69" s="10" t="str">
        <f>IFERROR(INDEX(Personnes!$B$5:$B$154,MATCH(62,Personnes!$L$5:$L$154,0)),"")</f>
        <v/>
      </c>
      <c r="C69" s="10" t="str">
        <f>IFERROR(INDEX(Personnes!$C$5:$C$154,MATCH($B69,Personnes!$B$5:$B$154,0))&amp;"","")</f>
        <v/>
      </c>
      <c r="D69" s="10" t="str">
        <f>IFERROR(INDEX(Personnes!$D$5:$D$154,MATCH($B69,Personnes!$B$5:$B$154,0))&amp;"","")</f>
        <v/>
      </c>
      <c r="E69" s="7"/>
      <c r="F69" s="19" t="str">
        <f t="shared" si="5"/>
        <v/>
      </c>
      <c r="G69" s="7"/>
      <c r="H69" s="19" t="str">
        <f t="shared" si="6"/>
        <v/>
      </c>
      <c r="I69" s="7"/>
      <c r="J69" s="19" t="str">
        <f t="shared" si="7"/>
        <v/>
      </c>
      <c r="K69" s="7"/>
      <c r="L69" s="19" t="str">
        <f t="shared" si="8"/>
        <v/>
      </c>
      <c r="M69" s="7"/>
      <c r="N69" s="19" t="str">
        <f t="shared" si="9"/>
        <v/>
      </c>
      <c r="O69" s="15"/>
      <c r="P69" s="15"/>
      <c r="Q69" s="15"/>
      <c r="R69" s="15"/>
      <c r="S69" s="15"/>
      <c r="T69" s="15"/>
      <c r="U69" s="14"/>
    </row>
    <row r="70" spans="1:21" x14ac:dyDescent="0.2">
      <c r="A70" s="7">
        <v>63</v>
      </c>
      <c r="B70" s="10" t="str">
        <f>IFERROR(INDEX(Personnes!$B$5:$B$154,MATCH(63,Personnes!$L$5:$L$154,0)),"")</f>
        <v/>
      </c>
      <c r="C70" s="10" t="str">
        <f>IFERROR(INDEX(Personnes!$C$5:$C$154,MATCH($B70,Personnes!$B$5:$B$154,0))&amp;"","")</f>
        <v/>
      </c>
      <c r="D70" s="10" t="str">
        <f>IFERROR(INDEX(Personnes!$D$5:$D$154,MATCH($B70,Personnes!$B$5:$B$154,0))&amp;"","")</f>
        <v/>
      </c>
      <c r="E70" s="7"/>
      <c r="F70" s="19" t="str">
        <f t="shared" si="5"/>
        <v/>
      </c>
      <c r="G70" s="7"/>
      <c r="H70" s="19" t="str">
        <f t="shared" si="6"/>
        <v/>
      </c>
      <c r="I70" s="7"/>
      <c r="J70" s="19" t="str">
        <f t="shared" si="7"/>
        <v/>
      </c>
      <c r="K70" s="7"/>
      <c r="L70" s="19" t="str">
        <f t="shared" si="8"/>
        <v/>
      </c>
      <c r="M70" s="7"/>
      <c r="N70" s="19" t="str">
        <f t="shared" si="9"/>
        <v/>
      </c>
      <c r="O70" s="15"/>
      <c r="P70" s="15"/>
      <c r="Q70" s="15"/>
      <c r="R70" s="15"/>
      <c r="S70" s="15"/>
      <c r="T70" s="15"/>
      <c r="U70" s="14"/>
    </row>
    <row r="71" spans="1:21" x14ac:dyDescent="0.2">
      <c r="A71" s="7">
        <v>64</v>
      </c>
      <c r="B71" s="10" t="str">
        <f>IFERROR(INDEX(Personnes!$B$5:$B$154,MATCH(64,Personnes!$L$5:$L$154,0)),"")</f>
        <v/>
      </c>
      <c r="C71" s="10" t="str">
        <f>IFERROR(INDEX(Personnes!$C$5:$C$154,MATCH($B71,Personnes!$B$5:$B$154,0))&amp;"","")</f>
        <v/>
      </c>
      <c r="D71" s="10" t="str">
        <f>IFERROR(INDEX(Personnes!$D$5:$D$154,MATCH($B71,Personnes!$B$5:$B$154,0))&amp;"","")</f>
        <v/>
      </c>
      <c r="E71" s="7"/>
      <c r="F71" s="19" t="str">
        <f t="shared" si="5"/>
        <v/>
      </c>
      <c r="G71" s="7"/>
      <c r="H71" s="19" t="str">
        <f t="shared" si="6"/>
        <v/>
      </c>
      <c r="I71" s="7"/>
      <c r="J71" s="19" t="str">
        <f t="shared" si="7"/>
        <v/>
      </c>
      <c r="K71" s="7"/>
      <c r="L71" s="19" t="str">
        <f t="shared" si="8"/>
        <v/>
      </c>
      <c r="M71" s="7"/>
      <c r="N71" s="19" t="str">
        <f t="shared" si="9"/>
        <v/>
      </c>
      <c r="O71" s="15"/>
      <c r="P71" s="15"/>
      <c r="Q71" s="15"/>
      <c r="R71" s="15"/>
      <c r="S71" s="15"/>
      <c r="T71" s="15"/>
      <c r="U71" s="14"/>
    </row>
    <row r="72" spans="1:21" x14ac:dyDescent="0.2">
      <c r="A72" s="7">
        <v>65</v>
      </c>
      <c r="B72" s="10" t="str">
        <f>IFERROR(INDEX(Personnes!$B$5:$B$154,MATCH(65,Personnes!$L$5:$L$154,0)),"")</f>
        <v/>
      </c>
      <c r="C72" s="10" t="str">
        <f>IFERROR(INDEX(Personnes!$C$5:$C$154,MATCH($B72,Personnes!$B$5:$B$154,0))&amp;"","")</f>
        <v/>
      </c>
      <c r="D72" s="10" t="str">
        <f>IFERROR(INDEX(Personnes!$D$5:$D$154,MATCH($B72,Personnes!$B$5:$B$154,0))&amp;"","")</f>
        <v/>
      </c>
      <c r="E72" s="7"/>
      <c r="F72" s="19" t="str">
        <f t="shared" ref="F72:F103" si="10">IFERROR(IF($E72="","",MIN(1,$E72/E$6)),"")</f>
        <v/>
      </c>
      <c r="G72" s="7"/>
      <c r="H72" s="19" t="str">
        <f t="shared" ref="H72:H103" si="11">IFERROR(IF($G72="","",MIN(1,$G72/G$6)),"")</f>
        <v/>
      </c>
      <c r="I72" s="7"/>
      <c r="J72" s="19" t="str">
        <f t="shared" ref="J72:J103" si="12">IFERROR(IF($I72="","",MIN(1,$I72/I$6)),"")</f>
        <v/>
      </c>
      <c r="K72" s="7"/>
      <c r="L72" s="19" t="str">
        <f t="shared" ref="L72:L103" si="13">IFERROR(IF($K72="","",MIN(1,$K72/K$6)),"")</f>
        <v/>
      </c>
      <c r="M72" s="7"/>
      <c r="N72" s="19" t="str">
        <f t="shared" ref="N72:N103" si="14">IFERROR(IF($M72="","",MIN(1,$M72/M$6)),"")</f>
        <v/>
      </c>
      <c r="O72" s="15"/>
      <c r="P72" s="15"/>
      <c r="Q72" s="15"/>
      <c r="R72" s="15"/>
      <c r="S72" s="15"/>
      <c r="T72" s="15"/>
      <c r="U72" s="14"/>
    </row>
    <row r="73" spans="1:21" x14ac:dyDescent="0.2">
      <c r="A73" s="7">
        <v>66</v>
      </c>
      <c r="B73" s="10" t="str">
        <f>IFERROR(INDEX(Personnes!$B$5:$B$154,MATCH(66,Personnes!$L$5:$L$154,0)),"")</f>
        <v/>
      </c>
      <c r="C73" s="10" t="str">
        <f>IFERROR(INDEX(Personnes!$C$5:$C$154,MATCH($B73,Personnes!$B$5:$B$154,0))&amp;"","")</f>
        <v/>
      </c>
      <c r="D73" s="10" t="str">
        <f>IFERROR(INDEX(Personnes!$D$5:$D$154,MATCH($B73,Personnes!$B$5:$B$154,0))&amp;"","")</f>
        <v/>
      </c>
      <c r="E73" s="7"/>
      <c r="F73" s="19" t="str">
        <f t="shared" si="10"/>
        <v/>
      </c>
      <c r="G73" s="7"/>
      <c r="H73" s="19" t="str">
        <f t="shared" si="11"/>
        <v/>
      </c>
      <c r="I73" s="7"/>
      <c r="J73" s="19" t="str">
        <f t="shared" si="12"/>
        <v/>
      </c>
      <c r="K73" s="7"/>
      <c r="L73" s="19" t="str">
        <f t="shared" si="13"/>
        <v/>
      </c>
      <c r="M73" s="7"/>
      <c r="N73" s="19" t="str">
        <f t="shared" si="14"/>
        <v/>
      </c>
      <c r="O73" s="15"/>
      <c r="P73" s="15"/>
      <c r="Q73" s="15"/>
      <c r="R73" s="15"/>
      <c r="S73" s="15"/>
      <c r="T73" s="15"/>
      <c r="U73" s="14"/>
    </row>
    <row r="74" spans="1:21" x14ac:dyDescent="0.2">
      <c r="A74" s="7">
        <v>67</v>
      </c>
      <c r="B74" s="10" t="str">
        <f>IFERROR(INDEX(Personnes!$B$5:$B$154,MATCH(67,Personnes!$L$5:$L$154,0)),"")</f>
        <v/>
      </c>
      <c r="C74" s="10" t="str">
        <f>IFERROR(INDEX(Personnes!$C$5:$C$154,MATCH($B74,Personnes!$B$5:$B$154,0))&amp;"","")</f>
        <v/>
      </c>
      <c r="D74" s="10" t="str">
        <f>IFERROR(INDEX(Personnes!$D$5:$D$154,MATCH($B74,Personnes!$B$5:$B$154,0))&amp;"","")</f>
        <v/>
      </c>
      <c r="E74" s="7"/>
      <c r="F74" s="19" t="str">
        <f t="shared" si="10"/>
        <v/>
      </c>
      <c r="G74" s="7"/>
      <c r="H74" s="19" t="str">
        <f t="shared" si="11"/>
        <v/>
      </c>
      <c r="I74" s="7"/>
      <c r="J74" s="19" t="str">
        <f t="shared" si="12"/>
        <v/>
      </c>
      <c r="K74" s="7"/>
      <c r="L74" s="19" t="str">
        <f t="shared" si="13"/>
        <v/>
      </c>
      <c r="M74" s="7"/>
      <c r="N74" s="19" t="str">
        <f t="shared" si="14"/>
        <v/>
      </c>
      <c r="O74" s="15"/>
      <c r="P74" s="15"/>
      <c r="Q74" s="15"/>
      <c r="R74" s="15"/>
      <c r="S74" s="15"/>
      <c r="T74" s="15"/>
      <c r="U74" s="14"/>
    </row>
    <row r="75" spans="1:21" x14ac:dyDescent="0.2">
      <c r="A75" s="7">
        <v>68</v>
      </c>
      <c r="B75" s="10" t="str">
        <f>IFERROR(INDEX(Personnes!$B$5:$B$154,MATCH(68,Personnes!$L$5:$L$154,0)),"")</f>
        <v/>
      </c>
      <c r="C75" s="10" t="str">
        <f>IFERROR(INDEX(Personnes!$C$5:$C$154,MATCH($B75,Personnes!$B$5:$B$154,0))&amp;"","")</f>
        <v/>
      </c>
      <c r="D75" s="10" t="str">
        <f>IFERROR(INDEX(Personnes!$D$5:$D$154,MATCH($B75,Personnes!$B$5:$B$154,0))&amp;"","")</f>
        <v/>
      </c>
      <c r="E75" s="7"/>
      <c r="F75" s="19" t="str">
        <f t="shared" si="10"/>
        <v/>
      </c>
      <c r="G75" s="7"/>
      <c r="H75" s="19" t="str">
        <f t="shared" si="11"/>
        <v/>
      </c>
      <c r="I75" s="7"/>
      <c r="J75" s="19" t="str">
        <f t="shared" si="12"/>
        <v/>
      </c>
      <c r="K75" s="7"/>
      <c r="L75" s="19" t="str">
        <f t="shared" si="13"/>
        <v/>
      </c>
      <c r="M75" s="7"/>
      <c r="N75" s="19" t="str">
        <f t="shared" si="14"/>
        <v/>
      </c>
      <c r="O75" s="15"/>
      <c r="P75" s="15"/>
      <c r="Q75" s="15"/>
      <c r="R75" s="15"/>
      <c r="S75" s="15"/>
      <c r="T75" s="15"/>
      <c r="U75" s="14"/>
    </row>
    <row r="76" spans="1:21" x14ac:dyDescent="0.2">
      <c r="A76" s="7">
        <v>69</v>
      </c>
      <c r="B76" s="10" t="str">
        <f>IFERROR(INDEX(Personnes!$B$5:$B$154,MATCH(69,Personnes!$L$5:$L$154,0)),"")</f>
        <v/>
      </c>
      <c r="C76" s="10" t="str">
        <f>IFERROR(INDEX(Personnes!$C$5:$C$154,MATCH($B76,Personnes!$B$5:$B$154,0))&amp;"","")</f>
        <v/>
      </c>
      <c r="D76" s="10" t="str">
        <f>IFERROR(INDEX(Personnes!$D$5:$D$154,MATCH($B76,Personnes!$B$5:$B$154,0))&amp;"","")</f>
        <v/>
      </c>
      <c r="E76" s="7"/>
      <c r="F76" s="19" t="str">
        <f t="shared" si="10"/>
        <v/>
      </c>
      <c r="G76" s="7"/>
      <c r="H76" s="19" t="str">
        <f t="shared" si="11"/>
        <v/>
      </c>
      <c r="I76" s="7"/>
      <c r="J76" s="19" t="str">
        <f t="shared" si="12"/>
        <v/>
      </c>
      <c r="K76" s="7"/>
      <c r="L76" s="19" t="str">
        <f t="shared" si="13"/>
        <v/>
      </c>
      <c r="M76" s="7"/>
      <c r="N76" s="19" t="str">
        <f t="shared" si="14"/>
        <v/>
      </c>
      <c r="O76" s="15"/>
      <c r="P76" s="15"/>
      <c r="Q76" s="15"/>
      <c r="R76" s="15"/>
      <c r="S76" s="15"/>
      <c r="T76" s="15"/>
      <c r="U76" s="14"/>
    </row>
    <row r="77" spans="1:21" x14ac:dyDescent="0.2">
      <c r="A77" s="7">
        <v>70</v>
      </c>
      <c r="B77" s="10" t="str">
        <f>IFERROR(INDEX(Personnes!$B$5:$B$154,MATCH(70,Personnes!$L$5:$L$154,0)),"")</f>
        <v/>
      </c>
      <c r="C77" s="10" t="str">
        <f>IFERROR(INDEX(Personnes!$C$5:$C$154,MATCH($B77,Personnes!$B$5:$B$154,0))&amp;"","")</f>
        <v/>
      </c>
      <c r="D77" s="10" t="str">
        <f>IFERROR(INDEX(Personnes!$D$5:$D$154,MATCH($B77,Personnes!$B$5:$B$154,0))&amp;"","")</f>
        <v/>
      </c>
      <c r="E77" s="7"/>
      <c r="F77" s="19" t="str">
        <f t="shared" si="10"/>
        <v/>
      </c>
      <c r="G77" s="7"/>
      <c r="H77" s="19" t="str">
        <f t="shared" si="11"/>
        <v/>
      </c>
      <c r="I77" s="7"/>
      <c r="J77" s="19" t="str">
        <f t="shared" si="12"/>
        <v/>
      </c>
      <c r="K77" s="7"/>
      <c r="L77" s="19" t="str">
        <f t="shared" si="13"/>
        <v/>
      </c>
      <c r="M77" s="7"/>
      <c r="N77" s="19" t="str">
        <f t="shared" si="14"/>
        <v/>
      </c>
      <c r="O77" s="15"/>
      <c r="P77" s="15"/>
      <c r="Q77" s="15"/>
      <c r="R77" s="15"/>
      <c r="S77" s="15"/>
      <c r="T77" s="15"/>
      <c r="U77" s="14"/>
    </row>
    <row r="78" spans="1:21" x14ac:dyDescent="0.2">
      <c r="A78" s="7">
        <v>71</v>
      </c>
      <c r="B78" s="10" t="str">
        <f>IFERROR(INDEX(Personnes!$B$5:$B$154,MATCH(71,Personnes!$L$5:$L$154,0)),"")</f>
        <v/>
      </c>
      <c r="C78" s="10" t="str">
        <f>IFERROR(INDEX(Personnes!$C$5:$C$154,MATCH($B78,Personnes!$B$5:$B$154,0))&amp;"","")</f>
        <v/>
      </c>
      <c r="D78" s="10" t="str">
        <f>IFERROR(INDEX(Personnes!$D$5:$D$154,MATCH($B78,Personnes!$B$5:$B$154,0))&amp;"","")</f>
        <v/>
      </c>
      <c r="E78" s="7"/>
      <c r="F78" s="19" t="str">
        <f t="shared" si="10"/>
        <v/>
      </c>
      <c r="G78" s="7"/>
      <c r="H78" s="19" t="str">
        <f t="shared" si="11"/>
        <v/>
      </c>
      <c r="I78" s="7"/>
      <c r="J78" s="19" t="str">
        <f t="shared" si="12"/>
        <v/>
      </c>
      <c r="K78" s="7"/>
      <c r="L78" s="19" t="str">
        <f t="shared" si="13"/>
        <v/>
      </c>
      <c r="M78" s="7"/>
      <c r="N78" s="19" t="str">
        <f t="shared" si="14"/>
        <v/>
      </c>
      <c r="O78" s="15"/>
      <c r="P78" s="15"/>
      <c r="Q78" s="15"/>
      <c r="R78" s="15"/>
      <c r="S78" s="15"/>
      <c r="T78" s="15"/>
      <c r="U78" s="14"/>
    </row>
    <row r="79" spans="1:21" x14ac:dyDescent="0.2">
      <c r="A79" s="7">
        <v>72</v>
      </c>
      <c r="B79" s="10" t="str">
        <f>IFERROR(INDEX(Personnes!$B$5:$B$154,MATCH(72,Personnes!$L$5:$L$154,0)),"")</f>
        <v/>
      </c>
      <c r="C79" s="10" t="str">
        <f>IFERROR(INDEX(Personnes!$C$5:$C$154,MATCH($B79,Personnes!$B$5:$B$154,0))&amp;"","")</f>
        <v/>
      </c>
      <c r="D79" s="10" t="str">
        <f>IFERROR(INDEX(Personnes!$D$5:$D$154,MATCH($B79,Personnes!$B$5:$B$154,0))&amp;"","")</f>
        <v/>
      </c>
      <c r="E79" s="7"/>
      <c r="F79" s="19" t="str">
        <f t="shared" si="10"/>
        <v/>
      </c>
      <c r="G79" s="7"/>
      <c r="H79" s="19" t="str">
        <f t="shared" si="11"/>
        <v/>
      </c>
      <c r="I79" s="7"/>
      <c r="J79" s="19" t="str">
        <f t="shared" si="12"/>
        <v/>
      </c>
      <c r="K79" s="7"/>
      <c r="L79" s="19" t="str">
        <f t="shared" si="13"/>
        <v/>
      </c>
      <c r="M79" s="7"/>
      <c r="N79" s="19" t="str">
        <f t="shared" si="14"/>
        <v/>
      </c>
      <c r="O79" s="15"/>
      <c r="P79" s="15"/>
      <c r="Q79" s="15"/>
      <c r="R79" s="15"/>
      <c r="S79" s="15"/>
      <c r="T79" s="15"/>
      <c r="U79" s="14"/>
    </row>
    <row r="80" spans="1:21" x14ac:dyDescent="0.2">
      <c r="A80" s="7">
        <v>73</v>
      </c>
      <c r="B80" s="10" t="str">
        <f>IFERROR(INDEX(Personnes!$B$5:$B$154,MATCH(73,Personnes!$L$5:$L$154,0)),"")</f>
        <v/>
      </c>
      <c r="C80" s="10" t="str">
        <f>IFERROR(INDEX(Personnes!$C$5:$C$154,MATCH($B80,Personnes!$B$5:$B$154,0))&amp;"","")</f>
        <v/>
      </c>
      <c r="D80" s="10" t="str">
        <f>IFERROR(INDEX(Personnes!$D$5:$D$154,MATCH($B80,Personnes!$B$5:$B$154,0))&amp;"","")</f>
        <v/>
      </c>
      <c r="E80" s="7"/>
      <c r="F80" s="19" t="str">
        <f t="shared" si="10"/>
        <v/>
      </c>
      <c r="G80" s="7"/>
      <c r="H80" s="19" t="str">
        <f t="shared" si="11"/>
        <v/>
      </c>
      <c r="I80" s="7"/>
      <c r="J80" s="19" t="str">
        <f t="shared" si="12"/>
        <v/>
      </c>
      <c r="K80" s="7"/>
      <c r="L80" s="19" t="str">
        <f t="shared" si="13"/>
        <v/>
      </c>
      <c r="M80" s="7"/>
      <c r="N80" s="19" t="str">
        <f t="shared" si="14"/>
        <v/>
      </c>
      <c r="O80" s="15"/>
      <c r="P80" s="15"/>
      <c r="Q80" s="15"/>
      <c r="R80" s="15"/>
      <c r="S80" s="15"/>
      <c r="T80" s="15"/>
      <c r="U80" s="14"/>
    </row>
    <row r="81" spans="1:21" x14ac:dyDescent="0.2">
      <c r="A81" s="7">
        <v>74</v>
      </c>
      <c r="B81" s="10" t="str">
        <f>IFERROR(INDEX(Personnes!$B$5:$B$154,MATCH(74,Personnes!$L$5:$L$154,0)),"")</f>
        <v/>
      </c>
      <c r="C81" s="10" t="str">
        <f>IFERROR(INDEX(Personnes!$C$5:$C$154,MATCH($B81,Personnes!$B$5:$B$154,0))&amp;"","")</f>
        <v/>
      </c>
      <c r="D81" s="10" t="str">
        <f>IFERROR(INDEX(Personnes!$D$5:$D$154,MATCH($B81,Personnes!$B$5:$B$154,0))&amp;"","")</f>
        <v/>
      </c>
      <c r="E81" s="7"/>
      <c r="F81" s="19" t="str">
        <f t="shared" si="10"/>
        <v/>
      </c>
      <c r="G81" s="7"/>
      <c r="H81" s="19" t="str">
        <f t="shared" si="11"/>
        <v/>
      </c>
      <c r="I81" s="7"/>
      <c r="J81" s="19" t="str">
        <f t="shared" si="12"/>
        <v/>
      </c>
      <c r="K81" s="7"/>
      <c r="L81" s="19" t="str">
        <f t="shared" si="13"/>
        <v/>
      </c>
      <c r="M81" s="7"/>
      <c r="N81" s="19" t="str">
        <f t="shared" si="14"/>
        <v/>
      </c>
      <c r="O81" s="15"/>
      <c r="P81" s="15"/>
      <c r="Q81" s="15"/>
      <c r="R81" s="15"/>
      <c r="S81" s="15"/>
      <c r="T81" s="15"/>
      <c r="U81" s="14"/>
    </row>
    <row r="82" spans="1:21" x14ac:dyDescent="0.2">
      <c r="A82" s="7">
        <v>75</v>
      </c>
      <c r="B82" s="10" t="str">
        <f>IFERROR(INDEX(Personnes!$B$5:$B$154,MATCH(75,Personnes!$L$5:$L$154,0)),"")</f>
        <v/>
      </c>
      <c r="C82" s="10" t="str">
        <f>IFERROR(INDEX(Personnes!$C$5:$C$154,MATCH($B82,Personnes!$B$5:$B$154,0))&amp;"","")</f>
        <v/>
      </c>
      <c r="D82" s="10" t="str">
        <f>IFERROR(INDEX(Personnes!$D$5:$D$154,MATCH($B82,Personnes!$B$5:$B$154,0))&amp;"","")</f>
        <v/>
      </c>
      <c r="E82" s="7"/>
      <c r="F82" s="19" t="str">
        <f t="shared" si="10"/>
        <v/>
      </c>
      <c r="G82" s="7"/>
      <c r="H82" s="19" t="str">
        <f t="shared" si="11"/>
        <v/>
      </c>
      <c r="I82" s="7"/>
      <c r="J82" s="19" t="str">
        <f t="shared" si="12"/>
        <v/>
      </c>
      <c r="K82" s="7"/>
      <c r="L82" s="19" t="str">
        <f t="shared" si="13"/>
        <v/>
      </c>
      <c r="M82" s="7"/>
      <c r="N82" s="19" t="str">
        <f t="shared" si="14"/>
        <v/>
      </c>
      <c r="O82" s="15"/>
      <c r="P82" s="15"/>
      <c r="Q82" s="15"/>
      <c r="R82" s="15"/>
      <c r="S82" s="15"/>
      <c r="T82" s="15"/>
      <c r="U82" s="14"/>
    </row>
    <row r="83" spans="1:21" x14ac:dyDescent="0.2">
      <c r="A83" s="7">
        <v>76</v>
      </c>
      <c r="B83" s="10" t="str">
        <f>IFERROR(INDEX(Personnes!$B$5:$B$154,MATCH(76,Personnes!$L$5:$L$154,0)),"")</f>
        <v/>
      </c>
      <c r="C83" s="10" t="str">
        <f>IFERROR(INDEX(Personnes!$C$5:$C$154,MATCH($B83,Personnes!$B$5:$B$154,0))&amp;"","")</f>
        <v/>
      </c>
      <c r="D83" s="10" t="str">
        <f>IFERROR(INDEX(Personnes!$D$5:$D$154,MATCH($B83,Personnes!$B$5:$B$154,0))&amp;"","")</f>
        <v/>
      </c>
      <c r="E83" s="7"/>
      <c r="F83" s="19" t="str">
        <f t="shared" si="10"/>
        <v/>
      </c>
      <c r="G83" s="7"/>
      <c r="H83" s="19" t="str">
        <f t="shared" si="11"/>
        <v/>
      </c>
      <c r="I83" s="7"/>
      <c r="J83" s="19" t="str">
        <f t="shared" si="12"/>
        <v/>
      </c>
      <c r="K83" s="7"/>
      <c r="L83" s="19" t="str">
        <f t="shared" si="13"/>
        <v/>
      </c>
      <c r="M83" s="7"/>
      <c r="N83" s="19" t="str">
        <f t="shared" si="14"/>
        <v/>
      </c>
      <c r="O83" s="15"/>
      <c r="P83" s="15"/>
      <c r="Q83" s="15"/>
      <c r="R83" s="15"/>
      <c r="S83" s="15"/>
      <c r="T83" s="15"/>
      <c r="U83" s="14"/>
    </row>
    <row r="84" spans="1:21" x14ac:dyDescent="0.2">
      <c r="A84" s="7">
        <v>77</v>
      </c>
      <c r="B84" s="10" t="str">
        <f>IFERROR(INDEX(Personnes!$B$5:$B$154,MATCH(77,Personnes!$L$5:$L$154,0)),"")</f>
        <v/>
      </c>
      <c r="C84" s="10" t="str">
        <f>IFERROR(INDEX(Personnes!$C$5:$C$154,MATCH($B84,Personnes!$B$5:$B$154,0))&amp;"","")</f>
        <v/>
      </c>
      <c r="D84" s="10" t="str">
        <f>IFERROR(INDEX(Personnes!$D$5:$D$154,MATCH($B84,Personnes!$B$5:$B$154,0))&amp;"","")</f>
        <v/>
      </c>
      <c r="E84" s="7"/>
      <c r="F84" s="19" t="str">
        <f t="shared" si="10"/>
        <v/>
      </c>
      <c r="G84" s="7"/>
      <c r="H84" s="19" t="str">
        <f t="shared" si="11"/>
        <v/>
      </c>
      <c r="I84" s="7"/>
      <c r="J84" s="19" t="str">
        <f t="shared" si="12"/>
        <v/>
      </c>
      <c r="K84" s="7"/>
      <c r="L84" s="19" t="str">
        <f t="shared" si="13"/>
        <v/>
      </c>
      <c r="M84" s="7"/>
      <c r="N84" s="19" t="str">
        <f t="shared" si="14"/>
        <v/>
      </c>
      <c r="O84" s="15"/>
      <c r="P84" s="15"/>
      <c r="Q84" s="15"/>
      <c r="R84" s="15"/>
      <c r="S84" s="15"/>
      <c r="T84" s="15"/>
      <c r="U84" s="14"/>
    </row>
    <row r="85" spans="1:21" x14ac:dyDescent="0.2">
      <c r="A85" s="7">
        <v>78</v>
      </c>
      <c r="B85" s="10" t="str">
        <f>IFERROR(INDEX(Personnes!$B$5:$B$154,MATCH(78,Personnes!$L$5:$L$154,0)),"")</f>
        <v/>
      </c>
      <c r="C85" s="10" t="str">
        <f>IFERROR(INDEX(Personnes!$C$5:$C$154,MATCH($B85,Personnes!$B$5:$B$154,0))&amp;"","")</f>
        <v/>
      </c>
      <c r="D85" s="10" t="str">
        <f>IFERROR(INDEX(Personnes!$D$5:$D$154,MATCH($B85,Personnes!$B$5:$B$154,0))&amp;"","")</f>
        <v/>
      </c>
      <c r="E85" s="7"/>
      <c r="F85" s="19" t="str">
        <f t="shared" si="10"/>
        <v/>
      </c>
      <c r="G85" s="7"/>
      <c r="H85" s="19" t="str">
        <f t="shared" si="11"/>
        <v/>
      </c>
      <c r="I85" s="7"/>
      <c r="J85" s="19" t="str">
        <f t="shared" si="12"/>
        <v/>
      </c>
      <c r="K85" s="7"/>
      <c r="L85" s="19" t="str">
        <f t="shared" si="13"/>
        <v/>
      </c>
      <c r="M85" s="7"/>
      <c r="N85" s="19" t="str">
        <f t="shared" si="14"/>
        <v/>
      </c>
      <c r="O85" s="15"/>
      <c r="P85" s="15"/>
      <c r="Q85" s="15"/>
      <c r="R85" s="15"/>
      <c r="S85" s="15"/>
      <c r="T85" s="15"/>
      <c r="U85" s="14"/>
    </row>
    <row r="86" spans="1:21" x14ac:dyDescent="0.2">
      <c r="A86" s="7">
        <v>79</v>
      </c>
      <c r="B86" s="10" t="str">
        <f>IFERROR(INDEX(Personnes!$B$5:$B$154,MATCH(79,Personnes!$L$5:$L$154,0)),"")</f>
        <v/>
      </c>
      <c r="C86" s="10" t="str">
        <f>IFERROR(INDEX(Personnes!$C$5:$C$154,MATCH($B86,Personnes!$B$5:$B$154,0))&amp;"","")</f>
        <v/>
      </c>
      <c r="D86" s="10" t="str">
        <f>IFERROR(INDEX(Personnes!$D$5:$D$154,MATCH($B86,Personnes!$B$5:$B$154,0))&amp;"","")</f>
        <v/>
      </c>
      <c r="E86" s="7"/>
      <c r="F86" s="19" t="str">
        <f t="shared" si="10"/>
        <v/>
      </c>
      <c r="G86" s="7"/>
      <c r="H86" s="19" t="str">
        <f t="shared" si="11"/>
        <v/>
      </c>
      <c r="I86" s="7"/>
      <c r="J86" s="19" t="str">
        <f t="shared" si="12"/>
        <v/>
      </c>
      <c r="K86" s="7"/>
      <c r="L86" s="19" t="str">
        <f t="shared" si="13"/>
        <v/>
      </c>
      <c r="M86" s="7"/>
      <c r="N86" s="19" t="str">
        <f t="shared" si="14"/>
        <v/>
      </c>
      <c r="O86" s="15"/>
      <c r="P86" s="15"/>
      <c r="Q86" s="15"/>
      <c r="R86" s="15"/>
      <c r="S86" s="15"/>
      <c r="T86" s="15"/>
      <c r="U86" s="14"/>
    </row>
    <row r="87" spans="1:21" x14ac:dyDescent="0.2">
      <c r="A87" s="7">
        <v>80</v>
      </c>
      <c r="B87" s="10" t="str">
        <f>IFERROR(INDEX(Personnes!$B$5:$B$154,MATCH(80,Personnes!$L$5:$L$154,0)),"")</f>
        <v/>
      </c>
      <c r="C87" s="10" t="str">
        <f>IFERROR(INDEX(Personnes!$C$5:$C$154,MATCH($B87,Personnes!$B$5:$B$154,0))&amp;"","")</f>
        <v/>
      </c>
      <c r="D87" s="10" t="str">
        <f>IFERROR(INDEX(Personnes!$D$5:$D$154,MATCH($B87,Personnes!$B$5:$B$154,0))&amp;"","")</f>
        <v/>
      </c>
      <c r="E87" s="7"/>
      <c r="F87" s="19" t="str">
        <f t="shared" si="10"/>
        <v/>
      </c>
      <c r="G87" s="7"/>
      <c r="H87" s="19" t="str">
        <f t="shared" si="11"/>
        <v/>
      </c>
      <c r="I87" s="7"/>
      <c r="J87" s="19" t="str">
        <f t="shared" si="12"/>
        <v/>
      </c>
      <c r="K87" s="7"/>
      <c r="L87" s="19" t="str">
        <f t="shared" si="13"/>
        <v/>
      </c>
      <c r="M87" s="7"/>
      <c r="N87" s="19" t="str">
        <f t="shared" si="14"/>
        <v/>
      </c>
      <c r="O87" s="15"/>
      <c r="P87" s="15"/>
      <c r="Q87" s="15"/>
      <c r="R87" s="15"/>
      <c r="S87" s="15"/>
      <c r="T87" s="15"/>
      <c r="U87" s="14"/>
    </row>
    <row r="88" spans="1:21" x14ac:dyDescent="0.2">
      <c r="A88" s="7">
        <v>81</v>
      </c>
      <c r="B88" s="10" t="str">
        <f>IFERROR(INDEX(Personnes!$B$5:$B$154,MATCH(81,Personnes!$L$5:$L$154,0)),"")</f>
        <v/>
      </c>
      <c r="C88" s="10" t="str">
        <f>IFERROR(INDEX(Personnes!$C$5:$C$154,MATCH($B88,Personnes!$B$5:$B$154,0))&amp;"","")</f>
        <v/>
      </c>
      <c r="D88" s="10" t="str">
        <f>IFERROR(INDEX(Personnes!$D$5:$D$154,MATCH($B88,Personnes!$B$5:$B$154,0))&amp;"","")</f>
        <v/>
      </c>
      <c r="E88" s="7"/>
      <c r="F88" s="19" t="str">
        <f t="shared" si="10"/>
        <v/>
      </c>
      <c r="G88" s="7"/>
      <c r="H88" s="19" t="str">
        <f t="shared" si="11"/>
        <v/>
      </c>
      <c r="I88" s="7"/>
      <c r="J88" s="19" t="str">
        <f t="shared" si="12"/>
        <v/>
      </c>
      <c r="K88" s="7"/>
      <c r="L88" s="19" t="str">
        <f t="shared" si="13"/>
        <v/>
      </c>
      <c r="M88" s="7"/>
      <c r="N88" s="19" t="str">
        <f t="shared" si="14"/>
        <v/>
      </c>
      <c r="O88" s="15"/>
      <c r="P88" s="15"/>
      <c r="Q88" s="15"/>
      <c r="R88" s="15"/>
      <c r="S88" s="15"/>
      <c r="T88" s="15"/>
      <c r="U88" s="14"/>
    </row>
    <row r="89" spans="1:21" x14ac:dyDescent="0.2">
      <c r="A89" s="7">
        <v>82</v>
      </c>
      <c r="B89" s="10" t="str">
        <f>IFERROR(INDEX(Personnes!$B$5:$B$154,MATCH(82,Personnes!$L$5:$L$154,0)),"")</f>
        <v/>
      </c>
      <c r="C89" s="10" t="str">
        <f>IFERROR(INDEX(Personnes!$C$5:$C$154,MATCH($B89,Personnes!$B$5:$B$154,0))&amp;"","")</f>
        <v/>
      </c>
      <c r="D89" s="10" t="str">
        <f>IFERROR(INDEX(Personnes!$D$5:$D$154,MATCH($B89,Personnes!$B$5:$B$154,0))&amp;"","")</f>
        <v/>
      </c>
      <c r="E89" s="7"/>
      <c r="F89" s="19" t="str">
        <f t="shared" si="10"/>
        <v/>
      </c>
      <c r="G89" s="7"/>
      <c r="H89" s="19" t="str">
        <f t="shared" si="11"/>
        <v/>
      </c>
      <c r="I89" s="7"/>
      <c r="J89" s="19" t="str">
        <f t="shared" si="12"/>
        <v/>
      </c>
      <c r="K89" s="7"/>
      <c r="L89" s="19" t="str">
        <f t="shared" si="13"/>
        <v/>
      </c>
      <c r="M89" s="7"/>
      <c r="N89" s="19" t="str">
        <f t="shared" si="14"/>
        <v/>
      </c>
      <c r="O89" s="15"/>
      <c r="P89" s="15"/>
      <c r="Q89" s="15"/>
      <c r="R89" s="15"/>
      <c r="S89" s="15"/>
      <c r="T89" s="15"/>
      <c r="U89" s="14"/>
    </row>
    <row r="90" spans="1:21" x14ac:dyDescent="0.2">
      <c r="A90" s="7">
        <v>83</v>
      </c>
      <c r="B90" s="10" t="str">
        <f>IFERROR(INDEX(Personnes!$B$5:$B$154,MATCH(83,Personnes!$L$5:$L$154,0)),"")</f>
        <v/>
      </c>
      <c r="C90" s="10" t="str">
        <f>IFERROR(INDEX(Personnes!$C$5:$C$154,MATCH($B90,Personnes!$B$5:$B$154,0))&amp;"","")</f>
        <v/>
      </c>
      <c r="D90" s="10" t="str">
        <f>IFERROR(INDEX(Personnes!$D$5:$D$154,MATCH($B90,Personnes!$B$5:$B$154,0))&amp;"","")</f>
        <v/>
      </c>
      <c r="E90" s="7"/>
      <c r="F90" s="19" t="str">
        <f t="shared" si="10"/>
        <v/>
      </c>
      <c r="G90" s="7"/>
      <c r="H90" s="19" t="str">
        <f t="shared" si="11"/>
        <v/>
      </c>
      <c r="I90" s="7"/>
      <c r="J90" s="19" t="str">
        <f t="shared" si="12"/>
        <v/>
      </c>
      <c r="K90" s="7"/>
      <c r="L90" s="19" t="str">
        <f t="shared" si="13"/>
        <v/>
      </c>
      <c r="M90" s="7"/>
      <c r="N90" s="19" t="str">
        <f t="shared" si="14"/>
        <v/>
      </c>
      <c r="O90" s="15"/>
      <c r="P90" s="15"/>
      <c r="Q90" s="15"/>
      <c r="R90" s="15"/>
      <c r="S90" s="15"/>
      <c r="T90" s="15"/>
      <c r="U90" s="14"/>
    </row>
    <row r="91" spans="1:21" x14ac:dyDescent="0.2">
      <c r="A91" s="7">
        <v>84</v>
      </c>
      <c r="B91" s="10" t="str">
        <f>IFERROR(INDEX(Personnes!$B$5:$B$154,MATCH(84,Personnes!$L$5:$L$154,0)),"")</f>
        <v/>
      </c>
      <c r="C91" s="10" t="str">
        <f>IFERROR(INDEX(Personnes!$C$5:$C$154,MATCH($B91,Personnes!$B$5:$B$154,0))&amp;"","")</f>
        <v/>
      </c>
      <c r="D91" s="10" t="str">
        <f>IFERROR(INDEX(Personnes!$D$5:$D$154,MATCH($B91,Personnes!$B$5:$B$154,0))&amp;"","")</f>
        <v/>
      </c>
      <c r="E91" s="7"/>
      <c r="F91" s="19" t="str">
        <f t="shared" si="10"/>
        <v/>
      </c>
      <c r="G91" s="7"/>
      <c r="H91" s="19" t="str">
        <f t="shared" si="11"/>
        <v/>
      </c>
      <c r="I91" s="7"/>
      <c r="J91" s="19" t="str">
        <f t="shared" si="12"/>
        <v/>
      </c>
      <c r="K91" s="7"/>
      <c r="L91" s="19" t="str">
        <f t="shared" si="13"/>
        <v/>
      </c>
      <c r="M91" s="7"/>
      <c r="N91" s="19" t="str">
        <f t="shared" si="14"/>
        <v/>
      </c>
      <c r="O91" s="15"/>
      <c r="P91" s="15"/>
      <c r="Q91" s="15"/>
      <c r="R91" s="15"/>
      <c r="S91" s="15"/>
      <c r="T91" s="15"/>
      <c r="U91" s="14"/>
    </row>
    <row r="92" spans="1:21" x14ac:dyDescent="0.2">
      <c r="A92" s="7">
        <v>85</v>
      </c>
      <c r="B92" s="10" t="str">
        <f>IFERROR(INDEX(Personnes!$B$5:$B$154,MATCH(85,Personnes!$L$5:$L$154,0)),"")</f>
        <v/>
      </c>
      <c r="C92" s="10" t="str">
        <f>IFERROR(INDEX(Personnes!$C$5:$C$154,MATCH($B92,Personnes!$B$5:$B$154,0))&amp;"","")</f>
        <v/>
      </c>
      <c r="D92" s="10" t="str">
        <f>IFERROR(INDEX(Personnes!$D$5:$D$154,MATCH($B92,Personnes!$B$5:$B$154,0))&amp;"","")</f>
        <v/>
      </c>
      <c r="E92" s="7"/>
      <c r="F92" s="19" t="str">
        <f t="shared" si="10"/>
        <v/>
      </c>
      <c r="G92" s="7"/>
      <c r="H92" s="19" t="str">
        <f t="shared" si="11"/>
        <v/>
      </c>
      <c r="I92" s="7"/>
      <c r="J92" s="19" t="str">
        <f t="shared" si="12"/>
        <v/>
      </c>
      <c r="K92" s="7"/>
      <c r="L92" s="19" t="str">
        <f t="shared" si="13"/>
        <v/>
      </c>
      <c r="M92" s="7"/>
      <c r="N92" s="19" t="str">
        <f t="shared" si="14"/>
        <v/>
      </c>
      <c r="O92" s="15"/>
      <c r="P92" s="15"/>
      <c r="Q92" s="15"/>
      <c r="R92" s="15"/>
      <c r="S92" s="15"/>
      <c r="T92" s="15"/>
      <c r="U92" s="14"/>
    </row>
    <row r="93" spans="1:21" x14ac:dyDescent="0.2">
      <c r="A93" s="7">
        <v>86</v>
      </c>
      <c r="B93" s="10" t="str">
        <f>IFERROR(INDEX(Personnes!$B$5:$B$154,MATCH(86,Personnes!$L$5:$L$154,0)),"")</f>
        <v/>
      </c>
      <c r="C93" s="10" t="str">
        <f>IFERROR(INDEX(Personnes!$C$5:$C$154,MATCH($B93,Personnes!$B$5:$B$154,0))&amp;"","")</f>
        <v/>
      </c>
      <c r="D93" s="10" t="str">
        <f>IFERROR(INDEX(Personnes!$D$5:$D$154,MATCH($B93,Personnes!$B$5:$B$154,0))&amp;"","")</f>
        <v/>
      </c>
      <c r="E93" s="7"/>
      <c r="F93" s="19" t="str">
        <f t="shared" si="10"/>
        <v/>
      </c>
      <c r="G93" s="7"/>
      <c r="H93" s="19" t="str">
        <f t="shared" si="11"/>
        <v/>
      </c>
      <c r="I93" s="7"/>
      <c r="J93" s="19" t="str">
        <f t="shared" si="12"/>
        <v/>
      </c>
      <c r="K93" s="7"/>
      <c r="L93" s="19" t="str">
        <f t="shared" si="13"/>
        <v/>
      </c>
      <c r="M93" s="7"/>
      <c r="N93" s="19" t="str">
        <f t="shared" si="14"/>
        <v/>
      </c>
      <c r="O93" s="15"/>
      <c r="P93" s="15"/>
      <c r="Q93" s="15"/>
      <c r="R93" s="15"/>
      <c r="S93" s="15"/>
      <c r="T93" s="15"/>
      <c r="U93" s="14"/>
    </row>
    <row r="94" spans="1:21" x14ac:dyDescent="0.2">
      <c r="A94" s="7">
        <v>87</v>
      </c>
      <c r="B94" s="10" t="str">
        <f>IFERROR(INDEX(Personnes!$B$5:$B$154,MATCH(87,Personnes!$L$5:$L$154,0)),"")</f>
        <v/>
      </c>
      <c r="C94" s="10" t="str">
        <f>IFERROR(INDEX(Personnes!$C$5:$C$154,MATCH($B94,Personnes!$B$5:$B$154,0))&amp;"","")</f>
        <v/>
      </c>
      <c r="D94" s="10" t="str">
        <f>IFERROR(INDEX(Personnes!$D$5:$D$154,MATCH($B94,Personnes!$B$5:$B$154,0))&amp;"","")</f>
        <v/>
      </c>
      <c r="E94" s="7"/>
      <c r="F94" s="19" t="str">
        <f t="shared" si="10"/>
        <v/>
      </c>
      <c r="G94" s="7"/>
      <c r="H94" s="19" t="str">
        <f t="shared" si="11"/>
        <v/>
      </c>
      <c r="I94" s="7"/>
      <c r="J94" s="19" t="str">
        <f t="shared" si="12"/>
        <v/>
      </c>
      <c r="K94" s="7"/>
      <c r="L94" s="19" t="str">
        <f t="shared" si="13"/>
        <v/>
      </c>
      <c r="M94" s="7"/>
      <c r="N94" s="19" t="str">
        <f t="shared" si="14"/>
        <v/>
      </c>
      <c r="O94" s="15"/>
      <c r="P94" s="15"/>
      <c r="Q94" s="15"/>
      <c r="R94" s="15"/>
      <c r="S94" s="15"/>
      <c r="T94" s="15"/>
      <c r="U94" s="14"/>
    </row>
    <row r="95" spans="1:21" x14ac:dyDescent="0.2">
      <c r="A95" s="7">
        <v>88</v>
      </c>
      <c r="B95" s="10" t="str">
        <f>IFERROR(INDEX(Personnes!$B$5:$B$154,MATCH(88,Personnes!$L$5:$L$154,0)),"")</f>
        <v/>
      </c>
      <c r="C95" s="10" t="str">
        <f>IFERROR(INDEX(Personnes!$C$5:$C$154,MATCH($B95,Personnes!$B$5:$B$154,0))&amp;"","")</f>
        <v/>
      </c>
      <c r="D95" s="10" t="str">
        <f>IFERROR(INDEX(Personnes!$D$5:$D$154,MATCH($B95,Personnes!$B$5:$B$154,0))&amp;"","")</f>
        <v/>
      </c>
      <c r="E95" s="7"/>
      <c r="F95" s="19" t="str">
        <f t="shared" si="10"/>
        <v/>
      </c>
      <c r="G95" s="7"/>
      <c r="H95" s="19" t="str">
        <f t="shared" si="11"/>
        <v/>
      </c>
      <c r="I95" s="7"/>
      <c r="J95" s="19" t="str">
        <f t="shared" si="12"/>
        <v/>
      </c>
      <c r="K95" s="7"/>
      <c r="L95" s="19" t="str">
        <f t="shared" si="13"/>
        <v/>
      </c>
      <c r="M95" s="7"/>
      <c r="N95" s="19" t="str">
        <f t="shared" si="14"/>
        <v/>
      </c>
      <c r="O95" s="15"/>
      <c r="P95" s="15"/>
      <c r="Q95" s="15"/>
      <c r="R95" s="15"/>
      <c r="S95" s="15"/>
      <c r="T95" s="15"/>
      <c r="U95" s="14"/>
    </row>
    <row r="96" spans="1:21" x14ac:dyDescent="0.2">
      <c r="A96" s="7">
        <v>89</v>
      </c>
      <c r="B96" s="10" t="str">
        <f>IFERROR(INDEX(Personnes!$B$5:$B$154,MATCH(89,Personnes!$L$5:$L$154,0)),"")</f>
        <v/>
      </c>
      <c r="C96" s="10" t="str">
        <f>IFERROR(INDEX(Personnes!$C$5:$C$154,MATCH($B96,Personnes!$B$5:$B$154,0))&amp;"","")</f>
        <v/>
      </c>
      <c r="D96" s="10" t="str">
        <f>IFERROR(INDEX(Personnes!$D$5:$D$154,MATCH($B96,Personnes!$B$5:$B$154,0))&amp;"","")</f>
        <v/>
      </c>
      <c r="E96" s="7"/>
      <c r="F96" s="19" t="str">
        <f t="shared" si="10"/>
        <v/>
      </c>
      <c r="G96" s="7"/>
      <c r="H96" s="19" t="str">
        <f t="shared" si="11"/>
        <v/>
      </c>
      <c r="I96" s="7"/>
      <c r="J96" s="19" t="str">
        <f t="shared" si="12"/>
        <v/>
      </c>
      <c r="K96" s="7"/>
      <c r="L96" s="19" t="str">
        <f t="shared" si="13"/>
        <v/>
      </c>
      <c r="M96" s="7"/>
      <c r="N96" s="19" t="str">
        <f t="shared" si="14"/>
        <v/>
      </c>
      <c r="O96" s="15"/>
      <c r="P96" s="15"/>
      <c r="Q96" s="15"/>
      <c r="R96" s="15"/>
      <c r="S96" s="15"/>
      <c r="T96" s="15"/>
      <c r="U96" s="14"/>
    </row>
    <row r="97" spans="1:21" x14ac:dyDescent="0.2">
      <c r="A97" s="7">
        <v>90</v>
      </c>
      <c r="B97" s="10" t="str">
        <f>IFERROR(INDEX(Personnes!$B$5:$B$154,MATCH(90,Personnes!$L$5:$L$154,0)),"")</f>
        <v/>
      </c>
      <c r="C97" s="10" t="str">
        <f>IFERROR(INDEX(Personnes!$C$5:$C$154,MATCH($B97,Personnes!$B$5:$B$154,0))&amp;"","")</f>
        <v/>
      </c>
      <c r="D97" s="10" t="str">
        <f>IFERROR(INDEX(Personnes!$D$5:$D$154,MATCH($B97,Personnes!$B$5:$B$154,0))&amp;"","")</f>
        <v/>
      </c>
      <c r="E97" s="7"/>
      <c r="F97" s="19" t="str">
        <f t="shared" si="10"/>
        <v/>
      </c>
      <c r="G97" s="7"/>
      <c r="H97" s="19" t="str">
        <f t="shared" si="11"/>
        <v/>
      </c>
      <c r="I97" s="7"/>
      <c r="J97" s="19" t="str">
        <f t="shared" si="12"/>
        <v/>
      </c>
      <c r="K97" s="7"/>
      <c r="L97" s="19" t="str">
        <f t="shared" si="13"/>
        <v/>
      </c>
      <c r="M97" s="7"/>
      <c r="N97" s="19" t="str">
        <f t="shared" si="14"/>
        <v/>
      </c>
      <c r="O97" s="15"/>
      <c r="P97" s="15"/>
      <c r="Q97" s="15"/>
      <c r="R97" s="15"/>
      <c r="S97" s="15"/>
      <c r="T97" s="15"/>
      <c r="U97" s="14"/>
    </row>
    <row r="98" spans="1:21" x14ac:dyDescent="0.2">
      <c r="A98" s="7">
        <v>91</v>
      </c>
      <c r="B98" s="10" t="str">
        <f>IFERROR(INDEX(Personnes!$B$5:$B$154,MATCH(91,Personnes!$L$5:$L$154,0)),"")</f>
        <v/>
      </c>
      <c r="C98" s="10" t="str">
        <f>IFERROR(INDEX(Personnes!$C$5:$C$154,MATCH($B98,Personnes!$B$5:$B$154,0))&amp;"","")</f>
        <v/>
      </c>
      <c r="D98" s="10" t="str">
        <f>IFERROR(INDEX(Personnes!$D$5:$D$154,MATCH($B98,Personnes!$B$5:$B$154,0))&amp;"","")</f>
        <v/>
      </c>
      <c r="E98" s="7"/>
      <c r="F98" s="19" t="str">
        <f t="shared" si="10"/>
        <v/>
      </c>
      <c r="G98" s="7"/>
      <c r="H98" s="19" t="str">
        <f t="shared" si="11"/>
        <v/>
      </c>
      <c r="I98" s="7"/>
      <c r="J98" s="19" t="str">
        <f t="shared" si="12"/>
        <v/>
      </c>
      <c r="K98" s="7"/>
      <c r="L98" s="19" t="str">
        <f t="shared" si="13"/>
        <v/>
      </c>
      <c r="M98" s="7"/>
      <c r="N98" s="19" t="str">
        <f t="shared" si="14"/>
        <v/>
      </c>
      <c r="O98" s="15"/>
      <c r="P98" s="15"/>
      <c r="Q98" s="15"/>
      <c r="R98" s="15"/>
      <c r="S98" s="15"/>
      <c r="T98" s="15"/>
      <c r="U98" s="14"/>
    </row>
    <row r="99" spans="1:21" x14ac:dyDescent="0.2">
      <c r="A99" s="7">
        <v>92</v>
      </c>
      <c r="B99" s="10" t="str">
        <f>IFERROR(INDEX(Personnes!$B$5:$B$154,MATCH(92,Personnes!$L$5:$L$154,0)),"")</f>
        <v/>
      </c>
      <c r="C99" s="10" t="str">
        <f>IFERROR(INDEX(Personnes!$C$5:$C$154,MATCH($B99,Personnes!$B$5:$B$154,0))&amp;"","")</f>
        <v/>
      </c>
      <c r="D99" s="10" t="str">
        <f>IFERROR(INDEX(Personnes!$D$5:$D$154,MATCH($B99,Personnes!$B$5:$B$154,0))&amp;"","")</f>
        <v/>
      </c>
      <c r="E99" s="7"/>
      <c r="F99" s="19" t="str">
        <f t="shared" si="10"/>
        <v/>
      </c>
      <c r="G99" s="7"/>
      <c r="H99" s="19" t="str">
        <f t="shared" si="11"/>
        <v/>
      </c>
      <c r="I99" s="7"/>
      <c r="J99" s="19" t="str">
        <f t="shared" si="12"/>
        <v/>
      </c>
      <c r="K99" s="7"/>
      <c r="L99" s="19" t="str">
        <f t="shared" si="13"/>
        <v/>
      </c>
      <c r="M99" s="7"/>
      <c r="N99" s="19" t="str">
        <f t="shared" si="14"/>
        <v/>
      </c>
      <c r="O99" s="15"/>
      <c r="P99" s="15"/>
      <c r="Q99" s="15"/>
      <c r="R99" s="15"/>
      <c r="S99" s="15"/>
      <c r="T99" s="15"/>
      <c r="U99" s="14"/>
    </row>
    <row r="100" spans="1:21" x14ac:dyDescent="0.2">
      <c r="A100" s="7">
        <v>93</v>
      </c>
      <c r="B100" s="10" t="str">
        <f>IFERROR(INDEX(Personnes!$B$5:$B$154,MATCH(93,Personnes!$L$5:$L$154,0)),"")</f>
        <v/>
      </c>
      <c r="C100" s="10" t="str">
        <f>IFERROR(INDEX(Personnes!$C$5:$C$154,MATCH($B100,Personnes!$B$5:$B$154,0))&amp;"","")</f>
        <v/>
      </c>
      <c r="D100" s="10" t="str">
        <f>IFERROR(INDEX(Personnes!$D$5:$D$154,MATCH($B100,Personnes!$B$5:$B$154,0))&amp;"","")</f>
        <v/>
      </c>
      <c r="E100" s="7"/>
      <c r="F100" s="19" t="str">
        <f t="shared" si="10"/>
        <v/>
      </c>
      <c r="G100" s="7"/>
      <c r="H100" s="19" t="str">
        <f t="shared" si="11"/>
        <v/>
      </c>
      <c r="I100" s="7"/>
      <c r="J100" s="19" t="str">
        <f t="shared" si="12"/>
        <v/>
      </c>
      <c r="K100" s="7"/>
      <c r="L100" s="19" t="str">
        <f t="shared" si="13"/>
        <v/>
      </c>
      <c r="M100" s="7"/>
      <c r="N100" s="19" t="str">
        <f t="shared" si="14"/>
        <v/>
      </c>
      <c r="O100" s="15"/>
      <c r="P100" s="15"/>
      <c r="Q100" s="15"/>
      <c r="R100" s="15"/>
      <c r="S100" s="15"/>
      <c r="T100" s="15"/>
      <c r="U100" s="14"/>
    </row>
    <row r="101" spans="1:21" x14ac:dyDescent="0.2">
      <c r="A101" s="7">
        <v>94</v>
      </c>
      <c r="B101" s="10" t="str">
        <f>IFERROR(INDEX(Personnes!$B$5:$B$154,MATCH(94,Personnes!$L$5:$L$154,0)),"")</f>
        <v/>
      </c>
      <c r="C101" s="10" t="str">
        <f>IFERROR(INDEX(Personnes!$C$5:$C$154,MATCH($B101,Personnes!$B$5:$B$154,0))&amp;"","")</f>
        <v/>
      </c>
      <c r="D101" s="10" t="str">
        <f>IFERROR(INDEX(Personnes!$D$5:$D$154,MATCH($B101,Personnes!$B$5:$B$154,0))&amp;"","")</f>
        <v/>
      </c>
      <c r="E101" s="7"/>
      <c r="F101" s="19" t="str">
        <f t="shared" si="10"/>
        <v/>
      </c>
      <c r="G101" s="7"/>
      <c r="H101" s="19" t="str">
        <f t="shared" si="11"/>
        <v/>
      </c>
      <c r="I101" s="7"/>
      <c r="J101" s="19" t="str">
        <f t="shared" si="12"/>
        <v/>
      </c>
      <c r="K101" s="7"/>
      <c r="L101" s="19" t="str">
        <f t="shared" si="13"/>
        <v/>
      </c>
      <c r="M101" s="7"/>
      <c r="N101" s="19" t="str">
        <f t="shared" si="14"/>
        <v/>
      </c>
      <c r="O101" s="15"/>
      <c r="P101" s="15"/>
      <c r="Q101" s="15"/>
      <c r="R101" s="15"/>
      <c r="S101" s="15"/>
      <c r="T101" s="15"/>
      <c r="U101" s="14"/>
    </row>
    <row r="102" spans="1:21" x14ac:dyDescent="0.2">
      <c r="A102" s="7">
        <v>95</v>
      </c>
      <c r="B102" s="10" t="str">
        <f>IFERROR(INDEX(Personnes!$B$5:$B$154,MATCH(95,Personnes!$L$5:$L$154,0)),"")</f>
        <v/>
      </c>
      <c r="C102" s="10" t="str">
        <f>IFERROR(INDEX(Personnes!$C$5:$C$154,MATCH($B102,Personnes!$B$5:$B$154,0))&amp;"","")</f>
        <v/>
      </c>
      <c r="D102" s="10" t="str">
        <f>IFERROR(INDEX(Personnes!$D$5:$D$154,MATCH($B102,Personnes!$B$5:$B$154,0))&amp;"","")</f>
        <v/>
      </c>
      <c r="E102" s="7"/>
      <c r="F102" s="19" t="str">
        <f t="shared" si="10"/>
        <v/>
      </c>
      <c r="G102" s="7"/>
      <c r="H102" s="19" t="str">
        <f t="shared" si="11"/>
        <v/>
      </c>
      <c r="I102" s="7"/>
      <c r="J102" s="19" t="str">
        <f t="shared" si="12"/>
        <v/>
      </c>
      <c r="K102" s="7"/>
      <c r="L102" s="19" t="str">
        <f t="shared" si="13"/>
        <v/>
      </c>
      <c r="M102" s="7"/>
      <c r="N102" s="19" t="str">
        <f t="shared" si="14"/>
        <v/>
      </c>
      <c r="O102" s="15"/>
      <c r="P102" s="15"/>
      <c r="Q102" s="15"/>
      <c r="R102" s="15"/>
      <c r="S102" s="15"/>
      <c r="T102" s="15"/>
      <c r="U102" s="14"/>
    </row>
    <row r="103" spans="1:21" x14ac:dyDescent="0.2">
      <c r="A103" s="7">
        <v>96</v>
      </c>
      <c r="B103" s="10" t="str">
        <f>IFERROR(INDEX(Personnes!$B$5:$B$154,MATCH(96,Personnes!$L$5:$L$154,0)),"")</f>
        <v/>
      </c>
      <c r="C103" s="10" t="str">
        <f>IFERROR(INDEX(Personnes!$C$5:$C$154,MATCH($B103,Personnes!$B$5:$B$154,0))&amp;"","")</f>
        <v/>
      </c>
      <c r="D103" s="10" t="str">
        <f>IFERROR(INDEX(Personnes!$D$5:$D$154,MATCH($B103,Personnes!$B$5:$B$154,0))&amp;"","")</f>
        <v/>
      </c>
      <c r="E103" s="7"/>
      <c r="F103" s="19" t="str">
        <f t="shared" si="10"/>
        <v/>
      </c>
      <c r="G103" s="7"/>
      <c r="H103" s="19" t="str">
        <f t="shared" si="11"/>
        <v/>
      </c>
      <c r="I103" s="7"/>
      <c r="J103" s="19" t="str">
        <f t="shared" si="12"/>
        <v/>
      </c>
      <c r="K103" s="7"/>
      <c r="L103" s="19" t="str">
        <f t="shared" si="13"/>
        <v/>
      </c>
      <c r="M103" s="7"/>
      <c r="N103" s="19" t="str">
        <f t="shared" si="14"/>
        <v/>
      </c>
      <c r="O103" s="15"/>
      <c r="P103" s="15"/>
      <c r="Q103" s="15"/>
      <c r="R103" s="15"/>
      <c r="S103" s="15"/>
      <c r="T103" s="15"/>
      <c r="U103" s="14"/>
    </row>
    <row r="104" spans="1:21" x14ac:dyDescent="0.2">
      <c r="A104" s="7">
        <v>97</v>
      </c>
      <c r="B104" s="10" t="str">
        <f>IFERROR(INDEX(Personnes!$B$5:$B$154,MATCH(97,Personnes!$L$5:$L$154,0)),"")</f>
        <v/>
      </c>
      <c r="C104" s="10" t="str">
        <f>IFERROR(INDEX(Personnes!$C$5:$C$154,MATCH($B104,Personnes!$B$5:$B$154,0))&amp;"","")</f>
        <v/>
      </c>
      <c r="D104" s="10" t="str">
        <f>IFERROR(INDEX(Personnes!$D$5:$D$154,MATCH($B104,Personnes!$B$5:$B$154,0))&amp;"","")</f>
        <v/>
      </c>
      <c r="E104" s="7"/>
      <c r="F104" s="19" t="str">
        <f t="shared" ref="F104:F135" si="15">IFERROR(IF($E104="","",MIN(1,$E104/E$6)),"")</f>
        <v/>
      </c>
      <c r="G104" s="7"/>
      <c r="H104" s="19" t="str">
        <f t="shared" ref="H104:H135" si="16">IFERROR(IF($G104="","",MIN(1,$G104/G$6)),"")</f>
        <v/>
      </c>
      <c r="I104" s="7"/>
      <c r="J104" s="19" t="str">
        <f t="shared" ref="J104:J135" si="17">IFERROR(IF($I104="","",MIN(1,$I104/I$6)),"")</f>
        <v/>
      </c>
      <c r="K104" s="7"/>
      <c r="L104" s="19" t="str">
        <f t="shared" ref="L104:L135" si="18">IFERROR(IF($K104="","",MIN(1,$K104/K$6)),"")</f>
        <v/>
      </c>
      <c r="M104" s="7"/>
      <c r="N104" s="19" t="str">
        <f t="shared" ref="N104:N135" si="19">IFERROR(IF($M104="","",MIN(1,$M104/M$6)),"")</f>
        <v/>
      </c>
      <c r="O104" s="15"/>
      <c r="P104" s="15"/>
      <c r="Q104" s="15"/>
      <c r="R104" s="15"/>
      <c r="S104" s="15"/>
      <c r="T104" s="15"/>
      <c r="U104" s="14"/>
    </row>
    <row r="105" spans="1:21" x14ac:dyDescent="0.2">
      <c r="A105" s="7">
        <v>98</v>
      </c>
      <c r="B105" s="10" t="str">
        <f>IFERROR(INDEX(Personnes!$B$5:$B$154,MATCH(98,Personnes!$L$5:$L$154,0)),"")</f>
        <v/>
      </c>
      <c r="C105" s="10" t="str">
        <f>IFERROR(INDEX(Personnes!$C$5:$C$154,MATCH($B105,Personnes!$B$5:$B$154,0))&amp;"","")</f>
        <v/>
      </c>
      <c r="D105" s="10" t="str">
        <f>IFERROR(INDEX(Personnes!$D$5:$D$154,MATCH($B105,Personnes!$B$5:$B$154,0))&amp;"","")</f>
        <v/>
      </c>
      <c r="E105" s="7"/>
      <c r="F105" s="19" t="str">
        <f t="shared" si="15"/>
        <v/>
      </c>
      <c r="G105" s="7"/>
      <c r="H105" s="19" t="str">
        <f t="shared" si="16"/>
        <v/>
      </c>
      <c r="I105" s="7"/>
      <c r="J105" s="19" t="str">
        <f t="shared" si="17"/>
        <v/>
      </c>
      <c r="K105" s="7"/>
      <c r="L105" s="19" t="str">
        <f t="shared" si="18"/>
        <v/>
      </c>
      <c r="M105" s="7"/>
      <c r="N105" s="19" t="str">
        <f t="shared" si="19"/>
        <v/>
      </c>
      <c r="O105" s="15"/>
      <c r="P105" s="15"/>
      <c r="Q105" s="15"/>
      <c r="R105" s="15"/>
      <c r="S105" s="15"/>
      <c r="T105" s="15"/>
      <c r="U105" s="14"/>
    </row>
    <row r="106" spans="1:21" x14ac:dyDescent="0.2">
      <c r="A106" s="7">
        <v>99</v>
      </c>
      <c r="B106" s="10" t="str">
        <f>IFERROR(INDEX(Personnes!$B$5:$B$154,MATCH(99,Personnes!$L$5:$L$154,0)),"")</f>
        <v/>
      </c>
      <c r="C106" s="10" t="str">
        <f>IFERROR(INDEX(Personnes!$C$5:$C$154,MATCH($B106,Personnes!$B$5:$B$154,0))&amp;"","")</f>
        <v/>
      </c>
      <c r="D106" s="10" t="str">
        <f>IFERROR(INDEX(Personnes!$D$5:$D$154,MATCH($B106,Personnes!$B$5:$B$154,0))&amp;"","")</f>
        <v/>
      </c>
      <c r="E106" s="7"/>
      <c r="F106" s="19" t="str">
        <f t="shared" si="15"/>
        <v/>
      </c>
      <c r="G106" s="7"/>
      <c r="H106" s="19" t="str">
        <f t="shared" si="16"/>
        <v/>
      </c>
      <c r="I106" s="7"/>
      <c r="J106" s="19" t="str">
        <f t="shared" si="17"/>
        <v/>
      </c>
      <c r="K106" s="7"/>
      <c r="L106" s="19" t="str">
        <f t="shared" si="18"/>
        <v/>
      </c>
      <c r="M106" s="7"/>
      <c r="N106" s="19" t="str">
        <f t="shared" si="19"/>
        <v/>
      </c>
      <c r="O106" s="15"/>
      <c r="P106" s="15"/>
      <c r="Q106" s="15"/>
      <c r="R106" s="15"/>
      <c r="S106" s="15"/>
      <c r="T106" s="15"/>
      <c r="U106" s="14"/>
    </row>
    <row r="107" spans="1:21" x14ac:dyDescent="0.2">
      <c r="A107" s="7">
        <v>100</v>
      </c>
      <c r="B107" s="10" t="str">
        <f>IFERROR(INDEX(Personnes!$B$5:$B$154,MATCH(100,Personnes!$L$5:$L$154,0)),"")</f>
        <v/>
      </c>
      <c r="C107" s="10" t="str">
        <f>IFERROR(INDEX(Personnes!$C$5:$C$154,MATCH($B107,Personnes!$B$5:$B$154,0))&amp;"","")</f>
        <v/>
      </c>
      <c r="D107" s="10" t="str">
        <f>IFERROR(INDEX(Personnes!$D$5:$D$154,MATCH($B107,Personnes!$B$5:$B$154,0))&amp;"","")</f>
        <v/>
      </c>
      <c r="E107" s="7"/>
      <c r="F107" s="19" t="str">
        <f t="shared" si="15"/>
        <v/>
      </c>
      <c r="G107" s="7"/>
      <c r="H107" s="19" t="str">
        <f t="shared" si="16"/>
        <v/>
      </c>
      <c r="I107" s="7"/>
      <c r="J107" s="19" t="str">
        <f t="shared" si="17"/>
        <v/>
      </c>
      <c r="K107" s="7"/>
      <c r="L107" s="19" t="str">
        <f t="shared" si="18"/>
        <v/>
      </c>
      <c r="M107" s="7"/>
      <c r="N107" s="19" t="str">
        <f t="shared" si="19"/>
        <v/>
      </c>
      <c r="O107" s="15"/>
      <c r="P107" s="15"/>
      <c r="Q107" s="15"/>
      <c r="R107" s="15"/>
      <c r="S107" s="15"/>
      <c r="T107" s="15"/>
      <c r="U107" s="14"/>
    </row>
  </sheetData>
  <dataValidations count="1">
    <dataValidation type="list" allowBlank="1" sqref="O8:S107" xr:uid="{00000000-0002-0000-0600-000000000000}">
      <formula1>"non tenté,non réussi,réussi"</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Qui vient de mettre à jour cette ligne ? À renseigner après chaque saisie ou correction." xr:uid="{00000000-0002-0000-0600-000001000000}">
          <x14:formula1>
            <xm:f>Selection!$A$2:$A$151</xm:f>
          </x14:formula1>
          <xm:sqref>T8:T107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5F"/>
  </sheetPr>
  <dimension ref="A1:P105"/>
  <sheetViews>
    <sheetView workbookViewId="0">
      <pane xSplit="4" ySplit="5" topLeftCell="E6"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12" width="13" customWidth="1"/>
    <col min="13" max="14" width="12" customWidth="1"/>
    <col min="15" max="15" width="24" customWidth="1"/>
    <col min="16" max="16" width="12" customWidth="1"/>
  </cols>
  <sheetData>
    <row r="1" spans="1:16" ht="18" x14ac:dyDescent="0.2">
      <c r="A1" s="4" t="s">
        <v>540</v>
      </c>
    </row>
    <row r="2" spans="1:16" x14ac:dyDescent="0.2">
      <c r="A2" s="5" t="s">
        <v>541</v>
      </c>
    </row>
    <row r="4" spans="1:16" x14ac:dyDescent="0.2">
      <c r="D4" s="20" t="s">
        <v>542</v>
      </c>
      <c r="E4" s="21" t="str">
        <f>IFERROR(INDEX(Referentiel!$C$30:$C$49,MATCH("LEST",Referentiel!$A$30:$A$49,0)),"")</f>
        <v>expert</v>
      </c>
      <c r="F4" s="21" t="str">
        <f>IFERROR(INDEX(Referentiel!$C$30:$C$49,MATCH("HYDRO",Referentiel!$A$30:$A$49,0)),"")</f>
        <v>expert</v>
      </c>
      <c r="G4" s="21" t="str">
        <f>IFERROR(INDEX(Referentiel!$C$30:$C$49,MATCH("PALM_BI",Referentiel!$A$30:$A$49,0)),"")</f>
        <v>expert</v>
      </c>
      <c r="H4" s="21" t="str">
        <f>IFERROR(INDEX(Referentiel!$C$30:$C$49,MATCH("PALM_MONO",Referentiel!$A$30:$A$49,0)),"")</f>
        <v>acquis</v>
      </c>
      <c r="I4" s="21" t="str">
        <f>IFERROR(INDEX(Referentiel!$C$30:$C$49,MATCH("VIRAGE",Referentiel!$A$30:$A$49,0)),"")</f>
        <v>expert</v>
      </c>
      <c r="J4" s="21" t="str">
        <f>IFERROR(INDEX(Referentiel!$C$30:$C$49,MATCH("VENTIL",Referentiel!$A$30:$A$49,0)),"")</f>
        <v>expert</v>
      </c>
      <c r="K4" s="21" t="str">
        <f>IFERROR(INDEX(Referentiel!$C$30:$C$49,MATCH("SAUV",Referentiel!$A$30:$A$49,0)),"")</f>
        <v>expert</v>
      </c>
      <c r="L4" s="21" t="str">
        <f>IFERROR(INDEX(Referentiel!$C$30:$C$49,MATCH("BRASSE",Referentiel!$A$30:$A$49,0)),"")</f>
        <v>expert</v>
      </c>
    </row>
    <row r="5" spans="1:16" ht="36" customHeight="1" x14ac:dyDescent="0.2">
      <c r="A5" s="18" t="s">
        <v>100</v>
      </c>
      <c r="B5" s="18" t="s">
        <v>63</v>
      </c>
      <c r="C5" s="18" t="s">
        <v>150</v>
      </c>
      <c r="D5" s="18" t="s">
        <v>151</v>
      </c>
      <c r="E5" s="18" t="s">
        <v>105</v>
      </c>
      <c r="F5" s="18" t="s">
        <v>109</v>
      </c>
      <c r="G5" s="18" t="s">
        <v>112</v>
      </c>
      <c r="H5" s="18" t="s">
        <v>115</v>
      </c>
      <c r="I5" s="18" t="s">
        <v>119</v>
      </c>
      <c r="J5" s="18" t="s">
        <v>122</v>
      </c>
      <c r="K5" s="18" t="s">
        <v>125</v>
      </c>
      <c r="L5" s="18" t="s">
        <v>127</v>
      </c>
      <c r="M5" s="18" t="s">
        <v>543</v>
      </c>
      <c r="N5" s="18" t="s">
        <v>544</v>
      </c>
      <c r="O5" s="18" t="s">
        <v>538</v>
      </c>
      <c r="P5" s="18" t="s">
        <v>539</v>
      </c>
    </row>
    <row r="6" spans="1:16" x14ac:dyDescent="0.2">
      <c r="A6" s="7">
        <v>1</v>
      </c>
      <c r="B6" s="10" t="str">
        <f>IFERROR(INDEX(Personnes!$B$5:$B$154,MATCH(1,Personnes!$L$5:$L$154,0)),"")</f>
        <v>P100</v>
      </c>
      <c r="C6" s="10" t="str">
        <f>IFERROR(INDEX(Personnes!$C$5:$C$154,MATCH($B6,Personnes!$B$5:$B$154,0))&amp;"","")</f>
        <v>AUBERT</v>
      </c>
      <c r="D6" s="10" t="str">
        <f>IFERROR(INDEX(Personnes!$D$5:$D$154,MATCH($B6,Personnes!$B$5:$B$154,0))&amp;"","")</f>
        <v>Sebastien</v>
      </c>
      <c r="E6" s="22"/>
      <c r="F6" s="22"/>
      <c r="G6" s="22"/>
      <c r="H6" s="22"/>
      <c r="I6" s="22"/>
      <c r="J6" s="22"/>
      <c r="K6" s="22"/>
      <c r="L6" s="22"/>
      <c r="M6" s="10">
        <f t="shared" ref="M6:M37" si="0">IF($B6="","",COUNTIF($E6:$L6,"acquis")+COUNTIF($E6:$L6,"expert"))</f>
        <v>0</v>
      </c>
      <c r="N6" s="10">
        <f t="shared" ref="N6:N37" si="1">IF($B6="","",SUMPRODUCT(($E6:$L6&lt;&gt;"")*($E6:$L6&lt;&gt;$E$4:$L$4)))</f>
        <v>0</v>
      </c>
      <c r="O6" s="15"/>
      <c r="P6" s="14"/>
    </row>
    <row r="7" spans="1:16" x14ac:dyDescent="0.2">
      <c r="A7" s="7">
        <v>2</v>
      </c>
      <c r="B7" s="10" t="str">
        <f>IFERROR(INDEX(Personnes!$B$5:$B$154,MATCH(2,Personnes!$L$5:$L$154,0)),"")</f>
        <v>P101</v>
      </c>
      <c r="C7" s="10" t="str">
        <f>IFERROR(INDEX(Personnes!$C$5:$C$154,MATCH($B7,Personnes!$B$5:$B$154,0))&amp;"","")</f>
        <v>BELHADJ KACEM</v>
      </c>
      <c r="D7" s="10" t="str">
        <f>IFERROR(INDEX(Personnes!$D$5:$D$154,MATCH($B7,Personnes!$B$5:$B$154,0))&amp;"","")</f>
        <v>Mohammed</v>
      </c>
      <c r="E7" s="22"/>
      <c r="F7" s="22"/>
      <c r="G7" s="22"/>
      <c r="H7" s="22"/>
      <c r="I7" s="22"/>
      <c r="J7" s="22"/>
      <c r="K7" s="22"/>
      <c r="L7" s="22"/>
      <c r="M7" s="10">
        <f t="shared" si="0"/>
        <v>0</v>
      </c>
      <c r="N7" s="10">
        <f t="shared" si="1"/>
        <v>0</v>
      </c>
      <c r="O7" s="15"/>
      <c r="P7" s="14"/>
    </row>
    <row r="8" spans="1:16" x14ac:dyDescent="0.2">
      <c r="A8" s="7">
        <v>3</v>
      </c>
      <c r="B8" s="10" t="str">
        <f>IFERROR(INDEX(Personnes!$B$5:$B$154,MATCH(3,Personnes!$L$5:$L$154,0)),"")</f>
        <v>P049</v>
      </c>
      <c r="C8" s="10" t="str">
        <f>IFERROR(INDEX(Personnes!$C$5:$C$154,MATCH($B8,Personnes!$B$5:$B$154,0))&amp;"","")</f>
        <v>BOULANT</v>
      </c>
      <c r="D8" s="10" t="str">
        <f>IFERROR(INDEX(Personnes!$D$5:$D$154,MATCH($B8,Personnes!$B$5:$B$154,0))&amp;"","")</f>
        <v>Guillaume</v>
      </c>
      <c r="E8" s="22"/>
      <c r="F8" s="22"/>
      <c r="G8" s="22"/>
      <c r="H8" s="22"/>
      <c r="I8" s="22"/>
      <c r="J8" s="22"/>
      <c r="K8" s="22"/>
      <c r="L8" s="22"/>
      <c r="M8" s="10">
        <f t="shared" si="0"/>
        <v>0</v>
      </c>
      <c r="N8" s="10">
        <f t="shared" si="1"/>
        <v>0</v>
      </c>
      <c r="O8" s="15"/>
      <c r="P8" s="14"/>
    </row>
    <row r="9" spans="1:16" x14ac:dyDescent="0.2">
      <c r="A9" s="7">
        <v>4</v>
      </c>
      <c r="B9" s="10" t="str">
        <f>IFERROR(INDEX(Personnes!$B$5:$B$154,MATCH(4,Personnes!$L$5:$L$154,0)),"")</f>
        <v>P057</v>
      </c>
      <c r="C9" s="10" t="str">
        <f>IFERROR(INDEX(Personnes!$C$5:$C$154,MATCH($B9,Personnes!$B$5:$B$154,0))&amp;"","")</f>
        <v>COLIN DE VERDIERE</v>
      </c>
      <c r="D9" s="10" t="str">
        <f>IFERROR(INDEX(Personnes!$D$5:$D$154,MATCH($B9,Personnes!$B$5:$B$154,0))&amp;"","")</f>
        <v>Antoine</v>
      </c>
      <c r="E9" s="22"/>
      <c r="F9" s="22"/>
      <c r="G9" s="22"/>
      <c r="H9" s="22"/>
      <c r="I9" s="22"/>
      <c r="J9" s="22"/>
      <c r="K9" s="22"/>
      <c r="L9" s="22"/>
      <c r="M9" s="10">
        <f t="shared" si="0"/>
        <v>0</v>
      </c>
      <c r="N9" s="10">
        <f t="shared" si="1"/>
        <v>0</v>
      </c>
      <c r="O9" s="15"/>
      <c r="P9" s="14"/>
    </row>
    <row r="10" spans="1:16" x14ac:dyDescent="0.2">
      <c r="A10" s="7">
        <v>5</v>
      </c>
      <c r="B10" s="10" t="str">
        <f>IFERROR(INDEX(Personnes!$B$5:$B$154,MATCH(5,Personnes!$L$5:$L$154,0)),"")</f>
        <v>P063</v>
      </c>
      <c r="C10" s="10" t="str">
        <f>IFERROR(INDEX(Personnes!$C$5:$C$154,MATCH($B10,Personnes!$B$5:$B$154,0))&amp;"","")</f>
        <v>COLLINET</v>
      </c>
      <c r="D10" s="10" t="str">
        <f>IFERROR(INDEX(Personnes!$D$5:$D$154,MATCH($B10,Personnes!$B$5:$B$154,0))&amp;"","")</f>
        <v>Sabine</v>
      </c>
      <c r="E10" s="22"/>
      <c r="F10" s="22"/>
      <c r="G10" s="22"/>
      <c r="H10" s="22"/>
      <c r="I10" s="22"/>
      <c r="J10" s="22"/>
      <c r="K10" s="22"/>
      <c r="L10" s="22"/>
      <c r="M10" s="10">
        <f t="shared" si="0"/>
        <v>0</v>
      </c>
      <c r="N10" s="10">
        <f t="shared" si="1"/>
        <v>0</v>
      </c>
      <c r="O10" s="15"/>
      <c r="P10" s="14"/>
    </row>
    <row r="11" spans="1:16" x14ac:dyDescent="0.2">
      <c r="A11" s="7">
        <v>6</v>
      </c>
      <c r="B11" s="10" t="str">
        <f>IFERROR(INDEX(Personnes!$B$5:$B$154,MATCH(6,Personnes!$L$5:$L$154,0)),"")</f>
        <v>P043</v>
      </c>
      <c r="C11" s="10" t="str">
        <f>IFERROR(INDEX(Personnes!$C$5:$C$154,MATCH($B11,Personnes!$B$5:$B$154,0))&amp;"","")</f>
        <v>DUMONT</v>
      </c>
      <c r="D11" s="10" t="str">
        <f>IFERROR(INDEX(Personnes!$D$5:$D$154,MATCH($B11,Personnes!$B$5:$B$154,0))&amp;"","")</f>
        <v>Céline</v>
      </c>
      <c r="E11" s="22"/>
      <c r="F11" s="22"/>
      <c r="G11" s="22"/>
      <c r="H11" s="22"/>
      <c r="I11" s="22"/>
      <c r="J11" s="22"/>
      <c r="K11" s="22"/>
      <c r="L11" s="22"/>
      <c r="M11" s="10">
        <f t="shared" si="0"/>
        <v>0</v>
      </c>
      <c r="N11" s="10">
        <f t="shared" si="1"/>
        <v>0</v>
      </c>
      <c r="O11" s="15"/>
      <c r="P11" s="14"/>
    </row>
    <row r="12" spans="1:16" x14ac:dyDescent="0.2">
      <c r="A12" s="7">
        <v>7</v>
      </c>
      <c r="B12" s="10" t="str">
        <f>IFERROR(INDEX(Personnes!$B$5:$B$154,MATCH(7,Personnes!$L$5:$L$154,0)),"")</f>
        <v>P102</v>
      </c>
      <c r="C12" s="10" t="str">
        <f>IFERROR(INDEX(Personnes!$C$5:$C$154,MATCH($B12,Personnes!$B$5:$B$154,0))&amp;"","")</f>
        <v>DUSSAUD</v>
      </c>
      <c r="D12" s="10" t="str">
        <f>IFERROR(INDEX(Personnes!$D$5:$D$154,MATCH($B12,Personnes!$B$5:$B$154,0))&amp;"","")</f>
        <v>Sebastien</v>
      </c>
      <c r="E12" s="22"/>
      <c r="F12" s="22"/>
      <c r="G12" s="22"/>
      <c r="H12" s="22"/>
      <c r="I12" s="22"/>
      <c r="J12" s="22"/>
      <c r="K12" s="22"/>
      <c r="L12" s="22"/>
      <c r="M12" s="10">
        <f t="shared" si="0"/>
        <v>0</v>
      </c>
      <c r="N12" s="10">
        <f t="shared" si="1"/>
        <v>0</v>
      </c>
      <c r="O12" s="15"/>
      <c r="P12" s="14"/>
    </row>
    <row r="13" spans="1:16" x14ac:dyDescent="0.2">
      <c r="A13" s="7">
        <v>8</v>
      </c>
      <c r="B13" s="10" t="str">
        <f>IFERROR(INDEX(Personnes!$B$5:$B$154,MATCH(8,Personnes!$L$5:$L$154,0)),"")</f>
        <v>P039</v>
      </c>
      <c r="C13" s="10" t="str">
        <f>IFERROR(INDEX(Personnes!$C$5:$C$154,MATCH($B13,Personnes!$B$5:$B$154,0))&amp;"","")</f>
        <v>FREDON</v>
      </c>
      <c r="D13" s="10" t="str">
        <f>IFERROR(INDEX(Personnes!$D$5:$D$154,MATCH($B13,Personnes!$B$5:$B$154,0))&amp;"","")</f>
        <v>Philippe</v>
      </c>
      <c r="E13" s="22"/>
      <c r="F13" s="22"/>
      <c r="G13" s="22"/>
      <c r="H13" s="22"/>
      <c r="I13" s="22"/>
      <c r="J13" s="22"/>
      <c r="K13" s="22"/>
      <c r="L13" s="22"/>
      <c r="M13" s="10">
        <f t="shared" si="0"/>
        <v>0</v>
      </c>
      <c r="N13" s="10">
        <f t="shared" si="1"/>
        <v>0</v>
      </c>
      <c r="O13" s="15"/>
      <c r="P13" s="14"/>
    </row>
    <row r="14" spans="1:16" x14ac:dyDescent="0.2">
      <c r="A14" s="7">
        <v>9</v>
      </c>
      <c r="B14" s="10" t="str">
        <f>IFERROR(INDEX(Personnes!$B$5:$B$154,MATCH(9,Personnes!$L$5:$L$154,0)),"")</f>
        <v>P058</v>
      </c>
      <c r="C14" s="10" t="str">
        <f>IFERROR(INDEX(Personnes!$C$5:$C$154,MATCH($B14,Personnes!$B$5:$B$154,0))&amp;"","")</f>
        <v>MAALAOUI</v>
      </c>
      <c r="D14" s="10" t="str">
        <f>IFERROR(INDEX(Personnes!$D$5:$D$154,MATCH($B14,Personnes!$B$5:$B$154,0))&amp;"","")</f>
        <v>Larbi</v>
      </c>
      <c r="E14" s="22"/>
      <c r="F14" s="22"/>
      <c r="G14" s="22"/>
      <c r="H14" s="22"/>
      <c r="I14" s="22"/>
      <c r="J14" s="22"/>
      <c r="K14" s="22"/>
      <c r="L14" s="22"/>
      <c r="M14" s="10">
        <f t="shared" si="0"/>
        <v>0</v>
      </c>
      <c r="N14" s="10">
        <f t="shared" si="1"/>
        <v>0</v>
      </c>
      <c r="O14" s="15"/>
      <c r="P14" s="14"/>
    </row>
    <row r="15" spans="1:16" x14ac:dyDescent="0.2">
      <c r="A15" s="7">
        <v>10</v>
      </c>
      <c r="B15" s="10" t="str">
        <f>IFERROR(INDEX(Personnes!$B$5:$B$154,MATCH(10,Personnes!$L$5:$L$154,0)),"")</f>
        <v>P103</v>
      </c>
      <c r="C15" s="10" t="str">
        <f>IFERROR(INDEX(Personnes!$C$5:$C$154,MATCH($B15,Personnes!$B$5:$B$154,0))&amp;"","")</f>
        <v>NOURA</v>
      </c>
      <c r="D15" s="10" t="str">
        <f>IFERROR(INDEX(Personnes!$D$5:$D$154,MATCH($B15,Personnes!$B$5:$B$154,0))&amp;"","")</f>
        <v>Karim</v>
      </c>
      <c r="E15" s="22"/>
      <c r="F15" s="22"/>
      <c r="G15" s="22"/>
      <c r="H15" s="22"/>
      <c r="I15" s="22"/>
      <c r="J15" s="22"/>
      <c r="K15" s="22"/>
      <c r="L15" s="22"/>
      <c r="M15" s="10">
        <f t="shared" si="0"/>
        <v>0</v>
      </c>
      <c r="N15" s="10">
        <f t="shared" si="1"/>
        <v>0</v>
      </c>
      <c r="O15" s="15"/>
      <c r="P15" s="14"/>
    </row>
    <row r="16" spans="1:16" x14ac:dyDescent="0.2">
      <c r="A16" s="7">
        <v>11</v>
      </c>
      <c r="B16" s="10" t="str">
        <f>IFERROR(INDEX(Personnes!$B$5:$B$154,MATCH(11,Personnes!$L$5:$L$154,0)),"")</f>
        <v>P044</v>
      </c>
      <c r="C16" s="10" t="str">
        <f>IFERROR(INDEX(Personnes!$C$5:$C$154,MATCH($B16,Personnes!$B$5:$B$154,0))&amp;"","")</f>
        <v>PASCAL</v>
      </c>
      <c r="D16" s="10" t="str">
        <f>IFERROR(INDEX(Personnes!$D$5:$D$154,MATCH($B16,Personnes!$B$5:$B$154,0))&amp;"","")</f>
        <v>Alain</v>
      </c>
      <c r="E16" s="22"/>
      <c r="F16" s="22"/>
      <c r="G16" s="22"/>
      <c r="H16" s="22"/>
      <c r="I16" s="22"/>
      <c r="J16" s="22"/>
      <c r="K16" s="22"/>
      <c r="L16" s="22"/>
      <c r="M16" s="10">
        <f t="shared" si="0"/>
        <v>0</v>
      </c>
      <c r="N16" s="10">
        <f t="shared" si="1"/>
        <v>0</v>
      </c>
      <c r="O16" s="15"/>
      <c r="P16" s="14"/>
    </row>
    <row r="17" spans="1:16" x14ac:dyDescent="0.2">
      <c r="A17" s="7">
        <v>12</v>
      </c>
      <c r="B17" s="10" t="str">
        <f>IFERROR(INDEX(Personnes!$B$5:$B$154,MATCH(12,Personnes!$L$5:$L$154,0)),"")</f>
        <v>P045</v>
      </c>
      <c r="C17" s="10" t="str">
        <f>IFERROR(INDEX(Personnes!$C$5:$C$154,MATCH($B17,Personnes!$B$5:$B$154,0))&amp;"","")</f>
        <v>SEGUI</v>
      </c>
      <c r="D17" s="10" t="str">
        <f>IFERROR(INDEX(Personnes!$D$5:$D$154,MATCH($B17,Personnes!$B$5:$B$154,0))&amp;"","")</f>
        <v>Danny</v>
      </c>
      <c r="E17" s="22"/>
      <c r="F17" s="22"/>
      <c r="G17" s="22"/>
      <c r="H17" s="22"/>
      <c r="I17" s="22"/>
      <c r="J17" s="22"/>
      <c r="K17" s="22"/>
      <c r="L17" s="22"/>
      <c r="M17" s="10">
        <f t="shared" si="0"/>
        <v>0</v>
      </c>
      <c r="N17" s="10">
        <f t="shared" si="1"/>
        <v>0</v>
      </c>
      <c r="O17" s="15"/>
      <c r="P17" s="14"/>
    </row>
    <row r="18" spans="1:16" x14ac:dyDescent="0.2">
      <c r="A18" s="7">
        <v>13</v>
      </c>
      <c r="B18" s="10" t="str">
        <f>IFERROR(INDEX(Personnes!$B$5:$B$154,MATCH(13,Personnes!$L$5:$L$154,0)),"")</f>
        <v/>
      </c>
      <c r="C18" s="10" t="str">
        <f>IFERROR(INDEX(Personnes!$C$5:$C$154,MATCH($B18,Personnes!$B$5:$B$154,0))&amp;"","")</f>
        <v/>
      </c>
      <c r="D18" s="10" t="str">
        <f>IFERROR(INDEX(Personnes!$D$5:$D$154,MATCH($B18,Personnes!$B$5:$B$154,0))&amp;"","")</f>
        <v/>
      </c>
      <c r="E18" s="22"/>
      <c r="F18" s="22"/>
      <c r="G18" s="22"/>
      <c r="H18" s="22"/>
      <c r="I18" s="22"/>
      <c r="J18" s="22"/>
      <c r="K18" s="22"/>
      <c r="L18" s="22"/>
      <c r="M18" s="10" t="str">
        <f t="shared" si="0"/>
        <v/>
      </c>
      <c r="N18" s="10" t="str">
        <f t="shared" si="1"/>
        <v/>
      </c>
      <c r="O18" s="15"/>
      <c r="P18" s="14"/>
    </row>
    <row r="19" spans="1:16" x14ac:dyDescent="0.2">
      <c r="A19" s="7">
        <v>14</v>
      </c>
      <c r="B19" s="10" t="str">
        <f>IFERROR(INDEX(Personnes!$B$5:$B$154,MATCH(14,Personnes!$L$5:$L$154,0)),"")</f>
        <v/>
      </c>
      <c r="C19" s="10" t="str">
        <f>IFERROR(INDEX(Personnes!$C$5:$C$154,MATCH($B19,Personnes!$B$5:$B$154,0))&amp;"","")</f>
        <v/>
      </c>
      <c r="D19" s="10" t="str">
        <f>IFERROR(INDEX(Personnes!$D$5:$D$154,MATCH($B19,Personnes!$B$5:$B$154,0))&amp;"","")</f>
        <v/>
      </c>
      <c r="E19" s="22"/>
      <c r="F19" s="22"/>
      <c r="G19" s="22"/>
      <c r="H19" s="22"/>
      <c r="I19" s="22"/>
      <c r="J19" s="22"/>
      <c r="K19" s="22"/>
      <c r="L19" s="22"/>
      <c r="M19" s="10" t="str">
        <f t="shared" si="0"/>
        <v/>
      </c>
      <c r="N19" s="10" t="str">
        <f t="shared" si="1"/>
        <v/>
      </c>
      <c r="O19" s="15"/>
      <c r="P19" s="14"/>
    </row>
    <row r="20" spans="1:16" x14ac:dyDescent="0.2">
      <c r="A20" s="7">
        <v>15</v>
      </c>
      <c r="B20" s="10" t="str">
        <f>IFERROR(INDEX(Personnes!$B$5:$B$154,MATCH(15,Personnes!$L$5:$L$154,0)),"")</f>
        <v/>
      </c>
      <c r="C20" s="10" t="str">
        <f>IFERROR(INDEX(Personnes!$C$5:$C$154,MATCH($B20,Personnes!$B$5:$B$154,0))&amp;"","")</f>
        <v/>
      </c>
      <c r="D20" s="10" t="str">
        <f>IFERROR(INDEX(Personnes!$D$5:$D$154,MATCH($B20,Personnes!$B$5:$B$154,0))&amp;"","")</f>
        <v/>
      </c>
      <c r="E20" s="22"/>
      <c r="F20" s="22"/>
      <c r="G20" s="22"/>
      <c r="H20" s="22"/>
      <c r="I20" s="22"/>
      <c r="J20" s="22"/>
      <c r="K20" s="22"/>
      <c r="L20" s="22"/>
      <c r="M20" s="10" t="str">
        <f t="shared" si="0"/>
        <v/>
      </c>
      <c r="N20" s="10" t="str">
        <f t="shared" si="1"/>
        <v/>
      </c>
      <c r="O20" s="15"/>
      <c r="P20" s="14"/>
    </row>
    <row r="21" spans="1:16" x14ac:dyDescent="0.2">
      <c r="A21" s="7">
        <v>16</v>
      </c>
      <c r="B21" s="10" t="str">
        <f>IFERROR(INDEX(Personnes!$B$5:$B$154,MATCH(16,Personnes!$L$5:$L$154,0)),"")</f>
        <v/>
      </c>
      <c r="C21" s="10" t="str">
        <f>IFERROR(INDEX(Personnes!$C$5:$C$154,MATCH($B21,Personnes!$B$5:$B$154,0))&amp;"","")</f>
        <v/>
      </c>
      <c r="D21" s="10" t="str">
        <f>IFERROR(INDEX(Personnes!$D$5:$D$154,MATCH($B21,Personnes!$B$5:$B$154,0))&amp;"","")</f>
        <v/>
      </c>
      <c r="E21" s="22"/>
      <c r="F21" s="22"/>
      <c r="G21" s="22"/>
      <c r="H21" s="22"/>
      <c r="I21" s="22"/>
      <c r="J21" s="22"/>
      <c r="K21" s="22"/>
      <c r="L21" s="22"/>
      <c r="M21" s="10" t="str">
        <f t="shared" si="0"/>
        <v/>
      </c>
      <c r="N21" s="10" t="str">
        <f t="shared" si="1"/>
        <v/>
      </c>
      <c r="O21" s="15"/>
      <c r="P21" s="14"/>
    </row>
    <row r="22" spans="1:16" x14ac:dyDescent="0.2">
      <c r="A22" s="7">
        <v>17</v>
      </c>
      <c r="B22" s="10" t="str">
        <f>IFERROR(INDEX(Personnes!$B$5:$B$154,MATCH(17,Personnes!$L$5:$L$154,0)),"")</f>
        <v/>
      </c>
      <c r="C22" s="10" t="str">
        <f>IFERROR(INDEX(Personnes!$C$5:$C$154,MATCH($B22,Personnes!$B$5:$B$154,0))&amp;"","")</f>
        <v/>
      </c>
      <c r="D22" s="10" t="str">
        <f>IFERROR(INDEX(Personnes!$D$5:$D$154,MATCH($B22,Personnes!$B$5:$B$154,0))&amp;"","")</f>
        <v/>
      </c>
      <c r="E22" s="22"/>
      <c r="F22" s="22"/>
      <c r="G22" s="22"/>
      <c r="H22" s="22"/>
      <c r="I22" s="22"/>
      <c r="J22" s="22"/>
      <c r="K22" s="22"/>
      <c r="L22" s="22"/>
      <c r="M22" s="10" t="str">
        <f t="shared" si="0"/>
        <v/>
      </c>
      <c r="N22" s="10" t="str">
        <f t="shared" si="1"/>
        <v/>
      </c>
      <c r="O22" s="15"/>
      <c r="P22" s="14"/>
    </row>
    <row r="23" spans="1:16" x14ac:dyDescent="0.2">
      <c r="A23" s="7">
        <v>18</v>
      </c>
      <c r="B23" s="10" t="str">
        <f>IFERROR(INDEX(Personnes!$B$5:$B$154,MATCH(18,Personnes!$L$5:$L$154,0)),"")</f>
        <v/>
      </c>
      <c r="C23" s="10" t="str">
        <f>IFERROR(INDEX(Personnes!$C$5:$C$154,MATCH($B23,Personnes!$B$5:$B$154,0))&amp;"","")</f>
        <v/>
      </c>
      <c r="D23" s="10" t="str">
        <f>IFERROR(INDEX(Personnes!$D$5:$D$154,MATCH($B23,Personnes!$B$5:$B$154,0))&amp;"","")</f>
        <v/>
      </c>
      <c r="E23" s="22"/>
      <c r="F23" s="22"/>
      <c r="G23" s="22"/>
      <c r="H23" s="22"/>
      <c r="I23" s="22"/>
      <c r="J23" s="22"/>
      <c r="K23" s="22"/>
      <c r="L23" s="22"/>
      <c r="M23" s="10" t="str">
        <f t="shared" si="0"/>
        <v/>
      </c>
      <c r="N23" s="10" t="str">
        <f t="shared" si="1"/>
        <v/>
      </c>
      <c r="O23" s="15"/>
      <c r="P23" s="14"/>
    </row>
    <row r="24" spans="1:16" x14ac:dyDescent="0.2">
      <c r="A24" s="7">
        <v>19</v>
      </c>
      <c r="B24" s="10" t="str">
        <f>IFERROR(INDEX(Personnes!$B$5:$B$154,MATCH(19,Personnes!$L$5:$L$154,0)),"")</f>
        <v/>
      </c>
      <c r="C24" s="10" t="str">
        <f>IFERROR(INDEX(Personnes!$C$5:$C$154,MATCH($B24,Personnes!$B$5:$B$154,0))&amp;"","")</f>
        <v/>
      </c>
      <c r="D24" s="10" t="str">
        <f>IFERROR(INDEX(Personnes!$D$5:$D$154,MATCH($B24,Personnes!$B$5:$B$154,0))&amp;"","")</f>
        <v/>
      </c>
      <c r="E24" s="22"/>
      <c r="F24" s="22"/>
      <c r="G24" s="22"/>
      <c r="H24" s="22"/>
      <c r="I24" s="22"/>
      <c r="J24" s="22"/>
      <c r="K24" s="22"/>
      <c r="L24" s="22"/>
      <c r="M24" s="10" t="str">
        <f t="shared" si="0"/>
        <v/>
      </c>
      <c r="N24" s="10" t="str">
        <f t="shared" si="1"/>
        <v/>
      </c>
      <c r="O24" s="15"/>
      <c r="P24" s="14"/>
    </row>
    <row r="25" spans="1:16" x14ac:dyDescent="0.2">
      <c r="A25" s="7">
        <v>20</v>
      </c>
      <c r="B25" s="10" t="str">
        <f>IFERROR(INDEX(Personnes!$B$5:$B$154,MATCH(20,Personnes!$L$5:$L$154,0)),"")</f>
        <v/>
      </c>
      <c r="C25" s="10" t="str">
        <f>IFERROR(INDEX(Personnes!$C$5:$C$154,MATCH($B25,Personnes!$B$5:$B$154,0))&amp;"","")</f>
        <v/>
      </c>
      <c r="D25" s="10" t="str">
        <f>IFERROR(INDEX(Personnes!$D$5:$D$154,MATCH($B25,Personnes!$B$5:$B$154,0))&amp;"","")</f>
        <v/>
      </c>
      <c r="E25" s="22"/>
      <c r="F25" s="22"/>
      <c r="G25" s="22"/>
      <c r="H25" s="22"/>
      <c r="I25" s="22"/>
      <c r="J25" s="22"/>
      <c r="K25" s="22"/>
      <c r="L25" s="22"/>
      <c r="M25" s="10" t="str">
        <f t="shared" si="0"/>
        <v/>
      </c>
      <c r="N25" s="10" t="str">
        <f t="shared" si="1"/>
        <v/>
      </c>
      <c r="O25" s="15"/>
      <c r="P25" s="14"/>
    </row>
    <row r="26" spans="1:16" x14ac:dyDescent="0.2">
      <c r="A26" s="7">
        <v>21</v>
      </c>
      <c r="B26" s="10" t="str">
        <f>IFERROR(INDEX(Personnes!$B$5:$B$154,MATCH(21,Personnes!$L$5:$L$154,0)),"")</f>
        <v/>
      </c>
      <c r="C26" s="10" t="str">
        <f>IFERROR(INDEX(Personnes!$C$5:$C$154,MATCH($B26,Personnes!$B$5:$B$154,0))&amp;"","")</f>
        <v/>
      </c>
      <c r="D26" s="10" t="str">
        <f>IFERROR(INDEX(Personnes!$D$5:$D$154,MATCH($B26,Personnes!$B$5:$B$154,0))&amp;"","")</f>
        <v/>
      </c>
      <c r="E26" s="22"/>
      <c r="F26" s="22"/>
      <c r="G26" s="22"/>
      <c r="H26" s="22"/>
      <c r="I26" s="22"/>
      <c r="J26" s="22"/>
      <c r="K26" s="22"/>
      <c r="L26" s="22"/>
      <c r="M26" s="10" t="str">
        <f t="shared" si="0"/>
        <v/>
      </c>
      <c r="N26" s="10" t="str">
        <f t="shared" si="1"/>
        <v/>
      </c>
      <c r="O26" s="15"/>
      <c r="P26" s="14"/>
    </row>
    <row r="27" spans="1:16" x14ac:dyDescent="0.2">
      <c r="A27" s="7">
        <v>22</v>
      </c>
      <c r="B27" s="10" t="str">
        <f>IFERROR(INDEX(Personnes!$B$5:$B$154,MATCH(22,Personnes!$L$5:$L$154,0)),"")</f>
        <v/>
      </c>
      <c r="C27" s="10" t="str">
        <f>IFERROR(INDEX(Personnes!$C$5:$C$154,MATCH($B27,Personnes!$B$5:$B$154,0))&amp;"","")</f>
        <v/>
      </c>
      <c r="D27" s="10" t="str">
        <f>IFERROR(INDEX(Personnes!$D$5:$D$154,MATCH($B27,Personnes!$B$5:$B$154,0))&amp;"","")</f>
        <v/>
      </c>
      <c r="E27" s="22"/>
      <c r="F27" s="22"/>
      <c r="G27" s="22"/>
      <c r="H27" s="22"/>
      <c r="I27" s="22"/>
      <c r="J27" s="22"/>
      <c r="K27" s="22"/>
      <c r="L27" s="22"/>
      <c r="M27" s="10" t="str">
        <f t="shared" si="0"/>
        <v/>
      </c>
      <c r="N27" s="10" t="str">
        <f t="shared" si="1"/>
        <v/>
      </c>
      <c r="O27" s="15"/>
      <c r="P27" s="14"/>
    </row>
    <row r="28" spans="1:16" x14ac:dyDescent="0.2">
      <c r="A28" s="7">
        <v>23</v>
      </c>
      <c r="B28" s="10" t="str">
        <f>IFERROR(INDEX(Personnes!$B$5:$B$154,MATCH(23,Personnes!$L$5:$L$154,0)),"")</f>
        <v/>
      </c>
      <c r="C28" s="10" t="str">
        <f>IFERROR(INDEX(Personnes!$C$5:$C$154,MATCH($B28,Personnes!$B$5:$B$154,0))&amp;"","")</f>
        <v/>
      </c>
      <c r="D28" s="10" t="str">
        <f>IFERROR(INDEX(Personnes!$D$5:$D$154,MATCH($B28,Personnes!$B$5:$B$154,0))&amp;"","")</f>
        <v/>
      </c>
      <c r="E28" s="22"/>
      <c r="F28" s="22"/>
      <c r="G28" s="22"/>
      <c r="H28" s="22"/>
      <c r="I28" s="22"/>
      <c r="J28" s="22"/>
      <c r="K28" s="22"/>
      <c r="L28" s="22"/>
      <c r="M28" s="10" t="str">
        <f t="shared" si="0"/>
        <v/>
      </c>
      <c r="N28" s="10" t="str">
        <f t="shared" si="1"/>
        <v/>
      </c>
      <c r="O28" s="15"/>
      <c r="P28" s="14"/>
    </row>
    <row r="29" spans="1:16" x14ac:dyDescent="0.2">
      <c r="A29" s="7">
        <v>24</v>
      </c>
      <c r="B29" s="10" t="str">
        <f>IFERROR(INDEX(Personnes!$B$5:$B$154,MATCH(24,Personnes!$L$5:$L$154,0)),"")</f>
        <v/>
      </c>
      <c r="C29" s="10" t="str">
        <f>IFERROR(INDEX(Personnes!$C$5:$C$154,MATCH($B29,Personnes!$B$5:$B$154,0))&amp;"","")</f>
        <v/>
      </c>
      <c r="D29" s="10" t="str">
        <f>IFERROR(INDEX(Personnes!$D$5:$D$154,MATCH($B29,Personnes!$B$5:$B$154,0))&amp;"","")</f>
        <v/>
      </c>
      <c r="E29" s="22"/>
      <c r="F29" s="22"/>
      <c r="G29" s="22"/>
      <c r="H29" s="22"/>
      <c r="I29" s="22"/>
      <c r="J29" s="22"/>
      <c r="K29" s="22"/>
      <c r="L29" s="22"/>
      <c r="M29" s="10" t="str">
        <f t="shared" si="0"/>
        <v/>
      </c>
      <c r="N29" s="10" t="str">
        <f t="shared" si="1"/>
        <v/>
      </c>
      <c r="O29" s="15"/>
      <c r="P29" s="14"/>
    </row>
    <row r="30" spans="1:16" x14ac:dyDescent="0.2">
      <c r="A30" s="7">
        <v>25</v>
      </c>
      <c r="B30" s="10" t="str">
        <f>IFERROR(INDEX(Personnes!$B$5:$B$154,MATCH(25,Personnes!$L$5:$L$154,0)),"")</f>
        <v/>
      </c>
      <c r="C30" s="10" t="str">
        <f>IFERROR(INDEX(Personnes!$C$5:$C$154,MATCH($B30,Personnes!$B$5:$B$154,0))&amp;"","")</f>
        <v/>
      </c>
      <c r="D30" s="10" t="str">
        <f>IFERROR(INDEX(Personnes!$D$5:$D$154,MATCH($B30,Personnes!$B$5:$B$154,0))&amp;"","")</f>
        <v/>
      </c>
      <c r="E30" s="22"/>
      <c r="F30" s="22"/>
      <c r="G30" s="22"/>
      <c r="H30" s="22"/>
      <c r="I30" s="22"/>
      <c r="J30" s="22"/>
      <c r="K30" s="22"/>
      <c r="L30" s="22"/>
      <c r="M30" s="10" t="str">
        <f t="shared" si="0"/>
        <v/>
      </c>
      <c r="N30" s="10" t="str">
        <f t="shared" si="1"/>
        <v/>
      </c>
      <c r="O30" s="15"/>
      <c r="P30" s="14"/>
    </row>
    <row r="31" spans="1:16" x14ac:dyDescent="0.2">
      <c r="A31" s="7">
        <v>26</v>
      </c>
      <c r="B31" s="10" t="str">
        <f>IFERROR(INDEX(Personnes!$B$5:$B$154,MATCH(26,Personnes!$L$5:$L$154,0)),"")</f>
        <v/>
      </c>
      <c r="C31" s="10" t="str">
        <f>IFERROR(INDEX(Personnes!$C$5:$C$154,MATCH($B31,Personnes!$B$5:$B$154,0))&amp;"","")</f>
        <v/>
      </c>
      <c r="D31" s="10" t="str">
        <f>IFERROR(INDEX(Personnes!$D$5:$D$154,MATCH($B31,Personnes!$B$5:$B$154,0))&amp;"","")</f>
        <v/>
      </c>
      <c r="E31" s="22"/>
      <c r="F31" s="22"/>
      <c r="G31" s="22"/>
      <c r="H31" s="22"/>
      <c r="I31" s="22"/>
      <c r="J31" s="22"/>
      <c r="K31" s="22"/>
      <c r="L31" s="22"/>
      <c r="M31" s="10" t="str">
        <f t="shared" si="0"/>
        <v/>
      </c>
      <c r="N31" s="10" t="str">
        <f t="shared" si="1"/>
        <v/>
      </c>
      <c r="O31" s="15"/>
      <c r="P31" s="14"/>
    </row>
    <row r="32" spans="1:16" x14ac:dyDescent="0.2">
      <c r="A32" s="7">
        <v>27</v>
      </c>
      <c r="B32" s="10" t="str">
        <f>IFERROR(INDEX(Personnes!$B$5:$B$154,MATCH(27,Personnes!$L$5:$L$154,0)),"")</f>
        <v/>
      </c>
      <c r="C32" s="10" t="str">
        <f>IFERROR(INDEX(Personnes!$C$5:$C$154,MATCH($B32,Personnes!$B$5:$B$154,0))&amp;"","")</f>
        <v/>
      </c>
      <c r="D32" s="10" t="str">
        <f>IFERROR(INDEX(Personnes!$D$5:$D$154,MATCH($B32,Personnes!$B$5:$B$154,0))&amp;"","")</f>
        <v/>
      </c>
      <c r="E32" s="22"/>
      <c r="F32" s="22"/>
      <c r="G32" s="22"/>
      <c r="H32" s="22"/>
      <c r="I32" s="22"/>
      <c r="J32" s="22"/>
      <c r="K32" s="22"/>
      <c r="L32" s="22"/>
      <c r="M32" s="10" t="str">
        <f t="shared" si="0"/>
        <v/>
      </c>
      <c r="N32" s="10" t="str">
        <f t="shared" si="1"/>
        <v/>
      </c>
      <c r="O32" s="15"/>
      <c r="P32" s="14"/>
    </row>
    <row r="33" spans="1:16" x14ac:dyDescent="0.2">
      <c r="A33" s="7">
        <v>28</v>
      </c>
      <c r="B33" s="10" t="str">
        <f>IFERROR(INDEX(Personnes!$B$5:$B$154,MATCH(28,Personnes!$L$5:$L$154,0)),"")</f>
        <v/>
      </c>
      <c r="C33" s="10" t="str">
        <f>IFERROR(INDEX(Personnes!$C$5:$C$154,MATCH($B33,Personnes!$B$5:$B$154,0))&amp;"","")</f>
        <v/>
      </c>
      <c r="D33" s="10" t="str">
        <f>IFERROR(INDEX(Personnes!$D$5:$D$154,MATCH($B33,Personnes!$B$5:$B$154,0))&amp;"","")</f>
        <v/>
      </c>
      <c r="E33" s="22"/>
      <c r="F33" s="22"/>
      <c r="G33" s="22"/>
      <c r="H33" s="22"/>
      <c r="I33" s="22"/>
      <c r="J33" s="22"/>
      <c r="K33" s="22"/>
      <c r="L33" s="22"/>
      <c r="M33" s="10" t="str">
        <f t="shared" si="0"/>
        <v/>
      </c>
      <c r="N33" s="10" t="str">
        <f t="shared" si="1"/>
        <v/>
      </c>
      <c r="O33" s="15"/>
      <c r="P33" s="14"/>
    </row>
    <row r="34" spans="1:16" x14ac:dyDescent="0.2">
      <c r="A34" s="7">
        <v>29</v>
      </c>
      <c r="B34" s="10" t="str">
        <f>IFERROR(INDEX(Personnes!$B$5:$B$154,MATCH(29,Personnes!$L$5:$L$154,0)),"")</f>
        <v/>
      </c>
      <c r="C34" s="10" t="str">
        <f>IFERROR(INDEX(Personnes!$C$5:$C$154,MATCH($B34,Personnes!$B$5:$B$154,0))&amp;"","")</f>
        <v/>
      </c>
      <c r="D34" s="10" t="str">
        <f>IFERROR(INDEX(Personnes!$D$5:$D$154,MATCH($B34,Personnes!$B$5:$B$154,0))&amp;"","")</f>
        <v/>
      </c>
      <c r="E34" s="22"/>
      <c r="F34" s="22"/>
      <c r="G34" s="22"/>
      <c r="H34" s="22"/>
      <c r="I34" s="22"/>
      <c r="J34" s="22"/>
      <c r="K34" s="22"/>
      <c r="L34" s="22"/>
      <c r="M34" s="10" t="str">
        <f t="shared" si="0"/>
        <v/>
      </c>
      <c r="N34" s="10" t="str">
        <f t="shared" si="1"/>
        <v/>
      </c>
      <c r="O34" s="15"/>
      <c r="P34" s="14"/>
    </row>
    <row r="35" spans="1:16" x14ac:dyDescent="0.2">
      <c r="A35" s="7">
        <v>30</v>
      </c>
      <c r="B35" s="10" t="str">
        <f>IFERROR(INDEX(Personnes!$B$5:$B$154,MATCH(30,Personnes!$L$5:$L$154,0)),"")</f>
        <v/>
      </c>
      <c r="C35" s="10" t="str">
        <f>IFERROR(INDEX(Personnes!$C$5:$C$154,MATCH($B35,Personnes!$B$5:$B$154,0))&amp;"","")</f>
        <v/>
      </c>
      <c r="D35" s="10" t="str">
        <f>IFERROR(INDEX(Personnes!$D$5:$D$154,MATCH($B35,Personnes!$B$5:$B$154,0))&amp;"","")</f>
        <v/>
      </c>
      <c r="E35" s="22"/>
      <c r="F35" s="22"/>
      <c r="G35" s="22"/>
      <c r="H35" s="22"/>
      <c r="I35" s="22"/>
      <c r="J35" s="22"/>
      <c r="K35" s="22"/>
      <c r="L35" s="22"/>
      <c r="M35" s="10" t="str">
        <f t="shared" si="0"/>
        <v/>
      </c>
      <c r="N35" s="10" t="str">
        <f t="shared" si="1"/>
        <v/>
      </c>
      <c r="O35" s="15"/>
      <c r="P35" s="14"/>
    </row>
    <row r="36" spans="1:16" x14ac:dyDescent="0.2">
      <c r="A36" s="7">
        <v>31</v>
      </c>
      <c r="B36" s="10" t="str">
        <f>IFERROR(INDEX(Personnes!$B$5:$B$154,MATCH(31,Personnes!$L$5:$L$154,0)),"")</f>
        <v/>
      </c>
      <c r="C36" s="10" t="str">
        <f>IFERROR(INDEX(Personnes!$C$5:$C$154,MATCH($B36,Personnes!$B$5:$B$154,0))&amp;"","")</f>
        <v/>
      </c>
      <c r="D36" s="10" t="str">
        <f>IFERROR(INDEX(Personnes!$D$5:$D$154,MATCH($B36,Personnes!$B$5:$B$154,0))&amp;"","")</f>
        <v/>
      </c>
      <c r="E36" s="22"/>
      <c r="F36" s="22"/>
      <c r="G36" s="22"/>
      <c r="H36" s="22"/>
      <c r="I36" s="22"/>
      <c r="J36" s="22"/>
      <c r="K36" s="22"/>
      <c r="L36" s="22"/>
      <c r="M36" s="10" t="str">
        <f t="shared" si="0"/>
        <v/>
      </c>
      <c r="N36" s="10" t="str">
        <f t="shared" si="1"/>
        <v/>
      </c>
      <c r="O36" s="15"/>
      <c r="P36" s="14"/>
    </row>
    <row r="37" spans="1:16" x14ac:dyDescent="0.2">
      <c r="A37" s="7">
        <v>32</v>
      </c>
      <c r="B37" s="10" t="str">
        <f>IFERROR(INDEX(Personnes!$B$5:$B$154,MATCH(32,Personnes!$L$5:$L$154,0)),"")</f>
        <v/>
      </c>
      <c r="C37" s="10" t="str">
        <f>IFERROR(INDEX(Personnes!$C$5:$C$154,MATCH($B37,Personnes!$B$5:$B$154,0))&amp;"","")</f>
        <v/>
      </c>
      <c r="D37" s="10" t="str">
        <f>IFERROR(INDEX(Personnes!$D$5:$D$154,MATCH($B37,Personnes!$B$5:$B$154,0))&amp;"","")</f>
        <v/>
      </c>
      <c r="E37" s="22"/>
      <c r="F37" s="22"/>
      <c r="G37" s="22"/>
      <c r="H37" s="22"/>
      <c r="I37" s="22"/>
      <c r="J37" s="22"/>
      <c r="K37" s="22"/>
      <c r="L37" s="22"/>
      <c r="M37" s="10" t="str">
        <f t="shared" si="0"/>
        <v/>
      </c>
      <c r="N37" s="10" t="str">
        <f t="shared" si="1"/>
        <v/>
      </c>
      <c r="O37" s="15"/>
      <c r="P37" s="14"/>
    </row>
    <row r="38" spans="1:16" x14ac:dyDescent="0.2">
      <c r="A38" s="7">
        <v>33</v>
      </c>
      <c r="B38" s="10" t="str">
        <f>IFERROR(INDEX(Personnes!$B$5:$B$154,MATCH(33,Personnes!$L$5:$L$154,0)),"")</f>
        <v/>
      </c>
      <c r="C38" s="10" t="str">
        <f>IFERROR(INDEX(Personnes!$C$5:$C$154,MATCH($B38,Personnes!$B$5:$B$154,0))&amp;"","")</f>
        <v/>
      </c>
      <c r="D38" s="10" t="str">
        <f>IFERROR(INDEX(Personnes!$D$5:$D$154,MATCH($B38,Personnes!$B$5:$B$154,0))&amp;"","")</f>
        <v/>
      </c>
      <c r="E38" s="22"/>
      <c r="F38" s="22"/>
      <c r="G38" s="22"/>
      <c r="H38" s="22"/>
      <c r="I38" s="22"/>
      <c r="J38" s="22"/>
      <c r="K38" s="22"/>
      <c r="L38" s="22"/>
      <c r="M38" s="10" t="str">
        <f t="shared" ref="M38:M69" si="2">IF($B38="","",COUNTIF($E38:$L38,"acquis")+COUNTIF($E38:$L38,"expert"))</f>
        <v/>
      </c>
      <c r="N38" s="10" t="str">
        <f t="shared" ref="N38:N69" si="3">IF($B38="","",SUMPRODUCT(($E38:$L38&lt;&gt;"")*($E38:$L38&lt;&gt;$E$4:$L$4)))</f>
        <v/>
      </c>
      <c r="O38" s="15"/>
      <c r="P38" s="14"/>
    </row>
    <row r="39" spans="1:16" x14ac:dyDescent="0.2">
      <c r="A39" s="7">
        <v>34</v>
      </c>
      <c r="B39" s="10" t="str">
        <f>IFERROR(INDEX(Personnes!$B$5:$B$154,MATCH(34,Personnes!$L$5:$L$154,0)),"")</f>
        <v/>
      </c>
      <c r="C39" s="10" t="str">
        <f>IFERROR(INDEX(Personnes!$C$5:$C$154,MATCH($B39,Personnes!$B$5:$B$154,0))&amp;"","")</f>
        <v/>
      </c>
      <c r="D39" s="10" t="str">
        <f>IFERROR(INDEX(Personnes!$D$5:$D$154,MATCH($B39,Personnes!$B$5:$B$154,0))&amp;"","")</f>
        <v/>
      </c>
      <c r="E39" s="22"/>
      <c r="F39" s="22"/>
      <c r="G39" s="22"/>
      <c r="H39" s="22"/>
      <c r="I39" s="22"/>
      <c r="J39" s="22"/>
      <c r="K39" s="22"/>
      <c r="L39" s="22"/>
      <c r="M39" s="10" t="str">
        <f t="shared" si="2"/>
        <v/>
      </c>
      <c r="N39" s="10" t="str">
        <f t="shared" si="3"/>
        <v/>
      </c>
      <c r="O39" s="15"/>
      <c r="P39" s="14"/>
    </row>
    <row r="40" spans="1:16" x14ac:dyDescent="0.2">
      <c r="A40" s="7">
        <v>35</v>
      </c>
      <c r="B40" s="10" t="str">
        <f>IFERROR(INDEX(Personnes!$B$5:$B$154,MATCH(35,Personnes!$L$5:$L$154,0)),"")</f>
        <v/>
      </c>
      <c r="C40" s="10" t="str">
        <f>IFERROR(INDEX(Personnes!$C$5:$C$154,MATCH($B40,Personnes!$B$5:$B$154,0))&amp;"","")</f>
        <v/>
      </c>
      <c r="D40" s="10" t="str">
        <f>IFERROR(INDEX(Personnes!$D$5:$D$154,MATCH($B40,Personnes!$B$5:$B$154,0))&amp;"","")</f>
        <v/>
      </c>
      <c r="E40" s="22"/>
      <c r="F40" s="22"/>
      <c r="G40" s="22"/>
      <c r="H40" s="22"/>
      <c r="I40" s="22"/>
      <c r="J40" s="22"/>
      <c r="K40" s="22"/>
      <c r="L40" s="22"/>
      <c r="M40" s="10" t="str">
        <f t="shared" si="2"/>
        <v/>
      </c>
      <c r="N40" s="10" t="str">
        <f t="shared" si="3"/>
        <v/>
      </c>
      <c r="O40" s="15"/>
      <c r="P40" s="14"/>
    </row>
    <row r="41" spans="1:16" x14ac:dyDescent="0.2">
      <c r="A41" s="7">
        <v>36</v>
      </c>
      <c r="B41" s="10" t="str">
        <f>IFERROR(INDEX(Personnes!$B$5:$B$154,MATCH(36,Personnes!$L$5:$L$154,0)),"")</f>
        <v/>
      </c>
      <c r="C41" s="10" t="str">
        <f>IFERROR(INDEX(Personnes!$C$5:$C$154,MATCH($B41,Personnes!$B$5:$B$154,0))&amp;"","")</f>
        <v/>
      </c>
      <c r="D41" s="10" t="str">
        <f>IFERROR(INDEX(Personnes!$D$5:$D$154,MATCH($B41,Personnes!$B$5:$B$154,0))&amp;"","")</f>
        <v/>
      </c>
      <c r="E41" s="22"/>
      <c r="F41" s="22"/>
      <c r="G41" s="22"/>
      <c r="H41" s="22"/>
      <c r="I41" s="22"/>
      <c r="J41" s="22"/>
      <c r="K41" s="22"/>
      <c r="L41" s="22"/>
      <c r="M41" s="10" t="str">
        <f t="shared" si="2"/>
        <v/>
      </c>
      <c r="N41" s="10" t="str">
        <f t="shared" si="3"/>
        <v/>
      </c>
      <c r="O41" s="15"/>
      <c r="P41" s="14"/>
    </row>
    <row r="42" spans="1:16" x14ac:dyDescent="0.2">
      <c r="A42" s="7">
        <v>37</v>
      </c>
      <c r="B42" s="10" t="str">
        <f>IFERROR(INDEX(Personnes!$B$5:$B$154,MATCH(37,Personnes!$L$5:$L$154,0)),"")</f>
        <v/>
      </c>
      <c r="C42" s="10" t="str">
        <f>IFERROR(INDEX(Personnes!$C$5:$C$154,MATCH($B42,Personnes!$B$5:$B$154,0))&amp;"","")</f>
        <v/>
      </c>
      <c r="D42" s="10" t="str">
        <f>IFERROR(INDEX(Personnes!$D$5:$D$154,MATCH($B42,Personnes!$B$5:$B$154,0))&amp;"","")</f>
        <v/>
      </c>
      <c r="E42" s="22"/>
      <c r="F42" s="22"/>
      <c r="G42" s="22"/>
      <c r="H42" s="22"/>
      <c r="I42" s="22"/>
      <c r="J42" s="22"/>
      <c r="K42" s="22"/>
      <c r="L42" s="22"/>
      <c r="M42" s="10" t="str">
        <f t="shared" si="2"/>
        <v/>
      </c>
      <c r="N42" s="10" t="str">
        <f t="shared" si="3"/>
        <v/>
      </c>
      <c r="O42" s="15"/>
      <c r="P42" s="14"/>
    </row>
    <row r="43" spans="1:16" x14ac:dyDescent="0.2">
      <c r="A43" s="7">
        <v>38</v>
      </c>
      <c r="B43" s="10" t="str">
        <f>IFERROR(INDEX(Personnes!$B$5:$B$154,MATCH(38,Personnes!$L$5:$L$154,0)),"")</f>
        <v/>
      </c>
      <c r="C43" s="10" t="str">
        <f>IFERROR(INDEX(Personnes!$C$5:$C$154,MATCH($B43,Personnes!$B$5:$B$154,0))&amp;"","")</f>
        <v/>
      </c>
      <c r="D43" s="10" t="str">
        <f>IFERROR(INDEX(Personnes!$D$5:$D$154,MATCH($B43,Personnes!$B$5:$B$154,0))&amp;"","")</f>
        <v/>
      </c>
      <c r="E43" s="22"/>
      <c r="F43" s="22"/>
      <c r="G43" s="22"/>
      <c r="H43" s="22"/>
      <c r="I43" s="22"/>
      <c r="J43" s="22"/>
      <c r="K43" s="22"/>
      <c r="L43" s="22"/>
      <c r="M43" s="10" t="str">
        <f t="shared" si="2"/>
        <v/>
      </c>
      <c r="N43" s="10" t="str">
        <f t="shared" si="3"/>
        <v/>
      </c>
      <c r="O43" s="15"/>
      <c r="P43" s="14"/>
    </row>
    <row r="44" spans="1:16" x14ac:dyDescent="0.2">
      <c r="A44" s="7">
        <v>39</v>
      </c>
      <c r="B44" s="10" t="str">
        <f>IFERROR(INDEX(Personnes!$B$5:$B$154,MATCH(39,Personnes!$L$5:$L$154,0)),"")</f>
        <v/>
      </c>
      <c r="C44" s="10" t="str">
        <f>IFERROR(INDEX(Personnes!$C$5:$C$154,MATCH($B44,Personnes!$B$5:$B$154,0))&amp;"","")</f>
        <v/>
      </c>
      <c r="D44" s="10" t="str">
        <f>IFERROR(INDEX(Personnes!$D$5:$D$154,MATCH($B44,Personnes!$B$5:$B$154,0))&amp;"","")</f>
        <v/>
      </c>
      <c r="E44" s="22"/>
      <c r="F44" s="22"/>
      <c r="G44" s="22"/>
      <c r="H44" s="22"/>
      <c r="I44" s="22"/>
      <c r="J44" s="22"/>
      <c r="K44" s="22"/>
      <c r="L44" s="22"/>
      <c r="M44" s="10" t="str">
        <f t="shared" si="2"/>
        <v/>
      </c>
      <c r="N44" s="10" t="str">
        <f t="shared" si="3"/>
        <v/>
      </c>
      <c r="O44" s="15"/>
      <c r="P44" s="14"/>
    </row>
    <row r="45" spans="1:16" x14ac:dyDescent="0.2">
      <c r="A45" s="7">
        <v>40</v>
      </c>
      <c r="B45" s="10" t="str">
        <f>IFERROR(INDEX(Personnes!$B$5:$B$154,MATCH(40,Personnes!$L$5:$L$154,0)),"")</f>
        <v/>
      </c>
      <c r="C45" s="10" t="str">
        <f>IFERROR(INDEX(Personnes!$C$5:$C$154,MATCH($B45,Personnes!$B$5:$B$154,0))&amp;"","")</f>
        <v/>
      </c>
      <c r="D45" s="10" t="str">
        <f>IFERROR(INDEX(Personnes!$D$5:$D$154,MATCH($B45,Personnes!$B$5:$B$154,0))&amp;"","")</f>
        <v/>
      </c>
      <c r="E45" s="22"/>
      <c r="F45" s="22"/>
      <c r="G45" s="22"/>
      <c r="H45" s="22"/>
      <c r="I45" s="22"/>
      <c r="J45" s="22"/>
      <c r="K45" s="22"/>
      <c r="L45" s="22"/>
      <c r="M45" s="10" t="str">
        <f t="shared" si="2"/>
        <v/>
      </c>
      <c r="N45" s="10" t="str">
        <f t="shared" si="3"/>
        <v/>
      </c>
      <c r="O45" s="15"/>
      <c r="P45" s="14"/>
    </row>
    <row r="46" spans="1:16" x14ac:dyDescent="0.2">
      <c r="A46" s="7">
        <v>41</v>
      </c>
      <c r="B46" s="10" t="str">
        <f>IFERROR(INDEX(Personnes!$B$5:$B$154,MATCH(41,Personnes!$L$5:$L$154,0)),"")</f>
        <v/>
      </c>
      <c r="C46" s="10" t="str">
        <f>IFERROR(INDEX(Personnes!$C$5:$C$154,MATCH($B46,Personnes!$B$5:$B$154,0))&amp;"","")</f>
        <v/>
      </c>
      <c r="D46" s="10" t="str">
        <f>IFERROR(INDEX(Personnes!$D$5:$D$154,MATCH($B46,Personnes!$B$5:$B$154,0))&amp;"","")</f>
        <v/>
      </c>
      <c r="E46" s="22"/>
      <c r="F46" s="22"/>
      <c r="G46" s="22"/>
      <c r="H46" s="22"/>
      <c r="I46" s="22"/>
      <c r="J46" s="22"/>
      <c r="K46" s="22"/>
      <c r="L46" s="22"/>
      <c r="M46" s="10" t="str">
        <f t="shared" si="2"/>
        <v/>
      </c>
      <c r="N46" s="10" t="str">
        <f t="shared" si="3"/>
        <v/>
      </c>
      <c r="O46" s="15"/>
      <c r="P46" s="14"/>
    </row>
    <row r="47" spans="1:16" x14ac:dyDescent="0.2">
      <c r="A47" s="7">
        <v>42</v>
      </c>
      <c r="B47" s="10" t="str">
        <f>IFERROR(INDEX(Personnes!$B$5:$B$154,MATCH(42,Personnes!$L$5:$L$154,0)),"")</f>
        <v/>
      </c>
      <c r="C47" s="10" t="str">
        <f>IFERROR(INDEX(Personnes!$C$5:$C$154,MATCH($B47,Personnes!$B$5:$B$154,0))&amp;"","")</f>
        <v/>
      </c>
      <c r="D47" s="10" t="str">
        <f>IFERROR(INDEX(Personnes!$D$5:$D$154,MATCH($B47,Personnes!$B$5:$B$154,0))&amp;"","")</f>
        <v/>
      </c>
      <c r="E47" s="22"/>
      <c r="F47" s="22"/>
      <c r="G47" s="22"/>
      <c r="H47" s="22"/>
      <c r="I47" s="22"/>
      <c r="J47" s="22"/>
      <c r="K47" s="22"/>
      <c r="L47" s="22"/>
      <c r="M47" s="10" t="str">
        <f t="shared" si="2"/>
        <v/>
      </c>
      <c r="N47" s="10" t="str">
        <f t="shared" si="3"/>
        <v/>
      </c>
      <c r="O47" s="15"/>
      <c r="P47" s="14"/>
    </row>
    <row r="48" spans="1:16" x14ac:dyDescent="0.2">
      <c r="A48" s="7">
        <v>43</v>
      </c>
      <c r="B48" s="10" t="str">
        <f>IFERROR(INDEX(Personnes!$B$5:$B$154,MATCH(43,Personnes!$L$5:$L$154,0)),"")</f>
        <v/>
      </c>
      <c r="C48" s="10" t="str">
        <f>IFERROR(INDEX(Personnes!$C$5:$C$154,MATCH($B48,Personnes!$B$5:$B$154,0))&amp;"","")</f>
        <v/>
      </c>
      <c r="D48" s="10" t="str">
        <f>IFERROR(INDEX(Personnes!$D$5:$D$154,MATCH($B48,Personnes!$B$5:$B$154,0))&amp;"","")</f>
        <v/>
      </c>
      <c r="E48" s="22"/>
      <c r="F48" s="22"/>
      <c r="G48" s="22"/>
      <c r="H48" s="22"/>
      <c r="I48" s="22"/>
      <c r="J48" s="22"/>
      <c r="K48" s="22"/>
      <c r="L48" s="22"/>
      <c r="M48" s="10" t="str">
        <f t="shared" si="2"/>
        <v/>
      </c>
      <c r="N48" s="10" t="str">
        <f t="shared" si="3"/>
        <v/>
      </c>
      <c r="O48" s="15"/>
      <c r="P48" s="14"/>
    </row>
    <row r="49" spans="1:16" x14ac:dyDescent="0.2">
      <c r="A49" s="7">
        <v>44</v>
      </c>
      <c r="B49" s="10" t="str">
        <f>IFERROR(INDEX(Personnes!$B$5:$B$154,MATCH(44,Personnes!$L$5:$L$154,0)),"")</f>
        <v/>
      </c>
      <c r="C49" s="10" t="str">
        <f>IFERROR(INDEX(Personnes!$C$5:$C$154,MATCH($B49,Personnes!$B$5:$B$154,0))&amp;"","")</f>
        <v/>
      </c>
      <c r="D49" s="10" t="str">
        <f>IFERROR(INDEX(Personnes!$D$5:$D$154,MATCH($B49,Personnes!$B$5:$B$154,0))&amp;"","")</f>
        <v/>
      </c>
      <c r="E49" s="22"/>
      <c r="F49" s="22"/>
      <c r="G49" s="22"/>
      <c r="H49" s="22"/>
      <c r="I49" s="22"/>
      <c r="J49" s="22"/>
      <c r="K49" s="22"/>
      <c r="L49" s="22"/>
      <c r="M49" s="10" t="str">
        <f t="shared" si="2"/>
        <v/>
      </c>
      <c r="N49" s="10" t="str">
        <f t="shared" si="3"/>
        <v/>
      </c>
      <c r="O49" s="15"/>
      <c r="P49" s="14"/>
    </row>
    <row r="50" spans="1:16" x14ac:dyDescent="0.2">
      <c r="A50" s="7">
        <v>45</v>
      </c>
      <c r="B50" s="10" t="str">
        <f>IFERROR(INDEX(Personnes!$B$5:$B$154,MATCH(45,Personnes!$L$5:$L$154,0)),"")</f>
        <v/>
      </c>
      <c r="C50" s="10" t="str">
        <f>IFERROR(INDEX(Personnes!$C$5:$C$154,MATCH($B50,Personnes!$B$5:$B$154,0))&amp;"","")</f>
        <v/>
      </c>
      <c r="D50" s="10" t="str">
        <f>IFERROR(INDEX(Personnes!$D$5:$D$154,MATCH($B50,Personnes!$B$5:$B$154,0))&amp;"","")</f>
        <v/>
      </c>
      <c r="E50" s="22"/>
      <c r="F50" s="22"/>
      <c r="G50" s="22"/>
      <c r="H50" s="22"/>
      <c r="I50" s="22"/>
      <c r="J50" s="22"/>
      <c r="K50" s="22"/>
      <c r="L50" s="22"/>
      <c r="M50" s="10" t="str">
        <f t="shared" si="2"/>
        <v/>
      </c>
      <c r="N50" s="10" t="str">
        <f t="shared" si="3"/>
        <v/>
      </c>
      <c r="O50" s="15"/>
      <c r="P50" s="14"/>
    </row>
    <row r="51" spans="1:16" x14ac:dyDescent="0.2">
      <c r="A51" s="7">
        <v>46</v>
      </c>
      <c r="B51" s="10" t="str">
        <f>IFERROR(INDEX(Personnes!$B$5:$B$154,MATCH(46,Personnes!$L$5:$L$154,0)),"")</f>
        <v/>
      </c>
      <c r="C51" s="10" t="str">
        <f>IFERROR(INDEX(Personnes!$C$5:$C$154,MATCH($B51,Personnes!$B$5:$B$154,0))&amp;"","")</f>
        <v/>
      </c>
      <c r="D51" s="10" t="str">
        <f>IFERROR(INDEX(Personnes!$D$5:$D$154,MATCH($B51,Personnes!$B$5:$B$154,0))&amp;"","")</f>
        <v/>
      </c>
      <c r="E51" s="22"/>
      <c r="F51" s="22"/>
      <c r="G51" s="22"/>
      <c r="H51" s="22"/>
      <c r="I51" s="22"/>
      <c r="J51" s="22"/>
      <c r="K51" s="22"/>
      <c r="L51" s="22"/>
      <c r="M51" s="10" t="str">
        <f t="shared" si="2"/>
        <v/>
      </c>
      <c r="N51" s="10" t="str">
        <f t="shared" si="3"/>
        <v/>
      </c>
      <c r="O51" s="15"/>
      <c r="P51" s="14"/>
    </row>
    <row r="52" spans="1:16" x14ac:dyDescent="0.2">
      <c r="A52" s="7">
        <v>47</v>
      </c>
      <c r="B52" s="10" t="str">
        <f>IFERROR(INDEX(Personnes!$B$5:$B$154,MATCH(47,Personnes!$L$5:$L$154,0)),"")</f>
        <v/>
      </c>
      <c r="C52" s="10" t="str">
        <f>IFERROR(INDEX(Personnes!$C$5:$C$154,MATCH($B52,Personnes!$B$5:$B$154,0))&amp;"","")</f>
        <v/>
      </c>
      <c r="D52" s="10" t="str">
        <f>IFERROR(INDEX(Personnes!$D$5:$D$154,MATCH($B52,Personnes!$B$5:$B$154,0))&amp;"","")</f>
        <v/>
      </c>
      <c r="E52" s="22"/>
      <c r="F52" s="22"/>
      <c r="G52" s="22"/>
      <c r="H52" s="22"/>
      <c r="I52" s="22"/>
      <c r="J52" s="22"/>
      <c r="K52" s="22"/>
      <c r="L52" s="22"/>
      <c r="M52" s="10" t="str">
        <f t="shared" si="2"/>
        <v/>
      </c>
      <c r="N52" s="10" t="str">
        <f t="shared" si="3"/>
        <v/>
      </c>
      <c r="O52" s="15"/>
      <c r="P52" s="14"/>
    </row>
    <row r="53" spans="1:16" x14ac:dyDescent="0.2">
      <c r="A53" s="7">
        <v>48</v>
      </c>
      <c r="B53" s="10" t="str">
        <f>IFERROR(INDEX(Personnes!$B$5:$B$154,MATCH(48,Personnes!$L$5:$L$154,0)),"")</f>
        <v/>
      </c>
      <c r="C53" s="10" t="str">
        <f>IFERROR(INDEX(Personnes!$C$5:$C$154,MATCH($B53,Personnes!$B$5:$B$154,0))&amp;"","")</f>
        <v/>
      </c>
      <c r="D53" s="10" t="str">
        <f>IFERROR(INDEX(Personnes!$D$5:$D$154,MATCH($B53,Personnes!$B$5:$B$154,0))&amp;"","")</f>
        <v/>
      </c>
      <c r="E53" s="22"/>
      <c r="F53" s="22"/>
      <c r="G53" s="22"/>
      <c r="H53" s="22"/>
      <c r="I53" s="22"/>
      <c r="J53" s="22"/>
      <c r="K53" s="22"/>
      <c r="L53" s="22"/>
      <c r="M53" s="10" t="str">
        <f t="shared" si="2"/>
        <v/>
      </c>
      <c r="N53" s="10" t="str">
        <f t="shared" si="3"/>
        <v/>
      </c>
      <c r="O53" s="15"/>
      <c r="P53" s="14"/>
    </row>
    <row r="54" spans="1:16" x14ac:dyDescent="0.2">
      <c r="A54" s="7">
        <v>49</v>
      </c>
      <c r="B54" s="10" t="str">
        <f>IFERROR(INDEX(Personnes!$B$5:$B$154,MATCH(49,Personnes!$L$5:$L$154,0)),"")</f>
        <v/>
      </c>
      <c r="C54" s="10" t="str">
        <f>IFERROR(INDEX(Personnes!$C$5:$C$154,MATCH($B54,Personnes!$B$5:$B$154,0))&amp;"","")</f>
        <v/>
      </c>
      <c r="D54" s="10" t="str">
        <f>IFERROR(INDEX(Personnes!$D$5:$D$154,MATCH($B54,Personnes!$B$5:$B$154,0))&amp;"","")</f>
        <v/>
      </c>
      <c r="E54" s="22"/>
      <c r="F54" s="22"/>
      <c r="G54" s="22"/>
      <c r="H54" s="22"/>
      <c r="I54" s="22"/>
      <c r="J54" s="22"/>
      <c r="K54" s="22"/>
      <c r="L54" s="22"/>
      <c r="M54" s="10" t="str">
        <f t="shared" si="2"/>
        <v/>
      </c>
      <c r="N54" s="10" t="str">
        <f t="shared" si="3"/>
        <v/>
      </c>
      <c r="O54" s="15"/>
      <c r="P54" s="14"/>
    </row>
    <row r="55" spans="1:16" x14ac:dyDescent="0.2">
      <c r="A55" s="7">
        <v>50</v>
      </c>
      <c r="B55" s="10" t="str">
        <f>IFERROR(INDEX(Personnes!$B$5:$B$154,MATCH(50,Personnes!$L$5:$L$154,0)),"")</f>
        <v/>
      </c>
      <c r="C55" s="10" t="str">
        <f>IFERROR(INDEX(Personnes!$C$5:$C$154,MATCH($B55,Personnes!$B$5:$B$154,0))&amp;"","")</f>
        <v/>
      </c>
      <c r="D55" s="10" t="str">
        <f>IFERROR(INDEX(Personnes!$D$5:$D$154,MATCH($B55,Personnes!$B$5:$B$154,0))&amp;"","")</f>
        <v/>
      </c>
      <c r="E55" s="22"/>
      <c r="F55" s="22"/>
      <c r="G55" s="22"/>
      <c r="H55" s="22"/>
      <c r="I55" s="22"/>
      <c r="J55" s="22"/>
      <c r="K55" s="22"/>
      <c r="L55" s="22"/>
      <c r="M55" s="10" t="str">
        <f t="shared" si="2"/>
        <v/>
      </c>
      <c r="N55" s="10" t="str">
        <f t="shared" si="3"/>
        <v/>
      </c>
      <c r="O55" s="15"/>
      <c r="P55" s="14"/>
    </row>
    <row r="56" spans="1:16" x14ac:dyDescent="0.2">
      <c r="A56" s="7">
        <v>51</v>
      </c>
      <c r="B56" s="10" t="str">
        <f>IFERROR(INDEX(Personnes!$B$5:$B$154,MATCH(51,Personnes!$L$5:$L$154,0)),"")</f>
        <v/>
      </c>
      <c r="C56" s="10" t="str">
        <f>IFERROR(INDEX(Personnes!$C$5:$C$154,MATCH($B56,Personnes!$B$5:$B$154,0))&amp;"","")</f>
        <v/>
      </c>
      <c r="D56" s="10" t="str">
        <f>IFERROR(INDEX(Personnes!$D$5:$D$154,MATCH($B56,Personnes!$B$5:$B$154,0))&amp;"","")</f>
        <v/>
      </c>
      <c r="E56" s="22"/>
      <c r="F56" s="22"/>
      <c r="G56" s="22"/>
      <c r="H56" s="22"/>
      <c r="I56" s="22"/>
      <c r="J56" s="22"/>
      <c r="K56" s="22"/>
      <c r="L56" s="22"/>
      <c r="M56" s="10" t="str">
        <f t="shared" si="2"/>
        <v/>
      </c>
      <c r="N56" s="10" t="str">
        <f t="shared" si="3"/>
        <v/>
      </c>
      <c r="O56" s="15"/>
      <c r="P56" s="14"/>
    </row>
    <row r="57" spans="1:16" x14ac:dyDescent="0.2">
      <c r="A57" s="7">
        <v>52</v>
      </c>
      <c r="B57" s="10" t="str">
        <f>IFERROR(INDEX(Personnes!$B$5:$B$154,MATCH(52,Personnes!$L$5:$L$154,0)),"")</f>
        <v/>
      </c>
      <c r="C57" s="10" t="str">
        <f>IFERROR(INDEX(Personnes!$C$5:$C$154,MATCH($B57,Personnes!$B$5:$B$154,0))&amp;"","")</f>
        <v/>
      </c>
      <c r="D57" s="10" t="str">
        <f>IFERROR(INDEX(Personnes!$D$5:$D$154,MATCH($B57,Personnes!$B$5:$B$154,0))&amp;"","")</f>
        <v/>
      </c>
      <c r="E57" s="22"/>
      <c r="F57" s="22"/>
      <c r="G57" s="22"/>
      <c r="H57" s="22"/>
      <c r="I57" s="22"/>
      <c r="J57" s="22"/>
      <c r="K57" s="22"/>
      <c r="L57" s="22"/>
      <c r="M57" s="10" t="str">
        <f t="shared" si="2"/>
        <v/>
      </c>
      <c r="N57" s="10" t="str">
        <f t="shared" si="3"/>
        <v/>
      </c>
      <c r="O57" s="15"/>
      <c r="P57" s="14"/>
    </row>
    <row r="58" spans="1:16" x14ac:dyDescent="0.2">
      <c r="A58" s="7">
        <v>53</v>
      </c>
      <c r="B58" s="10" t="str">
        <f>IFERROR(INDEX(Personnes!$B$5:$B$154,MATCH(53,Personnes!$L$5:$L$154,0)),"")</f>
        <v/>
      </c>
      <c r="C58" s="10" t="str">
        <f>IFERROR(INDEX(Personnes!$C$5:$C$154,MATCH($B58,Personnes!$B$5:$B$154,0))&amp;"","")</f>
        <v/>
      </c>
      <c r="D58" s="10" t="str">
        <f>IFERROR(INDEX(Personnes!$D$5:$D$154,MATCH($B58,Personnes!$B$5:$B$154,0))&amp;"","")</f>
        <v/>
      </c>
      <c r="E58" s="22"/>
      <c r="F58" s="22"/>
      <c r="G58" s="22"/>
      <c r="H58" s="22"/>
      <c r="I58" s="22"/>
      <c r="J58" s="22"/>
      <c r="K58" s="22"/>
      <c r="L58" s="22"/>
      <c r="M58" s="10" t="str">
        <f t="shared" si="2"/>
        <v/>
      </c>
      <c r="N58" s="10" t="str">
        <f t="shared" si="3"/>
        <v/>
      </c>
      <c r="O58" s="15"/>
      <c r="P58" s="14"/>
    </row>
    <row r="59" spans="1:16" x14ac:dyDescent="0.2">
      <c r="A59" s="7">
        <v>54</v>
      </c>
      <c r="B59" s="10" t="str">
        <f>IFERROR(INDEX(Personnes!$B$5:$B$154,MATCH(54,Personnes!$L$5:$L$154,0)),"")</f>
        <v/>
      </c>
      <c r="C59" s="10" t="str">
        <f>IFERROR(INDEX(Personnes!$C$5:$C$154,MATCH($B59,Personnes!$B$5:$B$154,0))&amp;"","")</f>
        <v/>
      </c>
      <c r="D59" s="10" t="str">
        <f>IFERROR(INDEX(Personnes!$D$5:$D$154,MATCH($B59,Personnes!$B$5:$B$154,0))&amp;"","")</f>
        <v/>
      </c>
      <c r="E59" s="22"/>
      <c r="F59" s="22"/>
      <c r="G59" s="22"/>
      <c r="H59" s="22"/>
      <c r="I59" s="22"/>
      <c r="J59" s="22"/>
      <c r="K59" s="22"/>
      <c r="L59" s="22"/>
      <c r="M59" s="10" t="str">
        <f t="shared" si="2"/>
        <v/>
      </c>
      <c r="N59" s="10" t="str">
        <f t="shared" si="3"/>
        <v/>
      </c>
      <c r="O59" s="15"/>
      <c r="P59" s="14"/>
    </row>
    <row r="60" spans="1:16" x14ac:dyDescent="0.2">
      <c r="A60" s="7">
        <v>55</v>
      </c>
      <c r="B60" s="10" t="str">
        <f>IFERROR(INDEX(Personnes!$B$5:$B$154,MATCH(55,Personnes!$L$5:$L$154,0)),"")</f>
        <v/>
      </c>
      <c r="C60" s="10" t="str">
        <f>IFERROR(INDEX(Personnes!$C$5:$C$154,MATCH($B60,Personnes!$B$5:$B$154,0))&amp;"","")</f>
        <v/>
      </c>
      <c r="D60" s="10" t="str">
        <f>IFERROR(INDEX(Personnes!$D$5:$D$154,MATCH($B60,Personnes!$B$5:$B$154,0))&amp;"","")</f>
        <v/>
      </c>
      <c r="E60" s="22"/>
      <c r="F60" s="22"/>
      <c r="G60" s="22"/>
      <c r="H60" s="22"/>
      <c r="I60" s="22"/>
      <c r="J60" s="22"/>
      <c r="K60" s="22"/>
      <c r="L60" s="22"/>
      <c r="M60" s="10" t="str">
        <f t="shared" si="2"/>
        <v/>
      </c>
      <c r="N60" s="10" t="str">
        <f t="shared" si="3"/>
        <v/>
      </c>
      <c r="O60" s="15"/>
      <c r="P60" s="14"/>
    </row>
    <row r="61" spans="1:16" x14ac:dyDescent="0.2">
      <c r="A61" s="7">
        <v>56</v>
      </c>
      <c r="B61" s="10" t="str">
        <f>IFERROR(INDEX(Personnes!$B$5:$B$154,MATCH(56,Personnes!$L$5:$L$154,0)),"")</f>
        <v/>
      </c>
      <c r="C61" s="10" t="str">
        <f>IFERROR(INDEX(Personnes!$C$5:$C$154,MATCH($B61,Personnes!$B$5:$B$154,0))&amp;"","")</f>
        <v/>
      </c>
      <c r="D61" s="10" t="str">
        <f>IFERROR(INDEX(Personnes!$D$5:$D$154,MATCH($B61,Personnes!$B$5:$B$154,0))&amp;"","")</f>
        <v/>
      </c>
      <c r="E61" s="22"/>
      <c r="F61" s="22"/>
      <c r="G61" s="22"/>
      <c r="H61" s="22"/>
      <c r="I61" s="22"/>
      <c r="J61" s="22"/>
      <c r="K61" s="22"/>
      <c r="L61" s="22"/>
      <c r="M61" s="10" t="str">
        <f t="shared" si="2"/>
        <v/>
      </c>
      <c r="N61" s="10" t="str">
        <f t="shared" si="3"/>
        <v/>
      </c>
      <c r="O61" s="15"/>
      <c r="P61" s="14"/>
    </row>
    <row r="62" spans="1:16" x14ac:dyDescent="0.2">
      <c r="A62" s="7">
        <v>57</v>
      </c>
      <c r="B62" s="10" t="str">
        <f>IFERROR(INDEX(Personnes!$B$5:$B$154,MATCH(57,Personnes!$L$5:$L$154,0)),"")</f>
        <v/>
      </c>
      <c r="C62" s="10" t="str">
        <f>IFERROR(INDEX(Personnes!$C$5:$C$154,MATCH($B62,Personnes!$B$5:$B$154,0))&amp;"","")</f>
        <v/>
      </c>
      <c r="D62" s="10" t="str">
        <f>IFERROR(INDEX(Personnes!$D$5:$D$154,MATCH($B62,Personnes!$B$5:$B$154,0))&amp;"","")</f>
        <v/>
      </c>
      <c r="E62" s="22"/>
      <c r="F62" s="22"/>
      <c r="G62" s="22"/>
      <c r="H62" s="22"/>
      <c r="I62" s="22"/>
      <c r="J62" s="22"/>
      <c r="K62" s="22"/>
      <c r="L62" s="22"/>
      <c r="M62" s="10" t="str">
        <f t="shared" si="2"/>
        <v/>
      </c>
      <c r="N62" s="10" t="str">
        <f t="shared" si="3"/>
        <v/>
      </c>
      <c r="O62" s="15"/>
      <c r="P62" s="14"/>
    </row>
    <row r="63" spans="1:16" x14ac:dyDescent="0.2">
      <c r="A63" s="7">
        <v>58</v>
      </c>
      <c r="B63" s="10" t="str">
        <f>IFERROR(INDEX(Personnes!$B$5:$B$154,MATCH(58,Personnes!$L$5:$L$154,0)),"")</f>
        <v/>
      </c>
      <c r="C63" s="10" t="str">
        <f>IFERROR(INDEX(Personnes!$C$5:$C$154,MATCH($B63,Personnes!$B$5:$B$154,0))&amp;"","")</f>
        <v/>
      </c>
      <c r="D63" s="10" t="str">
        <f>IFERROR(INDEX(Personnes!$D$5:$D$154,MATCH($B63,Personnes!$B$5:$B$154,0))&amp;"","")</f>
        <v/>
      </c>
      <c r="E63" s="22"/>
      <c r="F63" s="22"/>
      <c r="G63" s="22"/>
      <c r="H63" s="22"/>
      <c r="I63" s="22"/>
      <c r="J63" s="22"/>
      <c r="K63" s="22"/>
      <c r="L63" s="22"/>
      <c r="M63" s="10" t="str">
        <f t="shared" si="2"/>
        <v/>
      </c>
      <c r="N63" s="10" t="str">
        <f t="shared" si="3"/>
        <v/>
      </c>
      <c r="O63" s="15"/>
      <c r="P63" s="14"/>
    </row>
    <row r="64" spans="1:16" x14ac:dyDescent="0.2">
      <c r="A64" s="7">
        <v>59</v>
      </c>
      <c r="B64" s="10" t="str">
        <f>IFERROR(INDEX(Personnes!$B$5:$B$154,MATCH(59,Personnes!$L$5:$L$154,0)),"")</f>
        <v/>
      </c>
      <c r="C64" s="10" t="str">
        <f>IFERROR(INDEX(Personnes!$C$5:$C$154,MATCH($B64,Personnes!$B$5:$B$154,0))&amp;"","")</f>
        <v/>
      </c>
      <c r="D64" s="10" t="str">
        <f>IFERROR(INDEX(Personnes!$D$5:$D$154,MATCH($B64,Personnes!$B$5:$B$154,0))&amp;"","")</f>
        <v/>
      </c>
      <c r="E64" s="22"/>
      <c r="F64" s="22"/>
      <c r="G64" s="22"/>
      <c r="H64" s="22"/>
      <c r="I64" s="22"/>
      <c r="J64" s="22"/>
      <c r="K64" s="22"/>
      <c r="L64" s="22"/>
      <c r="M64" s="10" t="str">
        <f t="shared" si="2"/>
        <v/>
      </c>
      <c r="N64" s="10" t="str">
        <f t="shared" si="3"/>
        <v/>
      </c>
      <c r="O64" s="15"/>
      <c r="P64" s="14"/>
    </row>
    <row r="65" spans="1:16" x14ac:dyDescent="0.2">
      <c r="A65" s="7">
        <v>60</v>
      </c>
      <c r="B65" s="10" t="str">
        <f>IFERROR(INDEX(Personnes!$B$5:$B$154,MATCH(60,Personnes!$L$5:$L$154,0)),"")</f>
        <v/>
      </c>
      <c r="C65" s="10" t="str">
        <f>IFERROR(INDEX(Personnes!$C$5:$C$154,MATCH($B65,Personnes!$B$5:$B$154,0))&amp;"","")</f>
        <v/>
      </c>
      <c r="D65" s="10" t="str">
        <f>IFERROR(INDEX(Personnes!$D$5:$D$154,MATCH($B65,Personnes!$B$5:$B$154,0))&amp;"","")</f>
        <v/>
      </c>
      <c r="E65" s="22"/>
      <c r="F65" s="22"/>
      <c r="G65" s="22"/>
      <c r="H65" s="22"/>
      <c r="I65" s="22"/>
      <c r="J65" s="22"/>
      <c r="K65" s="22"/>
      <c r="L65" s="22"/>
      <c r="M65" s="10" t="str">
        <f t="shared" si="2"/>
        <v/>
      </c>
      <c r="N65" s="10" t="str">
        <f t="shared" si="3"/>
        <v/>
      </c>
      <c r="O65" s="15"/>
      <c r="P65" s="14"/>
    </row>
    <row r="66" spans="1:16" x14ac:dyDescent="0.2">
      <c r="A66" s="7">
        <v>61</v>
      </c>
      <c r="B66" s="10" t="str">
        <f>IFERROR(INDEX(Personnes!$B$5:$B$154,MATCH(61,Personnes!$L$5:$L$154,0)),"")</f>
        <v/>
      </c>
      <c r="C66" s="10" t="str">
        <f>IFERROR(INDEX(Personnes!$C$5:$C$154,MATCH($B66,Personnes!$B$5:$B$154,0))&amp;"","")</f>
        <v/>
      </c>
      <c r="D66" s="10" t="str">
        <f>IFERROR(INDEX(Personnes!$D$5:$D$154,MATCH($B66,Personnes!$B$5:$B$154,0))&amp;"","")</f>
        <v/>
      </c>
      <c r="E66" s="22"/>
      <c r="F66" s="22"/>
      <c r="G66" s="22"/>
      <c r="H66" s="22"/>
      <c r="I66" s="22"/>
      <c r="J66" s="22"/>
      <c r="K66" s="22"/>
      <c r="L66" s="22"/>
      <c r="M66" s="10" t="str">
        <f t="shared" si="2"/>
        <v/>
      </c>
      <c r="N66" s="10" t="str">
        <f t="shared" si="3"/>
        <v/>
      </c>
      <c r="O66" s="15"/>
      <c r="P66" s="14"/>
    </row>
    <row r="67" spans="1:16" x14ac:dyDescent="0.2">
      <c r="A67" s="7">
        <v>62</v>
      </c>
      <c r="B67" s="10" t="str">
        <f>IFERROR(INDEX(Personnes!$B$5:$B$154,MATCH(62,Personnes!$L$5:$L$154,0)),"")</f>
        <v/>
      </c>
      <c r="C67" s="10" t="str">
        <f>IFERROR(INDEX(Personnes!$C$5:$C$154,MATCH($B67,Personnes!$B$5:$B$154,0))&amp;"","")</f>
        <v/>
      </c>
      <c r="D67" s="10" t="str">
        <f>IFERROR(INDEX(Personnes!$D$5:$D$154,MATCH($B67,Personnes!$B$5:$B$154,0))&amp;"","")</f>
        <v/>
      </c>
      <c r="E67" s="22"/>
      <c r="F67" s="22"/>
      <c r="G67" s="22"/>
      <c r="H67" s="22"/>
      <c r="I67" s="22"/>
      <c r="J67" s="22"/>
      <c r="K67" s="22"/>
      <c r="L67" s="22"/>
      <c r="M67" s="10" t="str">
        <f t="shared" si="2"/>
        <v/>
      </c>
      <c r="N67" s="10" t="str">
        <f t="shared" si="3"/>
        <v/>
      </c>
      <c r="O67" s="15"/>
      <c r="P67" s="14"/>
    </row>
    <row r="68" spans="1:16" x14ac:dyDescent="0.2">
      <c r="A68" s="7">
        <v>63</v>
      </c>
      <c r="B68" s="10" t="str">
        <f>IFERROR(INDEX(Personnes!$B$5:$B$154,MATCH(63,Personnes!$L$5:$L$154,0)),"")</f>
        <v/>
      </c>
      <c r="C68" s="10" t="str">
        <f>IFERROR(INDEX(Personnes!$C$5:$C$154,MATCH($B68,Personnes!$B$5:$B$154,0))&amp;"","")</f>
        <v/>
      </c>
      <c r="D68" s="10" t="str">
        <f>IFERROR(INDEX(Personnes!$D$5:$D$154,MATCH($B68,Personnes!$B$5:$B$154,0))&amp;"","")</f>
        <v/>
      </c>
      <c r="E68" s="22"/>
      <c r="F68" s="22"/>
      <c r="G68" s="22"/>
      <c r="H68" s="22"/>
      <c r="I68" s="22"/>
      <c r="J68" s="22"/>
      <c r="K68" s="22"/>
      <c r="L68" s="22"/>
      <c r="M68" s="10" t="str">
        <f t="shared" si="2"/>
        <v/>
      </c>
      <c r="N68" s="10" t="str">
        <f t="shared" si="3"/>
        <v/>
      </c>
      <c r="O68" s="15"/>
      <c r="P68" s="14"/>
    </row>
    <row r="69" spans="1:16" x14ac:dyDescent="0.2">
      <c r="A69" s="7">
        <v>64</v>
      </c>
      <c r="B69" s="10" t="str">
        <f>IFERROR(INDEX(Personnes!$B$5:$B$154,MATCH(64,Personnes!$L$5:$L$154,0)),"")</f>
        <v/>
      </c>
      <c r="C69" s="10" t="str">
        <f>IFERROR(INDEX(Personnes!$C$5:$C$154,MATCH($B69,Personnes!$B$5:$B$154,0))&amp;"","")</f>
        <v/>
      </c>
      <c r="D69" s="10" t="str">
        <f>IFERROR(INDEX(Personnes!$D$5:$D$154,MATCH($B69,Personnes!$B$5:$B$154,0))&amp;"","")</f>
        <v/>
      </c>
      <c r="E69" s="22"/>
      <c r="F69" s="22"/>
      <c r="G69" s="22"/>
      <c r="H69" s="22"/>
      <c r="I69" s="22"/>
      <c r="J69" s="22"/>
      <c r="K69" s="22"/>
      <c r="L69" s="22"/>
      <c r="M69" s="10" t="str">
        <f t="shared" si="2"/>
        <v/>
      </c>
      <c r="N69" s="10" t="str">
        <f t="shared" si="3"/>
        <v/>
      </c>
      <c r="O69" s="15"/>
      <c r="P69" s="14"/>
    </row>
    <row r="70" spans="1:16" x14ac:dyDescent="0.2">
      <c r="A70" s="7">
        <v>65</v>
      </c>
      <c r="B70" s="10" t="str">
        <f>IFERROR(INDEX(Personnes!$B$5:$B$154,MATCH(65,Personnes!$L$5:$L$154,0)),"")</f>
        <v/>
      </c>
      <c r="C70" s="10" t="str">
        <f>IFERROR(INDEX(Personnes!$C$5:$C$154,MATCH($B70,Personnes!$B$5:$B$154,0))&amp;"","")</f>
        <v/>
      </c>
      <c r="D70" s="10" t="str">
        <f>IFERROR(INDEX(Personnes!$D$5:$D$154,MATCH($B70,Personnes!$B$5:$B$154,0))&amp;"","")</f>
        <v/>
      </c>
      <c r="E70" s="22"/>
      <c r="F70" s="22"/>
      <c r="G70" s="22"/>
      <c r="H70" s="22"/>
      <c r="I70" s="22"/>
      <c r="J70" s="22"/>
      <c r="K70" s="22"/>
      <c r="L70" s="22"/>
      <c r="M70" s="10" t="str">
        <f t="shared" ref="M70:M105" si="4">IF($B70="","",COUNTIF($E70:$L70,"acquis")+COUNTIF($E70:$L70,"expert"))</f>
        <v/>
      </c>
      <c r="N70" s="10" t="str">
        <f t="shared" ref="N70:N105" si="5">IF($B70="","",SUMPRODUCT(($E70:$L70&lt;&gt;"")*($E70:$L70&lt;&gt;$E$4:$L$4)))</f>
        <v/>
      </c>
      <c r="O70" s="15"/>
      <c r="P70" s="14"/>
    </row>
    <row r="71" spans="1:16" x14ac:dyDescent="0.2">
      <c r="A71" s="7">
        <v>66</v>
      </c>
      <c r="B71" s="10" t="str">
        <f>IFERROR(INDEX(Personnes!$B$5:$B$154,MATCH(66,Personnes!$L$5:$L$154,0)),"")</f>
        <v/>
      </c>
      <c r="C71" s="10" t="str">
        <f>IFERROR(INDEX(Personnes!$C$5:$C$154,MATCH($B71,Personnes!$B$5:$B$154,0))&amp;"","")</f>
        <v/>
      </c>
      <c r="D71" s="10" t="str">
        <f>IFERROR(INDEX(Personnes!$D$5:$D$154,MATCH($B71,Personnes!$B$5:$B$154,0))&amp;"","")</f>
        <v/>
      </c>
      <c r="E71" s="22"/>
      <c r="F71" s="22"/>
      <c r="G71" s="22"/>
      <c r="H71" s="22"/>
      <c r="I71" s="22"/>
      <c r="J71" s="22"/>
      <c r="K71" s="22"/>
      <c r="L71" s="22"/>
      <c r="M71" s="10" t="str">
        <f t="shared" si="4"/>
        <v/>
      </c>
      <c r="N71" s="10" t="str">
        <f t="shared" si="5"/>
        <v/>
      </c>
      <c r="O71" s="15"/>
      <c r="P71" s="14"/>
    </row>
    <row r="72" spans="1:16" x14ac:dyDescent="0.2">
      <c r="A72" s="7">
        <v>67</v>
      </c>
      <c r="B72" s="10" t="str">
        <f>IFERROR(INDEX(Personnes!$B$5:$B$154,MATCH(67,Personnes!$L$5:$L$154,0)),"")</f>
        <v/>
      </c>
      <c r="C72" s="10" t="str">
        <f>IFERROR(INDEX(Personnes!$C$5:$C$154,MATCH($B72,Personnes!$B$5:$B$154,0))&amp;"","")</f>
        <v/>
      </c>
      <c r="D72" s="10" t="str">
        <f>IFERROR(INDEX(Personnes!$D$5:$D$154,MATCH($B72,Personnes!$B$5:$B$154,0))&amp;"","")</f>
        <v/>
      </c>
      <c r="E72" s="22"/>
      <c r="F72" s="22"/>
      <c r="G72" s="22"/>
      <c r="H72" s="22"/>
      <c r="I72" s="22"/>
      <c r="J72" s="22"/>
      <c r="K72" s="22"/>
      <c r="L72" s="22"/>
      <c r="M72" s="10" t="str">
        <f t="shared" si="4"/>
        <v/>
      </c>
      <c r="N72" s="10" t="str">
        <f t="shared" si="5"/>
        <v/>
      </c>
      <c r="O72" s="15"/>
      <c r="P72" s="14"/>
    </row>
    <row r="73" spans="1:16" x14ac:dyDescent="0.2">
      <c r="A73" s="7">
        <v>68</v>
      </c>
      <c r="B73" s="10" t="str">
        <f>IFERROR(INDEX(Personnes!$B$5:$B$154,MATCH(68,Personnes!$L$5:$L$154,0)),"")</f>
        <v/>
      </c>
      <c r="C73" s="10" t="str">
        <f>IFERROR(INDEX(Personnes!$C$5:$C$154,MATCH($B73,Personnes!$B$5:$B$154,0))&amp;"","")</f>
        <v/>
      </c>
      <c r="D73" s="10" t="str">
        <f>IFERROR(INDEX(Personnes!$D$5:$D$154,MATCH($B73,Personnes!$B$5:$B$154,0))&amp;"","")</f>
        <v/>
      </c>
      <c r="E73" s="22"/>
      <c r="F73" s="22"/>
      <c r="G73" s="22"/>
      <c r="H73" s="22"/>
      <c r="I73" s="22"/>
      <c r="J73" s="22"/>
      <c r="K73" s="22"/>
      <c r="L73" s="22"/>
      <c r="M73" s="10" t="str">
        <f t="shared" si="4"/>
        <v/>
      </c>
      <c r="N73" s="10" t="str">
        <f t="shared" si="5"/>
        <v/>
      </c>
      <c r="O73" s="15"/>
      <c r="P73" s="14"/>
    </row>
    <row r="74" spans="1:16" x14ac:dyDescent="0.2">
      <c r="A74" s="7">
        <v>69</v>
      </c>
      <c r="B74" s="10" t="str">
        <f>IFERROR(INDEX(Personnes!$B$5:$B$154,MATCH(69,Personnes!$L$5:$L$154,0)),"")</f>
        <v/>
      </c>
      <c r="C74" s="10" t="str">
        <f>IFERROR(INDEX(Personnes!$C$5:$C$154,MATCH($B74,Personnes!$B$5:$B$154,0))&amp;"","")</f>
        <v/>
      </c>
      <c r="D74" s="10" t="str">
        <f>IFERROR(INDEX(Personnes!$D$5:$D$154,MATCH($B74,Personnes!$B$5:$B$154,0))&amp;"","")</f>
        <v/>
      </c>
      <c r="E74" s="22"/>
      <c r="F74" s="22"/>
      <c r="G74" s="22"/>
      <c r="H74" s="22"/>
      <c r="I74" s="22"/>
      <c r="J74" s="22"/>
      <c r="K74" s="22"/>
      <c r="L74" s="22"/>
      <c r="M74" s="10" t="str">
        <f t="shared" si="4"/>
        <v/>
      </c>
      <c r="N74" s="10" t="str">
        <f t="shared" si="5"/>
        <v/>
      </c>
      <c r="O74" s="15"/>
      <c r="P74" s="14"/>
    </row>
    <row r="75" spans="1:16" x14ac:dyDescent="0.2">
      <c r="A75" s="7">
        <v>70</v>
      </c>
      <c r="B75" s="10" t="str">
        <f>IFERROR(INDEX(Personnes!$B$5:$B$154,MATCH(70,Personnes!$L$5:$L$154,0)),"")</f>
        <v/>
      </c>
      <c r="C75" s="10" t="str">
        <f>IFERROR(INDEX(Personnes!$C$5:$C$154,MATCH($B75,Personnes!$B$5:$B$154,0))&amp;"","")</f>
        <v/>
      </c>
      <c r="D75" s="10" t="str">
        <f>IFERROR(INDEX(Personnes!$D$5:$D$154,MATCH($B75,Personnes!$B$5:$B$154,0))&amp;"","")</f>
        <v/>
      </c>
      <c r="E75" s="22"/>
      <c r="F75" s="22"/>
      <c r="G75" s="22"/>
      <c r="H75" s="22"/>
      <c r="I75" s="22"/>
      <c r="J75" s="22"/>
      <c r="K75" s="22"/>
      <c r="L75" s="22"/>
      <c r="M75" s="10" t="str">
        <f t="shared" si="4"/>
        <v/>
      </c>
      <c r="N75" s="10" t="str">
        <f t="shared" si="5"/>
        <v/>
      </c>
      <c r="O75" s="15"/>
      <c r="P75" s="14"/>
    </row>
    <row r="76" spans="1:16" x14ac:dyDescent="0.2">
      <c r="A76" s="7">
        <v>71</v>
      </c>
      <c r="B76" s="10" t="str">
        <f>IFERROR(INDEX(Personnes!$B$5:$B$154,MATCH(71,Personnes!$L$5:$L$154,0)),"")</f>
        <v/>
      </c>
      <c r="C76" s="10" t="str">
        <f>IFERROR(INDEX(Personnes!$C$5:$C$154,MATCH($B76,Personnes!$B$5:$B$154,0))&amp;"","")</f>
        <v/>
      </c>
      <c r="D76" s="10" t="str">
        <f>IFERROR(INDEX(Personnes!$D$5:$D$154,MATCH($B76,Personnes!$B$5:$B$154,0))&amp;"","")</f>
        <v/>
      </c>
      <c r="E76" s="22"/>
      <c r="F76" s="22"/>
      <c r="G76" s="22"/>
      <c r="H76" s="22"/>
      <c r="I76" s="22"/>
      <c r="J76" s="22"/>
      <c r="K76" s="22"/>
      <c r="L76" s="22"/>
      <c r="M76" s="10" t="str">
        <f t="shared" si="4"/>
        <v/>
      </c>
      <c r="N76" s="10" t="str">
        <f t="shared" si="5"/>
        <v/>
      </c>
      <c r="O76" s="15"/>
      <c r="P76" s="14"/>
    </row>
    <row r="77" spans="1:16" x14ac:dyDescent="0.2">
      <c r="A77" s="7">
        <v>72</v>
      </c>
      <c r="B77" s="10" t="str">
        <f>IFERROR(INDEX(Personnes!$B$5:$B$154,MATCH(72,Personnes!$L$5:$L$154,0)),"")</f>
        <v/>
      </c>
      <c r="C77" s="10" t="str">
        <f>IFERROR(INDEX(Personnes!$C$5:$C$154,MATCH($B77,Personnes!$B$5:$B$154,0))&amp;"","")</f>
        <v/>
      </c>
      <c r="D77" s="10" t="str">
        <f>IFERROR(INDEX(Personnes!$D$5:$D$154,MATCH($B77,Personnes!$B$5:$B$154,0))&amp;"","")</f>
        <v/>
      </c>
      <c r="E77" s="22"/>
      <c r="F77" s="22"/>
      <c r="G77" s="22"/>
      <c r="H77" s="22"/>
      <c r="I77" s="22"/>
      <c r="J77" s="22"/>
      <c r="K77" s="22"/>
      <c r="L77" s="22"/>
      <c r="M77" s="10" t="str">
        <f t="shared" si="4"/>
        <v/>
      </c>
      <c r="N77" s="10" t="str">
        <f t="shared" si="5"/>
        <v/>
      </c>
      <c r="O77" s="15"/>
      <c r="P77" s="14"/>
    </row>
    <row r="78" spans="1:16" x14ac:dyDescent="0.2">
      <c r="A78" s="7">
        <v>73</v>
      </c>
      <c r="B78" s="10" t="str">
        <f>IFERROR(INDEX(Personnes!$B$5:$B$154,MATCH(73,Personnes!$L$5:$L$154,0)),"")</f>
        <v/>
      </c>
      <c r="C78" s="10" t="str">
        <f>IFERROR(INDEX(Personnes!$C$5:$C$154,MATCH($B78,Personnes!$B$5:$B$154,0))&amp;"","")</f>
        <v/>
      </c>
      <c r="D78" s="10" t="str">
        <f>IFERROR(INDEX(Personnes!$D$5:$D$154,MATCH($B78,Personnes!$B$5:$B$154,0))&amp;"","")</f>
        <v/>
      </c>
      <c r="E78" s="22"/>
      <c r="F78" s="22"/>
      <c r="G78" s="22"/>
      <c r="H78" s="22"/>
      <c r="I78" s="22"/>
      <c r="J78" s="22"/>
      <c r="K78" s="22"/>
      <c r="L78" s="22"/>
      <c r="M78" s="10" t="str">
        <f t="shared" si="4"/>
        <v/>
      </c>
      <c r="N78" s="10" t="str">
        <f t="shared" si="5"/>
        <v/>
      </c>
      <c r="O78" s="15"/>
      <c r="P78" s="14"/>
    </row>
    <row r="79" spans="1:16" x14ac:dyDescent="0.2">
      <c r="A79" s="7">
        <v>74</v>
      </c>
      <c r="B79" s="10" t="str">
        <f>IFERROR(INDEX(Personnes!$B$5:$B$154,MATCH(74,Personnes!$L$5:$L$154,0)),"")</f>
        <v/>
      </c>
      <c r="C79" s="10" t="str">
        <f>IFERROR(INDEX(Personnes!$C$5:$C$154,MATCH($B79,Personnes!$B$5:$B$154,0))&amp;"","")</f>
        <v/>
      </c>
      <c r="D79" s="10" t="str">
        <f>IFERROR(INDEX(Personnes!$D$5:$D$154,MATCH($B79,Personnes!$B$5:$B$154,0))&amp;"","")</f>
        <v/>
      </c>
      <c r="E79" s="22"/>
      <c r="F79" s="22"/>
      <c r="G79" s="22"/>
      <c r="H79" s="22"/>
      <c r="I79" s="22"/>
      <c r="J79" s="22"/>
      <c r="K79" s="22"/>
      <c r="L79" s="22"/>
      <c r="M79" s="10" t="str">
        <f t="shared" si="4"/>
        <v/>
      </c>
      <c r="N79" s="10" t="str">
        <f t="shared" si="5"/>
        <v/>
      </c>
      <c r="O79" s="15"/>
      <c r="P79" s="14"/>
    </row>
    <row r="80" spans="1:16" x14ac:dyDescent="0.2">
      <c r="A80" s="7">
        <v>75</v>
      </c>
      <c r="B80" s="10" t="str">
        <f>IFERROR(INDEX(Personnes!$B$5:$B$154,MATCH(75,Personnes!$L$5:$L$154,0)),"")</f>
        <v/>
      </c>
      <c r="C80" s="10" t="str">
        <f>IFERROR(INDEX(Personnes!$C$5:$C$154,MATCH($B80,Personnes!$B$5:$B$154,0))&amp;"","")</f>
        <v/>
      </c>
      <c r="D80" s="10" t="str">
        <f>IFERROR(INDEX(Personnes!$D$5:$D$154,MATCH($B80,Personnes!$B$5:$B$154,0))&amp;"","")</f>
        <v/>
      </c>
      <c r="E80" s="22"/>
      <c r="F80" s="22"/>
      <c r="G80" s="22"/>
      <c r="H80" s="22"/>
      <c r="I80" s="22"/>
      <c r="J80" s="22"/>
      <c r="K80" s="22"/>
      <c r="L80" s="22"/>
      <c r="M80" s="10" t="str">
        <f t="shared" si="4"/>
        <v/>
      </c>
      <c r="N80" s="10" t="str">
        <f t="shared" si="5"/>
        <v/>
      </c>
      <c r="O80" s="15"/>
      <c r="P80" s="14"/>
    </row>
    <row r="81" spans="1:16" x14ac:dyDescent="0.2">
      <c r="A81" s="7">
        <v>76</v>
      </c>
      <c r="B81" s="10" t="str">
        <f>IFERROR(INDEX(Personnes!$B$5:$B$154,MATCH(76,Personnes!$L$5:$L$154,0)),"")</f>
        <v/>
      </c>
      <c r="C81" s="10" t="str">
        <f>IFERROR(INDEX(Personnes!$C$5:$C$154,MATCH($B81,Personnes!$B$5:$B$154,0))&amp;"","")</f>
        <v/>
      </c>
      <c r="D81" s="10" t="str">
        <f>IFERROR(INDEX(Personnes!$D$5:$D$154,MATCH($B81,Personnes!$B$5:$B$154,0))&amp;"","")</f>
        <v/>
      </c>
      <c r="E81" s="22"/>
      <c r="F81" s="22"/>
      <c r="G81" s="22"/>
      <c r="H81" s="22"/>
      <c r="I81" s="22"/>
      <c r="J81" s="22"/>
      <c r="K81" s="22"/>
      <c r="L81" s="22"/>
      <c r="M81" s="10" t="str">
        <f t="shared" si="4"/>
        <v/>
      </c>
      <c r="N81" s="10" t="str">
        <f t="shared" si="5"/>
        <v/>
      </c>
      <c r="O81" s="15"/>
      <c r="P81" s="14"/>
    </row>
    <row r="82" spans="1:16" x14ac:dyDescent="0.2">
      <c r="A82" s="7">
        <v>77</v>
      </c>
      <c r="B82" s="10" t="str">
        <f>IFERROR(INDEX(Personnes!$B$5:$B$154,MATCH(77,Personnes!$L$5:$L$154,0)),"")</f>
        <v/>
      </c>
      <c r="C82" s="10" t="str">
        <f>IFERROR(INDEX(Personnes!$C$5:$C$154,MATCH($B82,Personnes!$B$5:$B$154,0))&amp;"","")</f>
        <v/>
      </c>
      <c r="D82" s="10" t="str">
        <f>IFERROR(INDEX(Personnes!$D$5:$D$154,MATCH($B82,Personnes!$B$5:$B$154,0))&amp;"","")</f>
        <v/>
      </c>
      <c r="E82" s="22"/>
      <c r="F82" s="22"/>
      <c r="G82" s="22"/>
      <c r="H82" s="22"/>
      <c r="I82" s="22"/>
      <c r="J82" s="22"/>
      <c r="K82" s="22"/>
      <c r="L82" s="22"/>
      <c r="M82" s="10" t="str">
        <f t="shared" si="4"/>
        <v/>
      </c>
      <c r="N82" s="10" t="str">
        <f t="shared" si="5"/>
        <v/>
      </c>
      <c r="O82" s="15"/>
      <c r="P82" s="14"/>
    </row>
    <row r="83" spans="1:16" x14ac:dyDescent="0.2">
      <c r="A83" s="7">
        <v>78</v>
      </c>
      <c r="B83" s="10" t="str">
        <f>IFERROR(INDEX(Personnes!$B$5:$B$154,MATCH(78,Personnes!$L$5:$L$154,0)),"")</f>
        <v/>
      </c>
      <c r="C83" s="10" t="str">
        <f>IFERROR(INDEX(Personnes!$C$5:$C$154,MATCH($B83,Personnes!$B$5:$B$154,0))&amp;"","")</f>
        <v/>
      </c>
      <c r="D83" s="10" t="str">
        <f>IFERROR(INDEX(Personnes!$D$5:$D$154,MATCH($B83,Personnes!$B$5:$B$154,0))&amp;"","")</f>
        <v/>
      </c>
      <c r="E83" s="22"/>
      <c r="F83" s="22"/>
      <c r="G83" s="22"/>
      <c r="H83" s="22"/>
      <c r="I83" s="22"/>
      <c r="J83" s="22"/>
      <c r="K83" s="22"/>
      <c r="L83" s="22"/>
      <c r="M83" s="10" t="str">
        <f t="shared" si="4"/>
        <v/>
      </c>
      <c r="N83" s="10" t="str">
        <f t="shared" si="5"/>
        <v/>
      </c>
      <c r="O83" s="15"/>
      <c r="P83" s="14"/>
    </row>
    <row r="84" spans="1:16" x14ac:dyDescent="0.2">
      <c r="A84" s="7">
        <v>79</v>
      </c>
      <c r="B84" s="10" t="str">
        <f>IFERROR(INDEX(Personnes!$B$5:$B$154,MATCH(79,Personnes!$L$5:$L$154,0)),"")</f>
        <v/>
      </c>
      <c r="C84" s="10" t="str">
        <f>IFERROR(INDEX(Personnes!$C$5:$C$154,MATCH($B84,Personnes!$B$5:$B$154,0))&amp;"","")</f>
        <v/>
      </c>
      <c r="D84" s="10" t="str">
        <f>IFERROR(INDEX(Personnes!$D$5:$D$154,MATCH($B84,Personnes!$B$5:$B$154,0))&amp;"","")</f>
        <v/>
      </c>
      <c r="E84" s="22"/>
      <c r="F84" s="22"/>
      <c r="G84" s="22"/>
      <c r="H84" s="22"/>
      <c r="I84" s="22"/>
      <c r="J84" s="22"/>
      <c r="K84" s="22"/>
      <c r="L84" s="22"/>
      <c r="M84" s="10" t="str">
        <f t="shared" si="4"/>
        <v/>
      </c>
      <c r="N84" s="10" t="str">
        <f t="shared" si="5"/>
        <v/>
      </c>
      <c r="O84" s="15"/>
      <c r="P84" s="14"/>
    </row>
    <row r="85" spans="1:16" x14ac:dyDescent="0.2">
      <c r="A85" s="7">
        <v>80</v>
      </c>
      <c r="B85" s="10" t="str">
        <f>IFERROR(INDEX(Personnes!$B$5:$B$154,MATCH(80,Personnes!$L$5:$L$154,0)),"")</f>
        <v/>
      </c>
      <c r="C85" s="10" t="str">
        <f>IFERROR(INDEX(Personnes!$C$5:$C$154,MATCH($B85,Personnes!$B$5:$B$154,0))&amp;"","")</f>
        <v/>
      </c>
      <c r="D85" s="10" t="str">
        <f>IFERROR(INDEX(Personnes!$D$5:$D$154,MATCH($B85,Personnes!$B$5:$B$154,0))&amp;"","")</f>
        <v/>
      </c>
      <c r="E85" s="22"/>
      <c r="F85" s="22"/>
      <c r="G85" s="22"/>
      <c r="H85" s="22"/>
      <c r="I85" s="22"/>
      <c r="J85" s="22"/>
      <c r="K85" s="22"/>
      <c r="L85" s="22"/>
      <c r="M85" s="10" t="str">
        <f t="shared" si="4"/>
        <v/>
      </c>
      <c r="N85" s="10" t="str">
        <f t="shared" si="5"/>
        <v/>
      </c>
      <c r="O85" s="15"/>
      <c r="P85" s="14"/>
    </row>
    <row r="86" spans="1:16" x14ac:dyDescent="0.2">
      <c r="A86" s="7">
        <v>81</v>
      </c>
      <c r="B86" s="10" t="str">
        <f>IFERROR(INDEX(Personnes!$B$5:$B$154,MATCH(81,Personnes!$L$5:$L$154,0)),"")</f>
        <v/>
      </c>
      <c r="C86" s="10" t="str">
        <f>IFERROR(INDEX(Personnes!$C$5:$C$154,MATCH($B86,Personnes!$B$5:$B$154,0))&amp;"","")</f>
        <v/>
      </c>
      <c r="D86" s="10" t="str">
        <f>IFERROR(INDEX(Personnes!$D$5:$D$154,MATCH($B86,Personnes!$B$5:$B$154,0))&amp;"","")</f>
        <v/>
      </c>
      <c r="E86" s="22"/>
      <c r="F86" s="22"/>
      <c r="G86" s="22"/>
      <c r="H86" s="22"/>
      <c r="I86" s="22"/>
      <c r="J86" s="22"/>
      <c r="K86" s="22"/>
      <c r="L86" s="22"/>
      <c r="M86" s="10" t="str">
        <f t="shared" si="4"/>
        <v/>
      </c>
      <c r="N86" s="10" t="str">
        <f t="shared" si="5"/>
        <v/>
      </c>
      <c r="O86" s="15"/>
      <c r="P86" s="14"/>
    </row>
    <row r="87" spans="1:16" x14ac:dyDescent="0.2">
      <c r="A87" s="7">
        <v>82</v>
      </c>
      <c r="B87" s="10" t="str">
        <f>IFERROR(INDEX(Personnes!$B$5:$B$154,MATCH(82,Personnes!$L$5:$L$154,0)),"")</f>
        <v/>
      </c>
      <c r="C87" s="10" t="str">
        <f>IFERROR(INDEX(Personnes!$C$5:$C$154,MATCH($B87,Personnes!$B$5:$B$154,0))&amp;"","")</f>
        <v/>
      </c>
      <c r="D87" s="10" t="str">
        <f>IFERROR(INDEX(Personnes!$D$5:$D$154,MATCH($B87,Personnes!$B$5:$B$154,0))&amp;"","")</f>
        <v/>
      </c>
      <c r="E87" s="22"/>
      <c r="F87" s="22"/>
      <c r="G87" s="22"/>
      <c r="H87" s="22"/>
      <c r="I87" s="22"/>
      <c r="J87" s="22"/>
      <c r="K87" s="22"/>
      <c r="L87" s="22"/>
      <c r="M87" s="10" t="str">
        <f t="shared" si="4"/>
        <v/>
      </c>
      <c r="N87" s="10" t="str">
        <f t="shared" si="5"/>
        <v/>
      </c>
      <c r="O87" s="15"/>
      <c r="P87" s="14"/>
    </row>
    <row r="88" spans="1:16" x14ac:dyDescent="0.2">
      <c r="A88" s="7">
        <v>83</v>
      </c>
      <c r="B88" s="10" t="str">
        <f>IFERROR(INDEX(Personnes!$B$5:$B$154,MATCH(83,Personnes!$L$5:$L$154,0)),"")</f>
        <v/>
      </c>
      <c r="C88" s="10" t="str">
        <f>IFERROR(INDEX(Personnes!$C$5:$C$154,MATCH($B88,Personnes!$B$5:$B$154,0))&amp;"","")</f>
        <v/>
      </c>
      <c r="D88" s="10" t="str">
        <f>IFERROR(INDEX(Personnes!$D$5:$D$154,MATCH($B88,Personnes!$B$5:$B$154,0))&amp;"","")</f>
        <v/>
      </c>
      <c r="E88" s="22"/>
      <c r="F88" s="22"/>
      <c r="G88" s="22"/>
      <c r="H88" s="22"/>
      <c r="I88" s="22"/>
      <c r="J88" s="22"/>
      <c r="K88" s="22"/>
      <c r="L88" s="22"/>
      <c r="M88" s="10" t="str">
        <f t="shared" si="4"/>
        <v/>
      </c>
      <c r="N88" s="10" t="str">
        <f t="shared" si="5"/>
        <v/>
      </c>
      <c r="O88" s="15"/>
      <c r="P88" s="14"/>
    </row>
    <row r="89" spans="1:16" x14ac:dyDescent="0.2">
      <c r="A89" s="7">
        <v>84</v>
      </c>
      <c r="B89" s="10" t="str">
        <f>IFERROR(INDEX(Personnes!$B$5:$B$154,MATCH(84,Personnes!$L$5:$L$154,0)),"")</f>
        <v/>
      </c>
      <c r="C89" s="10" t="str">
        <f>IFERROR(INDEX(Personnes!$C$5:$C$154,MATCH($B89,Personnes!$B$5:$B$154,0))&amp;"","")</f>
        <v/>
      </c>
      <c r="D89" s="10" t="str">
        <f>IFERROR(INDEX(Personnes!$D$5:$D$154,MATCH($B89,Personnes!$B$5:$B$154,0))&amp;"","")</f>
        <v/>
      </c>
      <c r="E89" s="22"/>
      <c r="F89" s="22"/>
      <c r="G89" s="22"/>
      <c r="H89" s="22"/>
      <c r="I89" s="22"/>
      <c r="J89" s="22"/>
      <c r="K89" s="22"/>
      <c r="L89" s="22"/>
      <c r="M89" s="10" t="str">
        <f t="shared" si="4"/>
        <v/>
      </c>
      <c r="N89" s="10" t="str">
        <f t="shared" si="5"/>
        <v/>
      </c>
      <c r="O89" s="15"/>
      <c r="P89" s="14"/>
    </row>
    <row r="90" spans="1:16" x14ac:dyDescent="0.2">
      <c r="A90" s="7">
        <v>85</v>
      </c>
      <c r="B90" s="10" t="str">
        <f>IFERROR(INDEX(Personnes!$B$5:$B$154,MATCH(85,Personnes!$L$5:$L$154,0)),"")</f>
        <v/>
      </c>
      <c r="C90" s="10" t="str">
        <f>IFERROR(INDEX(Personnes!$C$5:$C$154,MATCH($B90,Personnes!$B$5:$B$154,0))&amp;"","")</f>
        <v/>
      </c>
      <c r="D90" s="10" t="str">
        <f>IFERROR(INDEX(Personnes!$D$5:$D$154,MATCH($B90,Personnes!$B$5:$B$154,0))&amp;"","")</f>
        <v/>
      </c>
      <c r="E90" s="22"/>
      <c r="F90" s="22"/>
      <c r="G90" s="22"/>
      <c r="H90" s="22"/>
      <c r="I90" s="22"/>
      <c r="J90" s="22"/>
      <c r="K90" s="22"/>
      <c r="L90" s="22"/>
      <c r="M90" s="10" t="str">
        <f t="shared" si="4"/>
        <v/>
      </c>
      <c r="N90" s="10" t="str">
        <f t="shared" si="5"/>
        <v/>
      </c>
      <c r="O90" s="15"/>
      <c r="P90" s="14"/>
    </row>
    <row r="91" spans="1:16" x14ac:dyDescent="0.2">
      <c r="A91" s="7">
        <v>86</v>
      </c>
      <c r="B91" s="10" t="str">
        <f>IFERROR(INDEX(Personnes!$B$5:$B$154,MATCH(86,Personnes!$L$5:$L$154,0)),"")</f>
        <v/>
      </c>
      <c r="C91" s="10" t="str">
        <f>IFERROR(INDEX(Personnes!$C$5:$C$154,MATCH($B91,Personnes!$B$5:$B$154,0))&amp;"","")</f>
        <v/>
      </c>
      <c r="D91" s="10" t="str">
        <f>IFERROR(INDEX(Personnes!$D$5:$D$154,MATCH($B91,Personnes!$B$5:$B$154,0))&amp;"","")</f>
        <v/>
      </c>
      <c r="E91" s="22"/>
      <c r="F91" s="22"/>
      <c r="G91" s="22"/>
      <c r="H91" s="22"/>
      <c r="I91" s="22"/>
      <c r="J91" s="22"/>
      <c r="K91" s="22"/>
      <c r="L91" s="22"/>
      <c r="M91" s="10" t="str">
        <f t="shared" si="4"/>
        <v/>
      </c>
      <c r="N91" s="10" t="str">
        <f t="shared" si="5"/>
        <v/>
      </c>
      <c r="O91" s="15"/>
      <c r="P91" s="14"/>
    </row>
    <row r="92" spans="1:16" x14ac:dyDescent="0.2">
      <c r="A92" s="7">
        <v>87</v>
      </c>
      <c r="B92" s="10" t="str">
        <f>IFERROR(INDEX(Personnes!$B$5:$B$154,MATCH(87,Personnes!$L$5:$L$154,0)),"")</f>
        <v/>
      </c>
      <c r="C92" s="10" t="str">
        <f>IFERROR(INDEX(Personnes!$C$5:$C$154,MATCH($B92,Personnes!$B$5:$B$154,0))&amp;"","")</f>
        <v/>
      </c>
      <c r="D92" s="10" t="str">
        <f>IFERROR(INDEX(Personnes!$D$5:$D$154,MATCH($B92,Personnes!$B$5:$B$154,0))&amp;"","")</f>
        <v/>
      </c>
      <c r="E92" s="22"/>
      <c r="F92" s="22"/>
      <c r="G92" s="22"/>
      <c r="H92" s="22"/>
      <c r="I92" s="22"/>
      <c r="J92" s="22"/>
      <c r="K92" s="22"/>
      <c r="L92" s="22"/>
      <c r="M92" s="10" t="str">
        <f t="shared" si="4"/>
        <v/>
      </c>
      <c r="N92" s="10" t="str">
        <f t="shared" si="5"/>
        <v/>
      </c>
      <c r="O92" s="15"/>
      <c r="P92" s="14"/>
    </row>
    <row r="93" spans="1:16" x14ac:dyDescent="0.2">
      <c r="A93" s="7">
        <v>88</v>
      </c>
      <c r="B93" s="10" t="str">
        <f>IFERROR(INDEX(Personnes!$B$5:$B$154,MATCH(88,Personnes!$L$5:$L$154,0)),"")</f>
        <v/>
      </c>
      <c r="C93" s="10" t="str">
        <f>IFERROR(INDEX(Personnes!$C$5:$C$154,MATCH($B93,Personnes!$B$5:$B$154,0))&amp;"","")</f>
        <v/>
      </c>
      <c r="D93" s="10" t="str">
        <f>IFERROR(INDEX(Personnes!$D$5:$D$154,MATCH($B93,Personnes!$B$5:$B$154,0))&amp;"","")</f>
        <v/>
      </c>
      <c r="E93" s="22"/>
      <c r="F93" s="22"/>
      <c r="G93" s="22"/>
      <c r="H93" s="22"/>
      <c r="I93" s="22"/>
      <c r="J93" s="22"/>
      <c r="K93" s="22"/>
      <c r="L93" s="22"/>
      <c r="M93" s="10" t="str">
        <f t="shared" si="4"/>
        <v/>
      </c>
      <c r="N93" s="10" t="str">
        <f t="shared" si="5"/>
        <v/>
      </c>
      <c r="O93" s="15"/>
      <c r="P93" s="14"/>
    </row>
    <row r="94" spans="1:16" x14ac:dyDescent="0.2">
      <c r="A94" s="7">
        <v>89</v>
      </c>
      <c r="B94" s="10" t="str">
        <f>IFERROR(INDEX(Personnes!$B$5:$B$154,MATCH(89,Personnes!$L$5:$L$154,0)),"")</f>
        <v/>
      </c>
      <c r="C94" s="10" t="str">
        <f>IFERROR(INDEX(Personnes!$C$5:$C$154,MATCH($B94,Personnes!$B$5:$B$154,0))&amp;"","")</f>
        <v/>
      </c>
      <c r="D94" s="10" t="str">
        <f>IFERROR(INDEX(Personnes!$D$5:$D$154,MATCH($B94,Personnes!$B$5:$B$154,0))&amp;"","")</f>
        <v/>
      </c>
      <c r="E94" s="22"/>
      <c r="F94" s="22"/>
      <c r="G94" s="22"/>
      <c r="H94" s="22"/>
      <c r="I94" s="22"/>
      <c r="J94" s="22"/>
      <c r="K94" s="22"/>
      <c r="L94" s="22"/>
      <c r="M94" s="10" t="str">
        <f t="shared" si="4"/>
        <v/>
      </c>
      <c r="N94" s="10" t="str">
        <f t="shared" si="5"/>
        <v/>
      </c>
      <c r="O94" s="15"/>
      <c r="P94" s="14"/>
    </row>
    <row r="95" spans="1:16" x14ac:dyDescent="0.2">
      <c r="A95" s="7">
        <v>90</v>
      </c>
      <c r="B95" s="10" t="str">
        <f>IFERROR(INDEX(Personnes!$B$5:$B$154,MATCH(90,Personnes!$L$5:$L$154,0)),"")</f>
        <v/>
      </c>
      <c r="C95" s="10" t="str">
        <f>IFERROR(INDEX(Personnes!$C$5:$C$154,MATCH($B95,Personnes!$B$5:$B$154,0))&amp;"","")</f>
        <v/>
      </c>
      <c r="D95" s="10" t="str">
        <f>IFERROR(INDEX(Personnes!$D$5:$D$154,MATCH($B95,Personnes!$B$5:$B$154,0))&amp;"","")</f>
        <v/>
      </c>
      <c r="E95" s="22"/>
      <c r="F95" s="22"/>
      <c r="G95" s="22"/>
      <c r="H95" s="22"/>
      <c r="I95" s="22"/>
      <c r="J95" s="22"/>
      <c r="K95" s="22"/>
      <c r="L95" s="22"/>
      <c r="M95" s="10" t="str">
        <f t="shared" si="4"/>
        <v/>
      </c>
      <c r="N95" s="10" t="str">
        <f t="shared" si="5"/>
        <v/>
      </c>
      <c r="O95" s="15"/>
      <c r="P95" s="14"/>
    </row>
    <row r="96" spans="1:16" x14ac:dyDescent="0.2">
      <c r="A96" s="7">
        <v>91</v>
      </c>
      <c r="B96" s="10" t="str">
        <f>IFERROR(INDEX(Personnes!$B$5:$B$154,MATCH(91,Personnes!$L$5:$L$154,0)),"")</f>
        <v/>
      </c>
      <c r="C96" s="10" t="str">
        <f>IFERROR(INDEX(Personnes!$C$5:$C$154,MATCH($B96,Personnes!$B$5:$B$154,0))&amp;"","")</f>
        <v/>
      </c>
      <c r="D96" s="10" t="str">
        <f>IFERROR(INDEX(Personnes!$D$5:$D$154,MATCH($B96,Personnes!$B$5:$B$154,0))&amp;"","")</f>
        <v/>
      </c>
      <c r="E96" s="22"/>
      <c r="F96" s="22"/>
      <c r="G96" s="22"/>
      <c r="H96" s="22"/>
      <c r="I96" s="22"/>
      <c r="J96" s="22"/>
      <c r="K96" s="22"/>
      <c r="L96" s="22"/>
      <c r="M96" s="10" t="str">
        <f t="shared" si="4"/>
        <v/>
      </c>
      <c r="N96" s="10" t="str">
        <f t="shared" si="5"/>
        <v/>
      </c>
      <c r="O96" s="15"/>
      <c r="P96" s="14"/>
    </row>
    <row r="97" spans="1:16" x14ac:dyDescent="0.2">
      <c r="A97" s="7">
        <v>92</v>
      </c>
      <c r="B97" s="10" t="str">
        <f>IFERROR(INDEX(Personnes!$B$5:$B$154,MATCH(92,Personnes!$L$5:$L$154,0)),"")</f>
        <v/>
      </c>
      <c r="C97" s="10" t="str">
        <f>IFERROR(INDEX(Personnes!$C$5:$C$154,MATCH($B97,Personnes!$B$5:$B$154,0))&amp;"","")</f>
        <v/>
      </c>
      <c r="D97" s="10" t="str">
        <f>IFERROR(INDEX(Personnes!$D$5:$D$154,MATCH($B97,Personnes!$B$5:$B$154,0))&amp;"","")</f>
        <v/>
      </c>
      <c r="E97" s="22"/>
      <c r="F97" s="22"/>
      <c r="G97" s="22"/>
      <c r="H97" s="22"/>
      <c r="I97" s="22"/>
      <c r="J97" s="22"/>
      <c r="K97" s="22"/>
      <c r="L97" s="22"/>
      <c r="M97" s="10" t="str">
        <f t="shared" si="4"/>
        <v/>
      </c>
      <c r="N97" s="10" t="str">
        <f t="shared" si="5"/>
        <v/>
      </c>
      <c r="O97" s="15"/>
      <c r="P97" s="14"/>
    </row>
    <row r="98" spans="1:16" x14ac:dyDescent="0.2">
      <c r="A98" s="7">
        <v>93</v>
      </c>
      <c r="B98" s="10" t="str">
        <f>IFERROR(INDEX(Personnes!$B$5:$B$154,MATCH(93,Personnes!$L$5:$L$154,0)),"")</f>
        <v/>
      </c>
      <c r="C98" s="10" t="str">
        <f>IFERROR(INDEX(Personnes!$C$5:$C$154,MATCH($B98,Personnes!$B$5:$B$154,0))&amp;"","")</f>
        <v/>
      </c>
      <c r="D98" s="10" t="str">
        <f>IFERROR(INDEX(Personnes!$D$5:$D$154,MATCH($B98,Personnes!$B$5:$B$154,0))&amp;"","")</f>
        <v/>
      </c>
      <c r="E98" s="22"/>
      <c r="F98" s="22"/>
      <c r="G98" s="22"/>
      <c r="H98" s="22"/>
      <c r="I98" s="22"/>
      <c r="J98" s="22"/>
      <c r="K98" s="22"/>
      <c r="L98" s="22"/>
      <c r="M98" s="10" t="str">
        <f t="shared" si="4"/>
        <v/>
      </c>
      <c r="N98" s="10" t="str">
        <f t="shared" si="5"/>
        <v/>
      </c>
      <c r="O98" s="15"/>
      <c r="P98" s="14"/>
    </row>
    <row r="99" spans="1:16" x14ac:dyDescent="0.2">
      <c r="A99" s="7">
        <v>94</v>
      </c>
      <c r="B99" s="10" t="str">
        <f>IFERROR(INDEX(Personnes!$B$5:$B$154,MATCH(94,Personnes!$L$5:$L$154,0)),"")</f>
        <v/>
      </c>
      <c r="C99" s="10" t="str">
        <f>IFERROR(INDEX(Personnes!$C$5:$C$154,MATCH($B99,Personnes!$B$5:$B$154,0))&amp;"","")</f>
        <v/>
      </c>
      <c r="D99" s="10" t="str">
        <f>IFERROR(INDEX(Personnes!$D$5:$D$154,MATCH($B99,Personnes!$B$5:$B$154,0))&amp;"","")</f>
        <v/>
      </c>
      <c r="E99" s="22"/>
      <c r="F99" s="22"/>
      <c r="G99" s="22"/>
      <c r="H99" s="22"/>
      <c r="I99" s="22"/>
      <c r="J99" s="22"/>
      <c r="K99" s="22"/>
      <c r="L99" s="22"/>
      <c r="M99" s="10" t="str">
        <f t="shared" si="4"/>
        <v/>
      </c>
      <c r="N99" s="10" t="str">
        <f t="shared" si="5"/>
        <v/>
      </c>
      <c r="O99" s="15"/>
      <c r="P99" s="14"/>
    </row>
    <row r="100" spans="1:16" x14ac:dyDescent="0.2">
      <c r="A100" s="7">
        <v>95</v>
      </c>
      <c r="B100" s="10" t="str">
        <f>IFERROR(INDEX(Personnes!$B$5:$B$154,MATCH(95,Personnes!$L$5:$L$154,0)),"")</f>
        <v/>
      </c>
      <c r="C100" s="10" t="str">
        <f>IFERROR(INDEX(Personnes!$C$5:$C$154,MATCH($B100,Personnes!$B$5:$B$154,0))&amp;"","")</f>
        <v/>
      </c>
      <c r="D100" s="10" t="str">
        <f>IFERROR(INDEX(Personnes!$D$5:$D$154,MATCH($B100,Personnes!$B$5:$B$154,0))&amp;"","")</f>
        <v/>
      </c>
      <c r="E100" s="22"/>
      <c r="F100" s="22"/>
      <c r="G100" s="22"/>
      <c r="H100" s="22"/>
      <c r="I100" s="22"/>
      <c r="J100" s="22"/>
      <c r="K100" s="22"/>
      <c r="L100" s="22"/>
      <c r="M100" s="10" t="str">
        <f t="shared" si="4"/>
        <v/>
      </c>
      <c r="N100" s="10" t="str">
        <f t="shared" si="5"/>
        <v/>
      </c>
      <c r="O100" s="15"/>
      <c r="P100" s="14"/>
    </row>
    <row r="101" spans="1:16" x14ac:dyDescent="0.2">
      <c r="A101" s="7">
        <v>96</v>
      </c>
      <c r="B101" s="10" t="str">
        <f>IFERROR(INDEX(Personnes!$B$5:$B$154,MATCH(96,Personnes!$L$5:$L$154,0)),"")</f>
        <v/>
      </c>
      <c r="C101" s="10" t="str">
        <f>IFERROR(INDEX(Personnes!$C$5:$C$154,MATCH($B101,Personnes!$B$5:$B$154,0))&amp;"","")</f>
        <v/>
      </c>
      <c r="D101" s="10" t="str">
        <f>IFERROR(INDEX(Personnes!$D$5:$D$154,MATCH($B101,Personnes!$B$5:$B$154,0))&amp;"","")</f>
        <v/>
      </c>
      <c r="E101" s="22"/>
      <c r="F101" s="22"/>
      <c r="G101" s="22"/>
      <c r="H101" s="22"/>
      <c r="I101" s="22"/>
      <c r="J101" s="22"/>
      <c r="K101" s="22"/>
      <c r="L101" s="22"/>
      <c r="M101" s="10" t="str">
        <f t="shared" si="4"/>
        <v/>
      </c>
      <c r="N101" s="10" t="str">
        <f t="shared" si="5"/>
        <v/>
      </c>
      <c r="O101" s="15"/>
      <c r="P101" s="14"/>
    </row>
    <row r="102" spans="1:16" x14ac:dyDescent="0.2">
      <c r="A102" s="7">
        <v>97</v>
      </c>
      <c r="B102" s="10" t="str">
        <f>IFERROR(INDEX(Personnes!$B$5:$B$154,MATCH(97,Personnes!$L$5:$L$154,0)),"")</f>
        <v/>
      </c>
      <c r="C102" s="10" t="str">
        <f>IFERROR(INDEX(Personnes!$C$5:$C$154,MATCH($B102,Personnes!$B$5:$B$154,0))&amp;"","")</f>
        <v/>
      </c>
      <c r="D102" s="10" t="str">
        <f>IFERROR(INDEX(Personnes!$D$5:$D$154,MATCH($B102,Personnes!$B$5:$B$154,0))&amp;"","")</f>
        <v/>
      </c>
      <c r="E102" s="22"/>
      <c r="F102" s="22"/>
      <c r="G102" s="22"/>
      <c r="H102" s="22"/>
      <c r="I102" s="22"/>
      <c r="J102" s="22"/>
      <c r="K102" s="22"/>
      <c r="L102" s="22"/>
      <c r="M102" s="10" t="str">
        <f t="shared" si="4"/>
        <v/>
      </c>
      <c r="N102" s="10" t="str">
        <f t="shared" si="5"/>
        <v/>
      </c>
      <c r="O102" s="15"/>
      <c r="P102" s="14"/>
    </row>
    <row r="103" spans="1:16" x14ac:dyDescent="0.2">
      <c r="A103" s="7">
        <v>98</v>
      </c>
      <c r="B103" s="10" t="str">
        <f>IFERROR(INDEX(Personnes!$B$5:$B$154,MATCH(98,Personnes!$L$5:$L$154,0)),"")</f>
        <v/>
      </c>
      <c r="C103" s="10" t="str">
        <f>IFERROR(INDEX(Personnes!$C$5:$C$154,MATCH($B103,Personnes!$B$5:$B$154,0))&amp;"","")</f>
        <v/>
      </c>
      <c r="D103" s="10" t="str">
        <f>IFERROR(INDEX(Personnes!$D$5:$D$154,MATCH($B103,Personnes!$B$5:$B$154,0))&amp;"","")</f>
        <v/>
      </c>
      <c r="E103" s="22"/>
      <c r="F103" s="22"/>
      <c r="G103" s="22"/>
      <c r="H103" s="22"/>
      <c r="I103" s="22"/>
      <c r="J103" s="22"/>
      <c r="K103" s="22"/>
      <c r="L103" s="22"/>
      <c r="M103" s="10" t="str">
        <f t="shared" si="4"/>
        <v/>
      </c>
      <c r="N103" s="10" t="str">
        <f t="shared" si="5"/>
        <v/>
      </c>
      <c r="O103" s="15"/>
      <c r="P103" s="14"/>
    </row>
    <row r="104" spans="1:16" x14ac:dyDescent="0.2">
      <c r="A104" s="7">
        <v>99</v>
      </c>
      <c r="B104" s="10" t="str">
        <f>IFERROR(INDEX(Personnes!$B$5:$B$154,MATCH(99,Personnes!$L$5:$L$154,0)),"")</f>
        <v/>
      </c>
      <c r="C104" s="10" t="str">
        <f>IFERROR(INDEX(Personnes!$C$5:$C$154,MATCH($B104,Personnes!$B$5:$B$154,0))&amp;"","")</f>
        <v/>
      </c>
      <c r="D104" s="10" t="str">
        <f>IFERROR(INDEX(Personnes!$D$5:$D$154,MATCH($B104,Personnes!$B$5:$B$154,0))&amp;"","")</f>
        <v/>
      </c>
      <c r="E104" s="22"/>
      <c r="F104" s="22"/>
      <c r="G104" s="22"/>
      <c r="H104" s="22"/>
      <c r="I104" s="22"/>
      <c r="J104" s="22"/>
      <c r="K104" s="22"/>
      <c r="L104" s="22"/>
      <c r="M104" s="10" t="str">
        <f t="shared" si="4"/>
        <v/>
      </c>
      <c r="N104" s="10" t="str">
        <f t="shared" si="5"/>
        <v/>
      </c>
      <c r="O104" s="15"/>
      <c r="P104" s="14"/>
    </row>
    <row r="105" spans="1:16" x14ac:dyDescent="0.2">
      <c r="A105" s="7">
        <v>100</v>
      </c>
      <c r="B105" s="10" t="str">
        <f>IFERROR(INDEX(Personnes!$B$5:$B$154,MATCH(100,Personnes!$L$5:$L$154,0)),"")</f>
        <v/>
      </c>
      <c r="C105" s="10" t="str">
        <f>IFERROR(INDEX(Personnes!$C$5:$C$154,MATCH($B105,Personnes!$B$5:$B$154,0))&amp;"","")</f>
        <v/>
      </c>
      <c r="D105" s="10" t="str">
        <f>IFERROR(INDEX(Personnes!$D$5:$D$154,MATCH($B105,Personnes!$B$5:$B$154,0))&amp;"","")</f>
        <v/>
      </c>
      <c r="E105" s="22"/>
      <c r="F105" s="22"/>
      <c r="G105" s="22"/>
      <c r="H105" s="22"/>
      <c r="I105" s="22"/>
      <c r="J105" s="22"/>
      <c r="K105" s="22"/>
      <c r="L105" s="22"/>
      <c r="M105" s="10" t="str">
        <f t="shared" si="4"/>
        <v/>
      </c>
      <c r="N105" s="10" t="str">
        <f t="shared" si="5"/>
        <v/>
      </c>
      <c r="O105" s="15"/>
      <c r="P105" s="14"/>
    </row>
  </sheetData>
  <dataValidations count="1">
    <dataValidation type="list" allowBlank="1" sqref="E6:L105" xr:uid="{00000000-0002-0000-0700-000000000000}">
      <formula1>"non acquis,en cours,acquis,expert"</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Qui vient de mettre à jour cette ligne ? À renseigner après chaque saisie ou correction." xr:uid="{00000000-0002-0000-0700-000001000000}">
          <x14:formula1>
            <xm:f>Selection!$A$2:$A$151</xm:f>
          </x14:formula1>
          <xm:sqref>O6:O105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5F"/>
  </sheetPr>
  <dimension ref="A1:R109"/>
  <sheetViews>
    <sheetView workbookViewId="0">
      <pane xSplit="4" ySplit="9" topLeftCell="E10"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10" width="15" customWidth="1"/>
    <col min="11" max="11" width="46" customWidth="1"/>
    <col min="12" max="17" width="15" customWidth="1"/>
    <col min="18" max="18" width="46" customWidth="1"/>
  </cols>
  <sheetData>
    <row r="1" spans="1:18" ht="18" x14ac:dyDescent="0.2">
      <c r="A1" s="4" t="s">
        <v>545</v>
      </c>
    </row>
    <row r="2" spans="1:18" x14ac:dyDescent="0.2">
      <c r="A2" s="5" t="s">
        <v>546</v>
      </c>
    </row>
    <row r="4" spans="1:18" x14ac:dyDescent="0.2">
      <c r="A4" s="7" t="s">
        <v>547</v>
      </c>
      <c r="E4" s="7" t="s">
        <v>548</v>
      </c>
      <c r="L4" s="7" t="s">
        <v>549</v>
      </c>
    </row>
    <row r="5" spans="1:18" x14ac:dyDescent="0.2">
      <c r="A5" s="7" t="s">
        <v>550</v>
      </c>
      <c r="E5" s="15"/>
      <c r="F5" s="15"/>
      <c r="G5" s="15"/>
      <c r="H5" s="15"/>
      <c r="I5" s="15"/>
      <c r="J5" s="15"/>
      <c r="L5" s="15"/>
      <c r="M5" s="15"/>
      <c r="N5" s="15"/>
      <c r="O5" s="15"/>
      <c r="P5" s="15"/>
      <c r="Q5" s="15"/>
    </row>
    <row r="6" spans="1:18" x14ac:dyDescent="0.2">
      <c r="A6" s="7" t="s">
        <v>551</v>
      </c>
      <c r="E6" s="10" t="str">
        <f>IF($E$5="","",IFERROR(IF(ISNUMBER(FIND("[",$E$5)),MID($E$5,FIND("[",$E$5)+1,FIND("]",$E$5)-FIND("[",$E$5)-1),IF(ISNUMBER($E$5),INDEX(Personnes!$B$5:$B$154,MATCH($E$5,Personnes!$A$5:$A$154,0)),IFERROR(INDEX(Personnes!$B$5:$B$154,MATCH($E$5&amp;"*",Personnes!$C$5:$C$154,0)),INDEX(Personnes!$B$5:$B$154,MATCH($E$5&amp;"*",Personnes!$D$5:$D$154,0))))),""))</f>
        <v/>
      </c>
      <c r="F6" s="10" t="str">
        <f>IF($F$5="","",IFERROR(IF(ISNUMBER(FIND("[",$F$5)),MID($F$5,FIND("[",$F$5)+1,FIND("]",$F$5)-FIND("[",$F$5)-1),IF(ISNUMBER($F$5),INDEX(Personnes!$B$5:$B$154,MATCH($F$5,Personnes!$A$5:$A$154,0)),IFERROR(INDEX(Personnes!$B$5:$B$154,MATCH($F$5&amp;"*",Personnes!$C$5:$C$154,0)),INDEX(Personnes!$B$5:$B$154,MATCH($F$5&amp;"*",Personnes!$D$5:$D$154,0))))),""))</f>
        <v/>
      </c>
      <c r="G6" s="10" t="str">
        <f>IF($G$5="","",IFERROR(IF(ISNUMBER(FIND("[",$G$5)),MID($G$5,FIND("[",$G$5)+1,FIND("]",$G$5)-FIND("[",$G$5)-1),IF(ISNUMBER($G$5),INDEX(Personnes!$B$5:$B$154,MATCH($G$5,Personnes!$A$5:$A$154,0)),IFERROR(INDEX(Personnes!$B$5:$B$154,MATCH($G$5&amp;"*",Personnes!$C$5:$C$154,0)),INDEX(Personnes!$B$5:$B$154,MATCH($G$5&amp;"*",Personnes!$D$5:$D$154,0))))),""))</f>
        <v/>
      </c>
      <c r="H6" s="10" t="str">
        <f>IF($H$5="","",IFERROR(IF(ISNUMBER(FIND("[",$H$5)),MID($H$5,FIND("[",$H$5)+1,FIND("]",$H$5)-FIND("[",$H$5)-1),IF(ISNUMBER($H$5),INDEX(Personnes!$B$5:$B$154,MATCH($H$5,Personnes!$A$5:$A$154,0)),IFERROR(INDEX(Personnes!$B$5:$B$154,MATCH($H$5&amp;"*",Personnes!$C$5:$C$154,0)),INDEX(Personnes!$B$5:$B$154,MATCH($H$5&amp;"*",Personnes!$D$5:$D$154,0))))),""))</f>
        <v/>
      </c>
      <c r="I6" s="10" t="str">
        <f>IF($I$5="","",IFERROR(IF(ISNUMBER(FIND("[",$I$5)),MID($I$5,FIND("[",$I$5)+1,FIND("]",$I$5)-FIND("[",$I$5)-1),IF(ISNUMBER($I$5),INDEX(Personnes!$B$5:$B$154,MATCH($I$5,Personnes!$A$5:$A$154,0)),IFERROR(INDEX(Personnes!$B$5:$B$154,MATCH($I$5&amp;"*",Personnes!$C$5:$C$154,0)),INDEX(Personnes!$B$5:$B$154,MATCH($I$5&amp;"*",Personnes!$D$5:$D$154,0))))),""))</f>
        <v/>
      </c>
      <c r="J6" s="10" t="str">
        <f>IF($J$5="","",IFERROR(IF(ISNUMBER(FIND("[",$J$5)),MID($J$5,FIND("[",$J$5)+1,FIND("]",$J$5)-FIND("[",$J$5)-1),IF(ISNUMBER($J$5),INDEX(Personnes!$B$5:$B$154,MATCH($J$5,Personnes!$A$5:$A$154,0)),IFERROR(INDEX(Personnes!$B$5:$B$154,MATCH($J$5&amp;"*",Personnes!$C$5:$C$154,0)),INDEX(Personnes!$B$5:$B$154,MATCH($J$5&amp;"*",Personnes!$D$5:$D$154,0))))),""))</f>
        <v/>
      </c>
      <c r="L6" s="10" t="str">
        <f>IF($L$5="","",IFERROR(IF(ISNUMBER(FIND("[",$L$5)),MID($L$5,FIND("[",$L$5)+1,FIND("]",$L$5)-FIND("[",$L$5)-1),IF(ISNUMBER($L$5),INDEX(Personnes!$B$5:$B$154,MATCH($L$5,Personnes!$A$5:$A$154,0)),IFERROR(INDEX(Personnes!$B$5:$B$154,MATCH($L$5&amp;"*",Personnes!$C$5:$C$154,0)),INDEX(Personnes!$B$5:$B$154,MATCH($L$5&amp;"*",Personnes!$D$5:$D$154,0))))),""))</f>
        <v/>
      </c>
      <c r="M6" s="10" t="str">
        <f>IF($M$5="","",IFERROR(IF(ISNUMBER(FIND("[",$M$5)),MID($M$5,FIND("[",$M$5)+1,FIND("]",$M$5)-FIND("[",$M$5)-1),IF(ISNUMBER($M$5),INDEX(Personnes!$B$5:$B$154,MATCH($M$5,Personnes!$A$5:$A$154,0)),IFERROR(INDEX(Personnes!$B$5:$B$154,MATCH($M$5&amp;"*",Personnes!$C$5:$C$154,0)),INDEX(Personnes!$B$5:$B$154,MATCH($M$5&amp;"*",Personnes!$D$5:$D$154,0))))),""))</f>
        <v/>
      </c>
      <c r="N6" s="10" t="str">
        <f>IF($N$5="","",IFERROR(IF(ISNUMBER(FIND("[",$N$5)),MID($N$5,FIND("[",$N$5)+1,FIND("]",$N$5)-FIND("[",$N$5)-1),IF(ISNUMBER($N$5),INDEX(Personnes!$B$5:$B$154,MATCH($N$5,Personnes!$A$5:$A$154,0)),IFERROR(INDEX(Personnes!$B$5:$B$154,MATCH($N$5&amp;"*",Personnes!$C$5:$C$154,0)),INDEX(Personnes!$B$5:$B$154,MATCH($N$5&amp;"*",Personnes!$D$5:$D$154,0))))),""))</f>
        <v/>
      </c>
      <c r="O6" s="10" t="str">
        <f>IF($O$5="","",IFERROR(IF(ISNUMBER(FIND("[",$O$5)),MID($O$5,FIND("[",$O$5)+1,FIND("]",$O$5)-FIND("[",$O$5)-1),IF(ISNUMBER($O$5),INDEX(Personnes!$B$5:$B$154,MATCH($O$5,Personnes!$A$5:$A$154,0)),IFERROR(INDEX(Personnes!$B$5:$B$154,MATCH($O$5&amp;"*",Personnes!$C$5:$C$154,0)),INDEX(Personnes!$B$5:$B$154,MATCH($O$5&amp;"*",Personnes!$D$5:$D$154,0))))),""))</f>
        <v/>
      </c>
      <c r="P6" s="10" t="str">
        <f>IF($P$5="","",IFERROR(IF(ISNUMBER(FIND("[",$P$5)),MID($P$5,FIND("[",$P$5)+1,FIND("]",$P$5)-FIND("[",$P$5)-1),IF(ISNUMBER($P$5),INDEX(Personnes!$B$5:$B$154,MATCH($P$5,Personnes!$A$5:$A$154,0)),IFERROR(INDEX(Personnes!$B$5:$B$154,MATCH($P$5&amp;"*",Personnes!$C$5:$C$154,0)),INDEX(Personnes!$B$5:$B$154,MATCH($P$5&amp;"*",Personnes!$D$5:$D$154,0))))),""))</f>
        <v/>
      </c>
      <c r="Q6" s="10" t="str">
        <f>IF($Q$5="","",IFERROR(IF(ISNUMBER(FIND("[",$Q$5)),MID($Q$5,FIND("[",$Q$5)+1,FIND("]",$Q$5)-FIND("[",$Q$5)-1),IF(ISNUMBER($Q$5),INDEX(Personnes!$B$5:$B$154,MATCH($Q$5,Personnes!$A$5:$A$154,0)),IFERROR(INDEX(Personnes!$B$5:$B$154,MATCH($Q$5&amp;"*",Personnes!$C$5:$C$154,0)),INDEX(Personnes!$B$5:$B$154,MATCH($Q$5&amp;"*",Personnes!$D$5:$D$154,0))))),""))</f>
        <v/>
      </c>
    </row>
    <row r="7" spans="1:18" x14ac:dyDescent="0.2">
      <c r="A7" s="7" t="s">
        <v>552</v>
      </c>
      <c r="E7" s="10" t="str">
        <f>IFERROR(INDEX(Personnes!$C$5:$C$154,MATCH($E$6,Personnes!$B$5:$B$154,0))&amp;"","")</f>
        <v/>
      </c>
      <c r="F7" s="10" t="str">
        <f>IFERROR(INDEX(Personnes!$C$5:$C$154,MATCH($F$6,Personnes!$B$5:$B$154,0))&amp;"","")</f>
        <v/>
      </c>
      <c r="G7" s="10" t="str">
        <f>IFERROR(INDEX(Personnes!$C$5:$C$154,MATCH($G$6,Personnes!$B$5:$B$154,0))&amp;"","")</f>
        <v/>
      </c>
      <c r="H7" s="10" t="str">
        <f>IFERROR(INDEX(Personnes!$C$5:$C$154,MATCH($H$6,Personnes!$B$5:$B$154,0))&amp;"","")</f>
        <v/>
      </c>
      <c r="I7" s="10" t="str">
        <f>IFERROR(INDEX(Personnes!$C$5:$C$154,MATCH($I$6,Personnes!$B$5:$B$154,0))&amp;"","")</f>
        <v/>
      </c>
      <c r="J7" s="10" t="str">
        <f>IFERROR(INDEX(Personnes!$C$5:$C$154,MATCH($J$6,Personnes!$B$5:$B$154,0))&amp;"","")</f>
        <v/>
      </c>
      <c r="L7" s="10" t="str">
        <f>IFERROR(INDEX(Personnes!$C$5:$C$154,MATCH($L$6,Personnes!$B$5:$B$154,0))&amp;"","")</f>
        <v/>
      </c>
      <c r="M7" s="10" t="str">
        <f>IFERROR(INDEX(Personnes!$C$5:$C$154,MATCH($M$6,Personnes!$B$5:$B$154,0))&amp;"","")</f>
        <v/>
      </c>
      <c r="N7" s="10" t="str">
        <f>IFERROR(INDEX(Personnes!$C$5:$C$154,MATCH($N$6,Personnes!$B$5:$B$154,0))&amp;"","")</f>
        <v/>
      </c>
      <c r="O7" s="10" t="str">
        <f>IFERROR(INDEX(Personnes!$C$5:$C$154,MATCH($O$6,Personnes!$B$5:$B$154,0))&amp;"","")</f>
        <v/>
      </c>
      <c r="P7" s="10" t="str">
        <f>IFERROR(INDEX(Personnes!$C$5:$C$154,MATCH($P$6,Personnes!$B$5:$B$154,0))&amp;"","")</f>
        <v/>
      </c>
      <c r="Q7" s="10" t="str">
        <f>IFERROR(INDEX(Personnes!$C$5:$C$154,MATCH($Q$6,Personnes!$B$5:$B$154,0))&amp;"","")</f>
        <v/>
      </c>
    </row>
    <row r="8" spans="1:18" x14ac:dyDescent="0.2">
      <c r="A8" s="7" t="s">
        <v>553</v>
      </c>
      <c r="E8" s="10" t="str">
        <f>IFERROR(INDEX(Personnes!$D$5:$D$154,MATCH($E$6,Personnes!$B$5:$B$154,0))&amp;"","")</f>
        <v/>
      </c>
      <c r="F8" s="10" t="str">
        <f>IFERROR(INDEX(Personnes!$D$5:$D$154,MATCH($F$6,Personnes!$B$5:$B$154,0))&amp;"","")</f>
        <v/>
      </c>
      <c r="G8" s="10" t="str">
        <f>IFERROR(INDEX(Personnes!$D$5:$D$154,MATCH($G$6,Personnes!$B$5:$B$154,0))&amp;"","")</f>
        <v/>
      </c>
      <c r="H8" s="10" t="str">
        <f>IFERROR(INDEX(Personnes!$D$5:$D$154,MATCH($H$6,Personnes!$B$5:$B$154,0))&amp;"","")</f>
        <v/>
      </c>
      <c r="I8" s="10" t="str">
        <f>IFERROR(INDEX(Personnes!$D$5:$D$154,MATCH($I$6,Personnes!$B$5:$B$154,0))&amp;"","")</f>
        <v/>
      </c>
      <c r="J8" s="10" t="str">
        <f>IFERROR(INDEX(Personnes!$D$5:$D$154,MATCH($J$6,Personnes!$B$5:$B$154,0))&amp;"","")</f>
        <v/>
      </c>
      <c r="L8" s="10" t="str">
        <f>IFERROR(INDEX(Personnes!$D$5:$D$154,MATCH($L$6,Personnes!$B$5:$B$154,0))&amp;"","")</f>
        <v/>
      </c>
      <c r="M8" s="10" t="str">
        <f>IFERROR(INDEX(Personnes!$D$5:$D$154,MATCH($M$6,Personnes!$B$5:$B$154,0))&amp;"","")</f>
        <v/>
      </c>
      <c r="N8" s="10" t="str">
        <f>IFERROR(INDEX(Personnes!$D$5:$D$154,MATCH($N$6,Personnes!$B$5:$B$154,0))&amp;"","")</f>
        <v/>
      </c>
      <c r="O8" s="10" t="str">
        <f>IFERROR(INDEX(Personnes!$D$5:$D$154,MATCH($O$6,Personnes!$B$5:$B$154,0))&amp;"","")</f>
        <v/>
      </c>
      <c r="P8" s="10" t="str">
        <f>IFERROR(INDEX(Personnes!$D$5:$D$154,MATCH($P$6,Personnes!$B$5:$B$154,0))&amp;"","")</f>
        <v/>
      </c>
      <c r="Q8" s="10" t="str">
        <f>IFERROR(INDEX(Personnes!$D$5:$D$154,MATCH($Q$6,Personnes!$B$5:$B$154,0))&amp;"","")</f>
        <v/>
      </c>
    </row>
    <row r="9" spans="1:18" x14ac:dyDescent="0.2">
      <c r="A9" s="18" t="s">
        <v>100</v>
      </c>
      <c r="B9" s="18" t="s">
        <v>63</v>
      </c>
      <c r="C9" s="18" t="s">
        <v>150</v>
      </c>
      <c r="D9" s="18" t="s">
        <v>151</v>
      </c>
      <c r="E9" s="18" t="s">
        <v>554</v>
      </c>
      <c r="F9" s="18" t="s">
        <v>652</v>
      </c>
      <c r="G9" s="18" t="s">
        <v>653</v>
      </c>
      <c r="H9" s="18" t="s">
        <v>654</v>
      </c>
      <c r="I9" s="18" t="s">
        <v>655</v>
      </c>
      <c r="J9" s="18" t="s">
        <v>656</v>
      </c>
      <c r="K9" s="18" t="s">
        <v>555</v>
      </c>
      <c r="L9" s="18" t="s">
        <v>657</v>
      </c>
      <c r="M9" s="18" t="s">
        <v>658</v>
      </c>
      <c r="N9" s="18" t="s">
        <v>659</v>
      </c>
      <c r="O9" s="18" t="s">
        <v>660</v>
      </c>
      <c r="P9" s="18" t="s">
        <v>661</v>
      </c>
      <c r="Q9" s="18" t="s">
        <v>662</v>
      </c>
      <c r="R9" s="18" t="s">
        <v>663</v>
      </c>
    </row>
    <row r="10" spans="1:18" x14ac:dyDescent="0.2">
      <c r="A10" s="7">
        <v>1</v>
      </c>
      <c r="B10" s="10" t="str">
        <f>IFERROR(INDEX(Personnes!$B$5:$B$154,MATCH(1,Personnes!$L$5:$L$154,0)),"")</f>
        <v>P100</v>
      </c>
      <c r="C10" s="10" t="str">
        <f>IFERROR(INDEX(Personnes!$C$5:$C$154,MATCH($B10,Personnes!$B$5:$B$154,0))&amp;"","")</f>
        <v>AUBERT</v>
      </c>
      <c r="D10" s="10" t="str">
        <f>IFERROR(INDEX(Personnes!$D$5:$D$154,MATCH($B10,Personnes!$B$5:$B$154,0))&amp;"","")</f>
        <v>Sebastien</v>
      </c>
      <c r="E10" s="15"/>
      <c r="F10" s="15"/>
      <c r="G10" s="15"/>
      <c r="H10" s="15"/>
      <c r="I10" s="15"/>
      <c r="J10" s="15"/>
      <c r="K10" s="9"/>
      <c r="L10" s="15"/>
      <c r="M10" s="15"/>
      <c r="N10" s="15"/>
      <c r="O10" s="15"/>
      <c r="P10" s="15"/>
      <c r="Q10" s="15"/>
      <c r="R10" s="9"/>
    </row>
    <row r="11" spans="1:18" x14ac:dyDescent="0.2">
      <c r="A11" s="7">
        <v>2</v>
      </c>
      <c r="B11" s="10" t="str">
        <f>IFERROR(INDEX(Personnes!$B$5:$B$154,MATCH(2,Personnes!$L$5:$L$154,0)),"")</f>
        <v>P101</v>
      </c>
      <c r="C11" s="10" t="str">
        <f>IFERROR(INDEX(Personnes!$C$5:$C$154,MATCH($B11,Personnes!$B$5:$B$154,0))&amp;"","")</f>
        <v>BELHADJ KACEM</v>
      </c>
      <c r="D11" s="10" t="str">
        <f>IFERROR(INDEX(Personnes!$D$5:$D$154,MATCH($B11,Personnes!$B$5:$B$154,0))&amp;"","")</f>
        <v>Mohammed</v>
      </c>
      <c r="E11" s="15"/>
      <c r="F11" s="15"/>
      <c r="G11" s="15"/>
      <c r="H11" s="15"/>
      <c r="I11" s="15"/>
      <c r="J11" s="15"/>
      <c r="K11" s="9"/>
      <c r="L11" s="15"/>
      <c r="M11" s="15"/>
      <c r="N11" s="15"/>
      <c r="O11" s="15"/>
      <c r="P11" s="15"/>
      <c r="Q11" s="15"/>
      <c r="R11" s="9"/>
    </row>
    <row r="12" spans="1:18" x14ac:dyDescent="0.2">
      <c r="A12" s="7">
        <v>3</v>
      </c>
      <c r="B12" s="10" t="str">
        <f>IFERROR(INDEX(Personnes!$B$5:$B$154,MATCH(3,Personnes!$L$5:$L$154,0)),"")</f>
        <v>P049</v>
      </c>
      <c r="C12" s="10" t="str">
        <f>IFERROR(INDEX(Personnes!$C$5:$C$154,MATCH($B12,Personnes!$B$5:$B$154,0))&amp;"","")</f>
        <v>BOULANT</v>
      </c>
      <c r="D12" s="10" t="str">
        <f>IFERROR(INDEX(Personnes!$D$5:$D$154,MATCH($B12,Personnes!$B$5:$B$154,0))&amp;"","")</f>
        <v>Guillaume</v>
      </c>
      <c r="E12" s="15"/>
      <c r="F12" s="15"/>
      <c r="G12" s="15"/>
      <c r="H12" s="15"/>
      <c r="I12" s="15"/>
      <c r="J12" s="15"/>
      <c r="K12" s="9"/>
      <c r="L12" s="15"/>
      <c r="M12" s="15"/>
      <c r="N12" s="15"/>
      <c r="O12" s="15"/>
      <c r="P12" s="15"/>
      <c r="Q12" s="15"/>
      <c r="R12" s="9"/>
    </row>
    <row r="13" spans="1:18" x14ac:dyDescent="0.2">
      <c r="A13" s="7">
        <v>4</v>
      </c>
      <c r="B13" s="10" t="str">
        <f>IFERROR(INDEX(Personnes!$B$5:$B$154,MATCH(4,Personnes!$L$5:$L$154,0)),"")</f>
        <v>P057</v>
      </c>
      <c r="C13" s="10" t="str">
        <f>IFERROR(INDEX(Personnes!$C$5:$C$154,MATCH($B13,Personnes!$B$5:$B$154,0))&amp;"","")</f>
        <v>COLIN DE VERDIERE</v>
      </c>
      <c r="D13" s="10" t="str">
        <f>IFERROR(INDEX(Personnes!$D$5:$D$154,MATCH($B13,Personnes!$B$5:$B$154,0))&amp;"","")</f>
        <v>Antoine</v>
      </c>
      <c r="E13" s="15"/>
      <c r="F13" s="15"/>
      <c r="G13" s="15"/>
      <c r="H13" s="15"/>
      <c r="I13" s="15"/>
      <c r="J13" s="15"/>
      <c r="K13" s="9"/>
      <c r="L13" s="15"/>
      <c r="M13" s="15"/>
      <c r="N13" s="15"/>
      <c r="O13" s="15"/>
      <c r="P13" s="15"/>
      <c r="Q13" s="15"/>
      <c r="R13" s="9"/>
    </row>
    <row r="14" spans="1:18" x14ac:dyDescent="0.2">
      <c r="A14" s="7">
        <v>5</v>
      </c>
      <c r="B14" s="10" t="str">
        <f>IFERROR(INDEX(Personnes!$B$5:$B$154,MATCH(5,Personnes!$L$5:$L$154,0)),"")</f>
        <v>P063</v>
      </c>
      <c r="C14" s="10" t="str">
        <f>IFERROR(INDEX(Personnes!$C$5:$C$154,MATCH($B14,Personnes!$B$5:$B$154,0))&amp;"","")</f>
        <v>COLLINET</v>
      </c>
      <c r="D14" s="10" t="str">
        <f>IFERROR(INDEX(Personnes!$D$5:$D$154,MATCH($B14,Personnes!$B$5:$B$154,0))&amp;"","")</f>
        <v>Sabine</v>
      </c>
      <c r="E14" s="15"/>
      <c r="F14" s="15"/>
      <c r="G14" s="15"/>
      <c r="H14" s="15"/>
      <c r="I14" s="15"/>
      <c r="J14" s="15"/>
      <c r="K14" s="9"/>
      <c r="L14" s="15"/>
      <c r="M14" s="15"/>
      <c r="N14" s="15"/>
      <c r="O14" s="15"/>
      <c r="P14" s="15"/>
      <c r="Q14" s="15"/>
      <c r="R14" s="9"/>
    </row>
    <row r="15" spans="1:18" x14ac:dyDescent="0.2">
      <c r="A15" s="7">
        <v>6</v>
      </c>
      <c r="B15" s="10" t="str">
        <f>IFERROR(INDEX(Personnes!$B$5:$B$154,MATCH(6,Personnes!$L$5:$L$154,0)),"")</f>
        <v>P043</v>
      </c>
      <c r="C15" s="10" t="str">
        <f>IFERROR(INDEX(Personnes!$C$5:$C$154,MATCH($B15,Personnes!$B$5:$B$154,0))&amp;"","")</f>
        <v>DUMONT</v>
      </c>
      <c r="D15" s="10" t="str">
        <f>IFERROR(INDEX(Personnes!$D$5:$D$154,MATCH($B15,Personnes!$B$5:$B$154,0))&amp;"","")</f>
        <v>Céline</v>
      </c>
      <c r="E15" s="15"/>
      <c r="F15" s="15"/>
      <c r="G15" s="15"/>
      <c r="H15" s="15"/>
      <c r="I15" s="15"/>
      <c r="J15" s="15"/>
      <c r="K15" s="9"/>
      <c r="L15" s="15"/>
      <c r="M15" s="15"/>
      <c r="N15" s="15"/>
      <c r="O15" s="15"/>
      <c r="P15" s="15"/>
      <c r="Q15" s="15"/>
      <c r="R15" s="9"/>
    </row>
    <row r="16" spans="1:18" x14ac:dyDescent="0.2">
      <c r="A16" s="7">
        <v>7</v>
      </c>
      <c r="B16" s="10" t="str">
        <f>IFERROR(INDEX(Personnes!$B$5:$B$154,MATCH(7,Personnes!$L$5:$L$154,0)),"")</f>
        <v>P102</v>
      </c>
      <c r="C16" s="10" t="str">
        <f>IFERROR(INDEX(Personnes!$C$5:$C$154,MATCH($B16,Personnes!$B$5:$B$154,0))&amp;"","")</f>
        <v>DUSSAUD</v>
      </c>
      <c r="D16" s="10" t="str">
        <f>IFERROR(INDEX(Personnes!$D$5:$D$154,MATCH($B16,Personnes!$B$5:$B$154,0))&amp;"","")</f>
        <v>Sebastien</v>
      </c>
      <c r="E16" s="15"/>
      <c r="F16" s="15"/>
      <c r="G16" s="15"/>
      <c r="H16" s="15"/>
      <c r="I16" s="15"/>
      <c r="J16" s="15"/>
      <c r="K16" s="9"/>
      <c r="L16" s="15"/>
      <c r="M16" s="15"/>
      <c r="N16" s="15"/>
      <c r="O16" s="15"/>
      <c r="P16" s="15"/>
      <c r="Q16" s="15"/>
      <c r="R16" s="9"/>
    </row>
    <row r="17" spans="1:18" x14ac:dyDescent="0.2">
      <c r="A17" s="7">
        <v>8</v>
      </c>
      <c r="B17" s="10" t="str">
        <f>IFERROR(INDEX(Personnes!$B$5:$B$154,MATCH(8,Personnes!$L$5:$L$154,0)),"")</f>
        <v>P039</v>
      </c>
      <c r="C17" s="10" t="str">
        <f>IFERROR(INDEX(Personnes!$C$5:$C$154,MATCH($B17,Personnes!$B$5:$B$154,0))&amp;"","")</f>
        <v>FREDON</v>
      </c>
      <c r="D17" s="10" t="str">
        <f>IFERROR(INDEX(Personnes!$D$5:$D$154,MATCH($B17,Personnes!$B$5:$B$154,0))&amp;"","")</f>
        <v>Philippe</v>
      </c>
      <c r="E17" s="15"/>
      <c r="F17" s="15"/>
      <c r="G17" s="15"/>
      <c r="H17" s="15"/>
      <c r="I17" s="15"/>
      <c r="J17" s="15"/>
      <c r="K17" s="9"/>
      <c r="L17" s="15"/>
      <c r="M17" s="15"/>
      <c r="N17" s="15"/>
      <c r="O17" s="15"/>
      <c r="P17" s="15"/>
      <c r="Q17" s="15"/>
      <c r="R17" s="9"/>
    </row>
    <row r="18" spans="1:18" x14ac:dyDescent="0.2">
      <c r="A18" s="7">
        <v>9</v>
      </c>
      <c r="B18" s="10" t="str">
        <f>IFERROR(INDEX(Personnes!$B$5:$B$154,MATCH(9,Personnes!$L$5:$L$154,0)),"")</f>
        <v>P058</v>
      </c>
      <c r="C18" s="10" t="str">
        <f>IFERROR(INDEX(Personnes!$C$5:$C$154,MATCH($B18,Personnes!$B$5:$B$154,0))&amp;"","")</f>
        <v>MAALAOUI</v>
      </c>
      <c r="D18" s="10" t="str">
        <f>IFERROR(INDEX(Personnes!$D$5:$D$154,MATCH($B18,Personnes!$B$5:$B$154,0))&amp;"","")</f>
        <v>Larbi</v>
      </c>
      <c r="E18" s="15"/>
      <c r="F18" s="15"/>
      <c r="G18" s="15"/>
      <c r="H18" s="15"/>
      <c r="I18" s="15"/>
      <c r="J18" s="15"/>
      <c r="K18" s="9"/>
      <c r="L18" s="15"/>
      <c r="M18" s="15"/>
      <c r="N18" s="15"/>
      <c r="O18" s="15"/>
      <c r="P18" s="15"/>
      <c r="Q18" s="15"/>
      <c r="R18" s="9"/>
    </row>
    <row r="19" spans="1:18" x14ac:dyDescent="0.2">
      <c r="A19" s="7">
        <v>10</v>
      </c>
      <c r="B19" s="10" t="str">
        <f>IFERROR(INDEX(Personnes!$B$5:$B$154,MATCH(10,Personnes!$L$5:$L$154,0)),"")</f>
        <v>P103</v>
      </c>
      <c r="C19" s="10" t="str">
        <f>IFERROR(INDEX(Personnes!$C$5:$C$154,MATCH($B19,Personnes!$B$5:$B$154,0))&amp;"","")</f>
        <v>NOURA</v>
      </c>
      <c r="D19" s="10" t="str">
        <f>IFERROR(INDEX(Personnes!$D$5:$D$154,MATCH($B19,Personnes!$B$5:$B$154,0))&amp;"","")</f>
        <v>Karim</v>
      </c>
      <c r="E19" s="15"/>
      <c r="F19" s="15"/>
      <c r="G19" s="15"/>
      <c r="H19" s="15"/>
      <c r="I19" s="15"/>
      <c r="J19" s="15"/>
      <c r="K19" s="9"/>
      <c r="L19" s="15"/>
      <c r="M19" s="15"/>
      <c r="N19" s="15"/>
      <c r="O19" s="15"/>
      <c r="P19" s="15"/>
      <c r="Q19" s="15"/>
      <c r="R19" s="9"/>
    </row>
    <row r="20" spans="1:18" x14ac:dyDescent="0.2">
      <c r="A20" s="7">
        <v>11</v>
      </c>
      <c r="B20" s="10" t="str">
        <f>IFERROR(INDEX(Personnes!$B$5:$B$154,MATCH(11,Personnes!$L$5:$L$154,0)),"")</f>
        <v>P044</v>
      </c>
      <c r="C20" s="10" t="str">
        <f>IFERROR(INDEX(Personnes!$C$5:$C$154,MATCH($B20,Personnes!$B$5:$B$154,0))&amp;"","")</f>
        <v>PASCAL</v>
      </c>
      <c r="D20" s="10" t="str">
        <f>IFERROR(INDEX(Personnes!$D$5:$D$154,MATCH($B20,Personnes!$B$5:$B$154,0))&amp;"","")</f>
        <v>Alain</v>
      </c>
      <c r="E20" s="15"/>
      <c r="F20" s="15"/>
      <c r="G20" s="15"/>
      <c r="H20" s="15"/>
      <c r="I20" s="15"/>
      <c r="J20" s="15"/>
      <c r="K20" s="9"/>
      <c r="L20" s="15"/>
      <c r="M20" s="15"/>
      <c r="N20" s="15"/>
      <c r="O20" s="15"/>
      <c r="P20" s="15"/>
      <c r="Q20" s="15"/>
      <c r="R20" s="9"/>
    </row>
    <row r="21" spans="1:18" x14ac:dyDescent="0.2">
      <c r="A21" s="7">
        <v>12</v>
      </c>
      <c r="B21" s="10" t="str">
        <f>IFERROR(INDEX(Personnes!$B$5:$B$154,MATCH(12,Personnes!$L$5:$L$154,0)),"")</f>
        <v>P045</v>
      </c>
      <c r="C21" s="10" t="str">
        <f>IFERROR(INDEX(Personnes!$C$5:$C$154,MATCH($B21,Personnes!$B$5:$B$154,0))&amp;"","")</f>
        <v>SEGUI</v>
      </c>
      <c r="D21" s="10" t="str">
        <f>IFERROR(INDEX(Personnes!$D$5:$D$154,MATCH($B21,Personnes!$B$5:$B$154,0))&amp;"","")</f>
        <v>Danny</v>
      </c>
      <c r="E21" s="15"/>
      <c r="F21" s="15"/>
      <c r="G21" s="15"/>
      <c r="H21" s="15"/>
      <c r="I21" s="15"/>
      <c r="J21" s="15"/>
      <c r="K21" s="9"/>
      <c r="L21" s="15"/>
      <c r="M21" s="15"/>
      <c r="N21" s="15"/>
      <c r="O21" s="15"/>
      <c r="P21" s="15"/>
      <c r="Q21" s="15"/>
      <c r="R21" s="9"/>
    </row>
    <row r="22" spans="1:18" x14ac:dyDescent="0.2">
      <c r="A22" s="7">
        <v>13</v>
      </c>
      <c r="B22" s="10" t="str">
        <f>IFERROR(INDEX(Personnes!$B$5:$B$154,MATCH(13,Personnes!$L$5:$L$154,0)),"")</f>
        <v/>
      </c>
      <c r="C22" s="10" t="str">
        <f>IFERROR(INDEX(Personnes!$C$5:$C$154,MATCH($B22,Personnes!$B$5:$B$154,0))&amp;"","")</f>
        <v/>
      </c>
      <c r="D22" s="10" t="str">
        <f>IFERROR(INDEX(Personnes!$D$5:$D$154,MATCH($B22,Personnes!$B$5:$B$154,0))&amp;"","")</f>
        <v/>
      </c>
      <c r="E22" s="15"/>
      <c r="F22" s="15"/>
      <c r="G22" s="15"/>
      <c r="H22" s="15"/>
      <c r="I22" s="15"/>
      <c r="J22" s="15"/>
      <c r="K22" s="9"/>
      <c r="L22" s="15"/>
      <c r="M22" s="15"/>
      <c r="N22" s="15"/>
      <c r="O22" s="15"/>
      <c r="P22" s="15"/>
      <c r="Q22" s="15"/>
      <c r="R22" s="9"/>
    </row>
    <row r="23" spans="1:18" x14ac:dyDescent="0.2">
      <c r="A23" s="7">
        <v>14</v>
      </c>
      <c r="B23" s="10" t="str">
        <f>IFERROR(INDEX(Personnes!$B$5:$B$154,MATCH(14,Personnes!$L$5:$L$154,0)),"")</f>
        <v/>
      </c>
      <c r="C23" s="10" t="str">
        <f>IFERROR(INDEX(Personnes!$C$5:$C$154,MATCH($B23,Personnes!$B$5:$B$154,0))&amp;"","")</f>
        <v/>
      </c>
      <c r="D23" s="10" t="str">
        <f>IFERROR(INDEX(Personnes!$D$5:$D$154,MATCH($B23,Personnes!$B$5:$B$154,0))&amp;"","")</f>
        <v/>
      </c>
      <c r="E23" s="15"/>
      <c r="F23" s="15"/>
      <c r="G23" s="15"/>
      <c r="H23" s="15"/>
      <c r="I23" s="15"/>
      <c r="J23" s="15"/>
      <c r="K23" s="9"/>
      <c r="L23" s="15"/>
      <c r="M23" s="15"/>
      <c r="N23" s="15"/>
      <c r="O23" s="15"/>
      <c r="P23" s="15"/>
      <c r="Q23" s="15"/>
      <c r="R23" s="9"/>
    </row>
    <row r="24" spans="1:18" x14ac:dyDescent="0.2">
      <c r="A24" s="7">
        <v>15</v>
      </c>
      <c r="B24" s="10" t="str">
        <f>IFERROR(INDEX(Personnes!$B$5:$B$154,MATCH(15,Personnes!$L$5:$L$154,0)),"")</f>
        <v/>
      </c>
      <c r="C24" s="10" t="str">
        <f>IFERROR(INDEX(Personnes!$C$5:$C$154,MATCH($B24,Personnes!$B$5:$B$154,0))&amp;"","")</f>
        <v/>
      </c>
      <c r="D24" s="10" t="str">
        <f>IFERROR(INDEX(Personnes!$D$5:$D$154,MATCH($B24,Personnes!$B$5:$B$154,0))&amp;"","")</f>
        <v/>
      </c>
      <c r="E24" s="15"/>
      <c r="F24" s="15"/>
      <c r="G24" s="15"/>
      <c r="H24" s="15"/>
      <c r="I24" s="15"/>
      <c r="J24" s="15"/>
      <c r="K24" s="9"/>
      <c r="L24" s="15"/>
      <c r="M24" s="15"/>
      <c r="N24" s="15"/>
      <c r="O24" s="15"/>
      <c r="P24" s="15"/>
      <c r="Q24" s="15"/>
      <c r="R24" s="9"/>
    </row>
    <row r="25" spans="1:18" x14ac:dyDescent="0.2">
      <c r="A25" s="7">
        <v>16</v>
      </c>
      <c r="B25" s="10" t="str">
        <f>IFERROR(INDEX(Personnes!$B$5:$B$154,MATCH(16,Personnes!$L$5:$L$154,0)),"")</f>
        <v/>
      </c>
      <c r="C25" s="10" t="str">
        <f>IFERROR(INDEX(Personnes!$C$5:$C$154,MATCH($B25,Personnes!$B$5:$B$154,0))&amp;"","")</f>
        <v/>
      </c>
      <c r="D25" s="10" t="str">
        <f>IFERROR(INDEX(Personnes!$D$5:$D$154,MATCH($B25,Personnes!$B$5:$B$154,0))&amp;"","")</f>
        <v/>
      </c>
      <c r="E25" s="15"/>
      <c r="F25" s="15"/>
      <c r="G25" s="15"/>
      <c r="H25" s="15"/>
      <c r="I25" s="15"/>
      <c r="J25" s="15"/>
      <c r="K25" s="9"/>
      <c r="L25" s="15"/>
      <c r="M25" s="15"/>
      <c r="N25" s="15"/>
      <c r="O25" s="15"/>
      <c r="P25" s="15"/>
      <c r="Q25" s="15"/>
      <c r="R25" s="9"/>
    </row>
    <row r="26" spans="1:18" x14ac:dyDescent="0.2">
      <c r="A26" s="7">
        <v>17</v>
      </c>
      <c r="B26" s="10" t="str">
        <f>IFERROR(INDEX(Personnes!$B$5:$B$154,MATCH(17,Personnes!$L$5:$L$154,0)),"")</f>
        <v/>
      </c>
      <c r="C26" s="10" t="str">
        <f>IFERROR(INDEX(Personnes!$C$5:$C$154,MATCH($B26,Personnes!$B$5:$B$154,0))&amp;"","")</f>
        <v/>
      </c>
      <c r="D26" s="10" t="str">
        <f>IFERROR(INDEX(Personnes!$D$5:$D$154,MATCH($B26,Personnes!$B$5:$B$154,0))&amp;"","")</f>
        <v/>
      </c>
      <c r="E26" s="15"/>
      <c r="F26" s="15"/>
      <c r="G26" s="15"/>
      <c r="H26" s="15"/>
      <c r="I26" s="15"/>
      <c r="J26" s="15"/>
      <c r="K26" s="9"/>
      <c r="L26" s="15"/>
      <c r="M26" s="15"/>
      <c r="N26" s="15"/>
      <c r="O26" s="15"/>
      <c r="P26" s="15"/>
      <c r="Q26" s="15"/>
      <c r="R26" s="9"/>
    </row>
    <row r="27" spans="1:18" x14ac:dyDescent="0.2">
      <c r="A27" s="7">
        <v>18</v>
      </c>
      <c r="B27" s="10" t="str">
        <f>IFERROR(INDEX(Personnes!$B$5:$B$154,MATCH(18,Personnes!$L$5:$L$154,0)),"")</f>
        <v/>
      </c>
      <c r="C27" s="10" t="str">
        <f>IFERROR(INDEX(Personnes!$C$5:$C$154,MATCH($B27,Personnes!$B$5:$B$154,0))&amp;"","")</f>
        <v/>
      </c>
      <c r="D27" s="10" t="str">
        <f>IFERROR(INDEX(Personnes!$D$5:$D$154,MATCH($B27,Personnes!$B$5:$B$154,0))&amp;"","")</f>
        <v/>
      </c>
      <c r="E27" s="15"/>
      <c r="F27" s="15"/>
      <c r="G27" s="15"/>
      <c r="H27" s="15"/>
      <c r="I27" s="15"/>
      <c r="J27" s="15"/>
      <c r="K27" s="9"/>
      <c r="L27" s="15"/>
      <c r="M27" s="15"/>
      <c r="N27" s="15"/>
      <c r="O27" s="15"/>
      <c r="P27" s="15"/>
      <c r="Q27" s="15"/>
      <c r="R27" s="9"/>
    </row>
    <row r="28" spans="1:18" x14ac:dyDescent="0.2">
      <c r="A28" s="7">
        <v>19</v>
      </c>
      <c r="B28" s="10" t="str">
        <f>IFERROR(INDEX(Personnes!$B$5:$B$154,MATCH(19,Personnes!$L$5:$L$154,0)),"")</f>
        <v/>
      </c>
      <c r="C28" s="10" t="str">
        <f>IFERROR(INDEX(Personnes!$C$5:$C$154,MATCH($B28,Personnes!$B$5:$B$154,0))&amp;"","")</f>
        <v/>
      </c>
      <c r="D28" s="10" t="str">
        <f>IFERROR(INDEX(Personnes!$D$5:$D$154,MATCH($B28,Personnes!$B$5:$B$154,0))&amp;"","")</f>
        <v/>
      </c>
      <c r="E28" s="15"/>
      <c r="F28" s="15"/>
      <c r="G28" s="15"/>
      <c r="H28" s="15"/>
      <c r="I28" s="15"/>
      <c r="J28" s="15"/>
      <c r="K28" s="9"/>
      <c r="L28" s="15"/>
      <c r="M28" s="15"/>
      <c r="N28" s="15"/>
      <c r="O28" s="15"/>
      <c r="P28" s="15"/>
      <c r="Q28" s="15"/>
      <c r="R28" s="9"/>
    </row>
    <row r="29" spans="1:18" x14ac:dyDescent="0.2">
      <c r="A29" s="7">
        <v>20</v>
      </c>
      <c r="B29" s="10" t="str">
        <f>IFERROR(INDEX(Personnes!$B$5:$B$154,MATCH(20,Personnes!$L$5:$L$154,0)),"")</f>
        <v/>
      </c>
      <c r="C29" s="10" t="str">
        <f>IFERROR(INDEX(Personnes!$C$5:$C$154,MATCH($B29,Personnes!$B$5:$B$154,0))&amp;"","")</f>
        <v/>
      </c>
      <c r="D29" s="10" t="str">
        <f>IFERROR(INDEX(Personnes!$D$5:$D$154,MATCH($B29,Personnes!$B$5:$B$154,0))&amp;"","")</f>
        <v/>
      </c>
      <c r="E29" s="15"/>
      <c r="F29" s="15"/>
      <c r="G29" s="15"/>
      <c r="H29" s="15"/>
      <c r="I29" s="15"/>
      <c r="J29" s="15"/>
      <c r="K29" s="9"/>
      <c r="L29" s="15"/>
      <c r="M29" s="15"/>
      <c r="N29" s="15"/>
      <c r="O29" s="15"/>
      <c r="P29" s="15"/>
      <c r="Q29" s="15"/>
      <c r="R29" s="9"/>
    </row>
    <row r="30" spans="1:18" x14ac:dyDescent="0.2">
      <c r="A30" s="7">
        <v>21</v>
      </c>
      <c r="B30" s="10" t="str">
        <f>IFERROR(INDEX(Personnes!$B$5:$B$154,MATCH(21,Personnes!$L$5:$L$154,0)),"")</f>
        <v/>
      </c>
      <c r="C30" s="10" t="str">
        <f>IFERROR(INDEX(Personnes!$C$5:$C$154,MATCH($B30,Personnes!$B$5:$B$154,0))&amp;"","")</f>
        <v/>
      </c>
      <c r="D30" s="10" t="str">
        <f>IFERROR(INDEX(Personnes!$D$5:$D$154,MATCH($B30,Personnes!$B$5:$B$154,0))&amp;"","")</f>
        <v/>
      </c>
      <c r="E30" s="15"/>
      <c r="F30" s="15"/>
      <c r="G30" s="15"/>
      <c r="H30" s="15"/>
      <c r="I30" s="15"/>
      <c r="J30" s="15"/>
      <c r="K30" s="9"/>
      <c r="L30" s="15"/>
      <c r="M30" s="15"/>
      <c r="N30" s="15"/>
      <c r="O30" s="15"/>
      <c r="P30" s="15"/>
      <c r="Q30" s="15"/>
      <c r="R30" s="9"/>
    </row>
    <row r="31" spans="1:18" x14ac:dyDescent="0.2">
      <c r="A31" s="7">
        <v>22</v>
      </c>
      <c r="B31" s="10" t="str">
        <f>IFERROR(INDEX(Personnes!$B$5:$B$154,MATCH(22,Personnes!$L$5:$L$154,0)),"")</f>
        <v/>
      </c>
      <c r="C31" s="10" t="str">
        <f>IFERROR(INDEX(Personnes!$C$5:$C$154,MATCH($B31,Personnes!$B$5:$B$154,0))&amp;"","")</f>
        <v/>
      </c>
      <c r="D31" s="10" t="str">
        <f>IFERROR(INDEX(Personnes!$D$5:$D$154,MATCH($B31,Personnes!$B$5:$B$154,0))&amp;"","")</f>
        <v/>
      </c>
      <c r="E31" s="15"/>
      <c r="F31" s="15"/>
      <c r="G31" s="15"/>
      <c r="H31" s="15"/>
      <c r="I31" s="15"/>
      <c r="J31" s="15"/>
      <c r="K31" s="9"/>
      <c r="L31" s="15"/>
      <c r="M31" s="15"/>
      <c r="N31" s="15"/>
      <c r="O31" s="15"/>
      <c r="P31" s="15"/>
      <c r="Q31" s="15"/>
      <c r="R31" s="9"/>
    </row>
    <row r="32" spans="1:18" x14ac:dyDescent="0.2">
      <c r="A32" s="7">
        <v>23</v>
      </c>
      <c r="B32" s="10" t="str">
        <f>IFERROR(INDEX(Personnes!$B$5:$B$154,MATCH(23,Personnes!$L$5:$L$154,0)),"")</f>
        <v/>
      </c>
      <c r="C32" s="10" t="str">
        <f>IFERROR(INDEX(Personnes!$C$5:$C$154,MATCH($B32,Personnes!$B$5:$B$154,0))&amp;"","")</f>
        <v/>
      </c>
      <c r="D32" s="10" t="str">
        <f>IFERROR(INDEX(Personnes!$D$5:$D$154,MATCH($B32,Personnes!$B$5:$B$154,0))&amp;"","")</f>
        <v/>
      </c>
      <c r="E32" s="15"/>
      <c r="F32" s="15"/>
      <c r="G32" s="15"/>
      <c r="H32" s="15"/>
      <c r="I32" s="15"/>
      <c r="J32" s="15"/>
      <c r="K32" s="9"/>
      <c r="L32" s="15"/>
      <c r="M32" s="15"/>
      <c r="N32" s="15"/>
      <c r="O32" s="15"/>
      <c r="P32" s="15"/>
      <c r="Q32" s="15"/>
      <c r="R32" s="9"/>
    </row>
    <row r="33" spans="1:18" x14ac:dyDescent="0.2">
      <c r="A33" s="7">
        <v>24</v>
      </c>
      <c r="B33" s="10" t="str">
        <f>IFERROR(INDEX(Personnes!$B$5:$B$154,MATCH(24,Personnes!$L$5:$L$154,0)),"")</f>
        <v/>
      </c>
      <c r="C33" s="10" t="str">
        <f>IFERROR(INDEX(Personnes!$C$5:$C$154,MATCH($B33,Personnes!$B$5:$B$154,0))&amp;"","")</f>
        <v/>
      </c>
      <c r="D33" s="10" t="str">
        <f>IFERROR(INDEX(Personnes!$D$5:$D$154,MATCH($B33,Personnes!$B$5:$B$154,0))&amp;"","")</f>
        <v/>
      </c>
      <c r="E33" s="15"/>
      <c r="F33" s="15"/>
      <c r="G33" s="15"/>
      <c r="H33" s="15"/>
      <c r="I33" s="15"/>
      <c r="J33" s="15"/>
      <c r="K33" s="9"/>
      <c r="L33" s="15"/>
      <c r="M33" s="15"/>
      <c r="N33" s="15"/>
      <c r="O33" s="15"/>
      <c r="P33" s="15"/>
      <c r="Q33" s="15"/>
      <c r="R33" s="9"/>
    </row>
    <row r="34" spans="1:18" x14ac:dyDescent="0.2">
      <c r="A34" s="7">
        <v>25</v>
      </c>
      <c r="B34" s="10" t="str">
        <f>IFERROR(INDEX(Personnes!$B$5:$B$154,MATCH(25,Personnes!$L$5:$L$154,0)),"")</f>
        <v/>
      </c>
      <c r="C34" s="10" t="str">
        <f>IFERROR(INDEX(Personnes!$C$5:$C$154,MATCH($B34,Personnes!$B$5:$B$154,0))&amp;"","")</f>
        <v/>
      </c>
      <c r="D34" s="10" t="str">
        <f>IFERROR(INDEX(Personnes!$D$5:$D$154,MATCH($B34,Personnes!$B$5:$B$154,0))&amp;"","")</f>
        <v/>
      </c>
      <c r="E34" s="15"/>
      <c r="F34" s="15"/>
      <c r="G34" s="15"/>
      <c r="H34" s="15"/>
      <c r="I34" s="15"/>
      <c r="J34" s="15"/>
      <c r="K34" s="9"/>
      <c r="L34" s="15"/>
      <c r="M34" s="15"/>
      <c r="N34" s="15"/>
      <c r="O34" s="15"/>
      <c r="P34" s="15"/>
      <c r="Q34" s="15"/>
      <c r="R34" s="9"/>
    </row>
    <row r="35" spans="1:18" x14ac:dyDescent="0.2">
      <c r="A35" s="7">
        <v>26</v>
      </c>
      <c r="B35" s="10" t="str">
        <f>IFERROR(INDEX(Personnes!$B$5:$B$154,MATCH(26,Personnes!$L$5:$L$154,0)),"")</f>
        <v/>
      </c>
      <c r="C35" s="10" t="str">
        <f>IFERROR(INDEX(Personnes!$C$5:$C$154,MATCH($B35,Personnes!$B$5:$B$154,0))&amp;"","")</f>
        <v/>
      </c>
      <c r="D35" s="10" t="str">
        <f>IFERROR(INDEX(Personnes!$D$5:$D$154,MATCH($B35,Personnes!$B$5:$B$154,0))&amp;"","")</f>
        <v/>
      </c>
      <c r="E35" s="15"/>
      <c r="F35" s="15"/>
      <c r="G35" s="15"/>
      <c r="H35" s="15"/>
      <c r="I35" s="15"/>
      <c r="J35" s="15"/>
      <c r="K35" s="9"/>
      <c r="L35" s="15"/>
      <c r="M35" s="15"/>
      <c r="N35" s="15"/>
      <c r="O35" s="15"/>
      <c r="P35" s="15"/>
      <c r="Q35" s="15"/>
      <c r="R35" s="9"/>
    </row>
    <row r="36" spans="1:18" x14ac:dyDescent="0.2">
      <c r="A36" s="7">
        <v>27</v>
      </c>
      <c r="B36" s="10" t="str">
        <f>IFERROR(INDEX(Personnes!$B$5:$B$154,MATCH(27,Personnes!$L$5:$L$154,0)),"")</f>
        <v/>
      </c>
      <c r="C36" s="10" t="str">
        <f>IFERROR(INDEX(Personnes!$C$5:$C$154,MATCH($B36,Personnes!$B$5:$B$154,0))&amp;"","")</f>
        <v/>
      </c>
      <c r="D36" s="10" t="str">
        <f>IFERROR(INDEX(Personnes!$D$5:$D$154,MATCH($B36,Personnes!$B$5:$B$154,0))&amp;"","")</f>
        <v/>
      </c>
      <c r="E36" s="15"/>
      <c r="F36" s="15"/>
      <c r="G36" s="15"/>
      <c r="H36" s="15"/>
      <c r="I36" s="15"/>
      <c r="J36" s="15"/>
      <c r="K36" s="9"/>
      <c r="L36" s="15"/>
      <c r="M36" s="15"/>
      <c r="N36" s="15"/>
      <c r="O36" s="15"/>
      <c r="P36" s="15"/>
      <c r="Q36" s="15"/>
      <c r="R36" s="9"/>
    </row>
    <row r="37" spans="1:18" x14ac:dyDescent="0.2">
      <c r="A37" s="7">
        <v>28</v>
      </c>
      <c r="B37" s="10" t="str">
        <f>IFERROR(INDEX(Personnes!$B$5:$B$154,MATCH(28,Personnes!$L$5:$L$154,0)),"")</f>
        <v/>
      </c>
      <c r="C37" s="10" t="str">
        <f>IFERROR(INDEX(Personnes!$C$5:$C$154,MATCH($B37,Personnes!$B$5:$B$154,0))&amp;"","")</f>
        <v/>
      </c>
      <c r="D37" s="10" t="str">
        <f>IFERROR(INDEX(Personnes!$D$5:$D$154,MATCH($B37,Personnes!$B$5:$B$154,0))&amp;"","")</f>
        <v/>
      </c>
      <c r="E37" s="15"/>
      <c r="F37" s="15"/>
      <c r="G37" s="15"/>
      <c r="H37" s="15"/>
      <c r="I37" s="15"/>
      <c r="J37" s="15"/>
      <c r="K37" s="9"/>
      <c r="L37" s="15"/>
      <c r="M37" s="15"/>
      <c r="N37" s="15"/>
      <c r="O37" s="15"/>
      <c r="P37" s="15"/>
      <c r="Q37" s="15"/>
      <c r="R37" s="9"/>
    </row>
    <row r="38" spans="1:18" x14ac:dyDescent="0.2">
      <c r="A38" s="7">
        <v>29</v>
      </c>
      <c r="B38" s="10" t="str">
        <f>IFERROR(INDEX(Personnes!$B$5:$B$154,MATCH(29,Personnes!$L$5:$L$154,0)),"")</f>
        <v/>
      </c>
      <c r="C38" s="10" t="str">
        <f>IFERROR(INDEX(Personnes!$C$5:$C$154,MATCH($B38,Personnes!$B$5:$B$154,0))&amp;"","")</f>
        <v/>
      </c>
      <c r="D38" s="10" t="str">
        <f>IFERROR(INDEX(Personnes!$D$5:$D$154,MATCH($B38,Personnes!$B$5:$B$154,0))&amp;"","")</f>
        <v/>
      </c>
      <c r="E38" s="15"/>
      <c r="F38" s="15"/>
      <c r="G38" s="15"/>
      <c r="H38" s="15"/>
      <c r="I38" s="15"/>
      <c r="J38" s="15"/>
      <c r="K38" s="9"/>
      <c r="L38" s="15"/>
      <c r="M38" s="15"/>
      <c r="N38" s="15"/>
      <c r="O38" s="15"/>
      <c r="P38" s="15"/>
      <c r="Q38" s="15"/>
      <c r="R38" s="9"/>
    </row>
    <row r="39" spans="1:18" x14ac:dyDescent="0.2">
      <c r="A39" s="7">
        <v>30</v>
      </c>
      <c r="B39" s="10" t="str">
        <f>IFERROR(INDEX(Personnes!$B$5:$B$154,MATCH(30,Personnes!$L$5:$L$154,0)),"")</f>
        <v/>
      </c>
      <c r="C39" s="10" t="str">
        <f>IFERROR(INDEX(Personnes!$C$5:$C$154,MATCH($B39,Personnes!$B$5:$B$154,0))&amp;"","")</f>
        <v/>
      </c>
      <c r="D39" s="10" t="str">
        <f>IFERROR(INDEX(Personnes!$D$5:$D$154,MATCH($B39,Personnes!$B$5:$B$154,0))&amp;"","")</f>
        <v/>
      </c>
      <c r="E39" s="15"/>
      <c r="F39" s="15"/>
      <c r="G39" s="15"/>
      <c r="H39" s="15"/>
      <c r="I39" s="15"/>
      <c r="J39" s="15"/>
      <c r="K39" s="9"/>
      <c r="L39" s="15"/>
      <c r="M39" s="15"/>
      <c r="N39" s="15"/>
      <c r="O39" s="15"/>
      <c r="P39" s="15"/>
      <c r="Q39" s="15"/>
      <c r="R39" s="9"/>
    </row>
    <row r="40" spans="1:18" x14ac:dyDescent="0.2">
      <c r="A40" s="7">
        <v>31</v>
      </c>
      <c r="B40" s="10" t="str">
        <f>IFERROR(INDEX(Personnes!$B$5:$B$154,MATCH(31,Personnes!$L$5:$L$154,0)),"")</f>
        <v/>
      </c>
      <c r="C40" s="10" t="str">
        <f>IFERROR(INDEX(Personnes!$C$5:$C$154,MATCH($B40,Personnes!$B$5:$B$154,0))&amp;"","")</f>
        <v/>
      </c>
      <c r="D40" s="10" t="str">
        <f>IFERROR(INDEX(Personnes!$D$5:$D$154,MATCH($B40,Personnes!$B$5:$B$154,0))&amp;"","")</f>
        <v/>
      </c>
      <c r="E40" s="15"/>
      <c r="F40" s="15"/>
      <c r="G40" s="15"/>
      <c r="H40" s="15"/>
      <c r="I40" s="15"/>
      <c r="J40" s="15"/>
      <c r="K40" s="9"/>
      <c r="L40" s="15"/>
      <c r="M40" s="15"/>
      <c r="N40" s="15"/>
      <c r="O40" s="15"/>
      <c r="P40" s="15"/>
      <c r="Q40" s="15"/>
      <c r="R40" s="9"/>
    </row>
    <row r="41" spans="1:18" x14ac:dyDescent="0.2">
      <c r="A41" s="7">
        <v>32</v>
      </c>
      <c r="B41" s="10" t="str">
        <f>IFERROR(INDEX(Personnes!$B$5:$B$154,MATCH(32,Personnes!$L$5:$L$154,0)),"")</f>
        <v/>
      </c>
      <c r="C41" s="10" t="str">
        <f>IFERROR(INDEX(Personnes!$C$5:$C$154,MATCH($B41,Personnes!$B$5:$B$154,0))&amp;"","")</f>
        <v/>
      </c>
      <c r="D41" s="10" t="str">
        <f>IFERROR(INDEX(Personnes!$D$5:$D$154,MATCH($B41,Personnes!$B$5:$B$154,0))&amp;"","")</f>
        <v/>
      </c>
      <c r="E41" s="15"/>
      <c r="F41" s="15"/>
      <c r="G41" s="15"/>
      <c r="H41" s="15"/>
      <c r="I41" s="15"/>
      <c r="J41" s="15"/>
      <c r="K41" s="9"/>
      <c r="L41" s="15"/>
      <c r="M41" s="15"/>
      <c r="N41" s="15"/>
      <c r="O41" s="15"/>
      <c r="P41" s="15"/>
      <c r="Q41" s="15"/>
      <c r="R41" s="9"/>
    </row>
    <row r="42" spans="1:18" x14ac:dyDescent="0.2">
      <c r="A42" s="7">
        <v>33</v>
      </c>
      <c r="B42" s="10" t="str">
        <f>IFERROR(INDEX(Personnes!$B$5:$B$154,MATCH(33,Personnes!$L$5:$L$154,0)),"")</f>
        <v/>
      </c>
      <c r="C42" s="10" t="str">
        <f>IFERROR(INDEX(Personnes!$C$5:$C$154,MATCH($B42,Personnes!$B$5:$B$154,0))&amp;"","")</f>
        <v/>
      </c>
      <c r="D42" s="10" t="str">
        <f>IFERROR(INDEX(Personnes!$D$5:$D$154,MATCH($B42,Personnes!$B$5:$B$154,0))&amp;"","")</f>
        <v/>
      </c>
      <c r="E42" s="15"/>
      <c r="F42" s="15"/>
      <c r="G42" s="15"/>
      <c r="H42" s="15"/>
      <c r="I42" s="15"/>
      <c r="J42" s="15"/>
      <c r="K42" s="9"/>
      <c r="L42" s="15"/>
      <c r="M42" s="15"/>
      <c r="N42" s="15"/>
      <c r="O42" s="15"/>
      <c r="P42" s="15"/>
      <c r="Q42" s="15"/>
      <c r="R42" s="9"/>
    </row>
    <row r="43" spans="1:18" x14ac:dyDescent="0.2">
      <c r="A43" s="7">
        <v>34</v>
      </c>
      <c r="B43" s="10" t="str">
        <f>IFERROR(INDEX(Personnes!$B$5:$B$154,MATCH(34,Personnes!$L$5:$L$154,0)),"")</f>
        <v/>
      </c>
      <c r="C43" s="10" t="str">
        <f>IFERROR(INDEX(Personnes!$C$5:$C$154,MATCH($B43,Personnes!$B$5:$B$154,0))&amp;"","")</f>
        <v/>
      </c>
      <c r="D43" s="10" t="str">
        <f>IFERROR(INDEX(Personnes!$D$5:$D$154,MATCH($B43,Personnes!$B$5:$B$154,0))&amp;"","")</f>
        <v/>
      </c>
      <c r="E43" s="15"/>
      <c r="F43" s="15"/>
      <c r="G43" s="15"/>
      <c r="H43" s="15"/>
      <c r="I43" s="15"/>
      <c r="J43" s="15"/>
      <c r="K43" s="9"/>
      <c r="L43" s="15"/>
      <c r="M43" s="15"/>
      <c r="N43" s="15"/>
      <c r="O43" s="15"/>
      <c r="P43" s="15"/>
      <c r="Q43" s="15"/>
      <c r="R43" s="9"/>
    </row>
    <row r="44" spans="1:18" x14ac:dyDescent="0.2">
      <c r="A44" s="7">
        <v>35</v>
      </c>
      <c r="B44" s="10" t="str">
        <f>IFERROR(INDEX(Personnes!$B$5:$B$154,MATCH(35,Personnes!$L$5:$L$154,0)),"")</f>
        <v/>
      </c>
      <c r="C44" s="10" t="str">
        <f>IFERROR(INDEX(Personnes!$C$5:$C$154,MATCH($B44,Personnes!$B$5:$B$154,0))&amp;"","")</f>
        <v/>
      </c>
      <c r="D44" s="10" t="str">
        <f>IFERROR(INDEX(Personnes!$D$5:$D$154,MATCH($B44,Personnes!$B$5:$B$154,0))&amp;"","")</f>
        <v/>
      </c>
      <c r="E44" s="15"/>
      <c r="F44" s="15"/>
      <c r="G44" s="15"/>
      <c r="H44" s="15"/>
      <c r="I44" s="15"/>
      <c r="J44" s="15"/>
      <c r="K44" s="9"/>
      <c r="L44" s="15"/>
      <c r="M44" s="15"/>
      <c r="N44" s="15"/>
      <c r="O44" s="15"/>
      <c r="P44" s="15"/>
      <c r="Q44" s="15"/>
      <c r="R44" s="9"/>
    </row>
    <row r="45" spans="1:18" x14ac:dyDescent="0.2">
      <c r="A45" s="7">
        <v>36</v>
      </c>
      <c r="B45" s="10" t="str">
        <f>IFERROR(INDEX(Personnes!$B$5:$B$154,MATCH(36,Personnes!$L$5:$L$154,0)),"")</f>
        <v/>
      </c>
      <c r="C45" s="10" t="str">
        <f>IFERROR(INDEX(Personnes!$C$5:$C$154,MATCH($B45,Personnes!$B$5:$B$154,0))&amp;"","")</f>
        <v/>
      </c>
      <c r="D45" s="10" t="str">
        <f>IFERROR(INDEX(Personnes!$D$5:$D$154,MATCH($B45,Personnes!$B$5:$B$154,0))&amp;"","")</f>
        <v/>
      </c>
      <c r="E45" s="15"/>
      <c r="F45" s="15"/>
      <c r="G45" s="15"/>
      <c r="H45" s="15"/>
      <c r="I45" s="15"/>
      <c r="J45" s="15"/>
      <c r="K45" s="9"/>
      <c r="L45" s="15"/>
      <c r="M45" s="15"/>
      <c r="N45" s="15"/>
      <c r="O45" s="15"/>
      <c r="P45" s="15"/>
      <c r="Q45" s="15"/>
      <c r="R45" s="9"/>
    </row>
    <row r="46" spans="1:18" x14ac:dyDescent="0.2">
      <c r="A46" s="7">
        <v>37</v>
      </c>
      <c r="B46" s="10" t="str">
        <f>IFERROR(INDEX(Personnes!$B$5:$B$154,MATCH(37,Personnes!$L$5:$L$154,0)),"")</f>
        <v/>
      </c>
      <c r="C46" s="10" t="str">
        <f>IFERROR(INDEX(Personnes!$C$5:$C$154,MATCH($B46,Personnes!$B$5:$B$154,0))&amp;"","")</f>
        <v/>
      </c>
      <c r="D46" s="10" t="str">
        <f>IFERROR(INDEX(Personnes!$D$5:$D$154,MATCH($B46,Personnes!$B$5:$B$154,0))&amp;"","")</f>
        <v/>
      </c>
      <c r="E46" s="15"/>
      <c r="F46" s="15"/>
      <c r="G46" s="15"/>
      <c r="H46" s="15"/>
      <c r="I46" s="15"/>
      <c r="J46" s="15"/>
      <c r="K46" s="9"/>
      <c r="L46" s="15"/>
      <c r="M46" s="15"/>
      <c r="N46" s="15"/>
      <c r="O46" s="15"/>
      <c r="P46" s="15"/>
      <c r="Q46" s="15"/>
      <c r="R46" s="9"/>
    </row>
    <row r="47" spans="1:18" x14ac:dyDescent="0.2">
      <c r="A47" s="7">
        <v>38</v>
      </c>
      <c r="B47" s="10" t="str">
        <f>IFERROR(INDEX(Personnes!$B$5:$B$154,MATCH(38,Personnes!$L$5:$L$154,0)),"")</f>
        <v/>
      </c>
      <c r="C47" s="10" t="str">
        <f>IFERROR(INDEX(Personnes!$C$5:$C$154,MATCH($B47,Personnes!$B$5:$B$154,0))&amp;"","")</f>
        <v/>
      </c>
      <c r="D47" s="10" t="str">
        <f>IFERROR(INDEX(Personnes!$D$5:$D$154,MATCH($B47,Personnes!$B$5:$B$154,0))&amp;"","")</f>
        <v/>
      </c>
      <c r="E47" s="15"/>
      <c r="F47" s="15"/>
      <c r="G47" s="15"/>
      <c r="H47" s="15"/>
      <c r="I47" s="15"/>
      <c r="J47" s="15"/>
      <c r="K47" s="9"/>
      <c r="L47" s="15"/>
      <c r="M47" s="15"/>
      <c r="N47" s="15"/>
      <c r="O47" s="15"/>
      <c r="P47" s="15"/>
      <c r="Q47" s="15"/>
      <c r="R47" s="9"/>
    </row>
    <row r="48" spans="1:18" x14ac:dyDescent="0.2">
      <c r="A48" s="7">
        <v>39</v>
      </c>
      <c r="B48" s="10" t="str">
        <f>IFERROR(INDEX(Personnes!$B$5:$B$154,MATCH(39,Personnes!$L$5:$L$154,0)),"")</f>
        <v/>
      </c>
      <c r="C48" s="10" t="str">
        <f>IFERROR(INDEX(Personnes!$C$5:$C$154,MATCH($B48,Personnes!$B$5:$B$154,0))&amp;"","")</f>
        <v/>
      </c>
      <c r="D48" s="10" t="str">
        <f>IFERROR(INDEX(Personnes!$D$5:$D$154,MATCH($B48,Personnes!$B$5:$B$154,0))&amp;"","")</f>
        <v/>
      </c>
      <c r="E48" s="15"/>
      <c r="F48" s="15"/>
      <c r="G48" s="15"/>
      <c r="H48" s="15"/>
      <c r="I48" s="15"/>
      <c r="J48" s="15"/>
      <c r="K48" s="9"/>
      <c r="L48" s="15"/>
      <c r="M48" s="15"/>
      <c r="N48" s="15"/>
      <c r="O48" s="15"/>
      <c r="P48" s="15"/>
      <c r="Q48" s="15"/>
      <c r="R48" s="9"/>
    </row>
    <row r="49" spans="1:18" x14ac:dyDescent="0.2">
      <c r="A49" s="7">
        <v>40</v>
      </c>
      <c r="B49" s="10" t="str">
        <f>IFERROR(INDEX(Personnes!$B$5:$B$154,MATCH(40,Personnes!$L$5:$L$154,0)),"")</f>
        <v/>
      </c>
      <c r="C49" s="10" t="str">
        <f>IFERROR(INDEX(Personnes!$C$5:$C$154,MATCH($B49,Personnes!$B$5:$B$154,0))&amp;"","")</f>
        <v/>
      </c>
      <c r="D49" s="10" t="str">
        <f>IFERROR(INDEX(Personnes!$D$5:$D$154,MATCH($B49,Personnes!$B$5:$B$154,0))&amp;"","")</f>
        <v/>
      </c>
      <c r="E49" s="15"/>
      <c r="F49" s="15"/>
      <c r="G49" s="15"/>
      <c r="H49" s="15"/>
      <c r="I49" s="15"/>
      <c r="J49" s="15"/>
      <c r="K49" s="9"/>
      <c r="L49" s="15"/>
      <c r="M49" s="15"/>
      <c r="N49" s="15"/>
      <c r="O49" s="15"/>
      <c r="P49" s="15"/>
      <c r="Q49" s="15"/>
      <c r="R49" s="9"/>
    </row>
    <row r="50" spans="1:18" x14ac:dyDescent="0.2">
      <c r="A50" s="7">
        <v>41</v>
      </c>
      <c r="B50" s="10" t="str">
        <f>IFERROR(INDEX(Personnes!$B$5:$B$154,MATCH(41,Personnes!$L$5:$L$154,0)),"")</f>
        <v/>
      </c>
      <c r="C50" s="10" t="str">
        <f>IFERROR(INDEX(Personnes!$C$5:$C$154,MATCH($B50,Personnes!$B$5:$B$154,0))&amp;"","")</f>
        <v/>
      </c>
      <c r="D50" s="10" t="str">
        <f>IFERROR(INDEX(Personnes!$D$5:$D$154,MATCH($B50,Personnes!$B$5:$B$154,0))&amp;"","")</f>
        <v/>
      </c>
      <c r="E50" s="15"/>
      <c r="F50" s="15"/>
      <c r="G50" s="15"/>
      <c r="H50" s="15"/>
      <c r="I50" s="15"/>
      <c r="J50" s="15"/>
      <c r="K50" s="9"/>
      <c r="L50" s="15"/>
      <c r="M50" s="15"/>
      <c r="N50" s="15"/>
      <c r="O50" s="15"/>
      <c r="P50" s="15"/>
      <c r="Q50" s="15"/>
      <c r="R50" s="9"/>
    </row>
    <row r="51" spans="1:18" x14ac:dyDescent="0.2">
      <c r="A51" s="7">
        <v>42</v>
      </c>
      <c r="B51" s="10" t="str">
        <f>IFERROR(INDEX(Personnes!$B$5:$B$154,MATCH(42,Personnes!$L$5:$L$154,0)),"")</f>
        <v/>
      </c>
      <c r="C51" s="10" t="str">
        <f>IFERROR(INDEX(Personnes!$C$5:$C$154,MATCH($B51,Personnes!$B$5:$B$154,0))&amp;"","")</f>
        <v/>
      </c>
      <c r="D51" s="10" t="str">
        <f>IFERROR(INDEX(Personnes!$D$5:$D$154,MATCH($B51,Personnes!$B$5:$B$154,0))&amp;"","")</f>
        <v/>
      </c>
      <c r="E51" s="15"/>
      <c r="F51" s="15"/>
      <c r="G51" s="15"/>
      <c r="H51" s="15"/>
      <c r="I51" s="15"/>
      <c r="J51" s="15"/>
      <c r="K51" s="9"/>
      <c r="L51" s="15"/>
      <c r="M51" s="15"/>
      <c r="N51" s="15"/>
      <c r="O51" s="15"/>
      <c r="P51" s="15"/>
      <c r="Q51" s="15"/>
      <c r="R51" s="9"/>
    </row>
    <row r="52" spans="1:18" x14ac:dyDescent="0.2">
      <c r="A52" s="7">
        <v>43</v>
      </c>
      <c r="B52" s="10" t="str">
        <f>IFERROR(INDEX(Personnes!$B$5:$B$154,MATCH(43,Personnes!$L$5:$L$154,0)),"")</f>
        <v/>
      </c>
      <c r="C52" s="10" t="str">
        <f>IFERROR(INDEX(Personnes!$C$5:$C$154,MATCH($B52,Personnes!$B$5:$B$154,0))&amp;"","")</f>
        <v/>
      </c>
      <c r="D52" s="10" t="str">
        <f>IFERROR(INDEX(Personnes!$D$5:$D$154,MATCH($B52,Personnes!$B$5:$B$154,0))&amp;"","")</f>
        <v/>
      </c>
      <c r="E52" s="15"/>
      <c r="F52" s="15"/>
      <c r="G52" s="15"/>
      <c r="H52" s="15"/>
      <c r="I52" s="15"/>
      <c r="J52" s="15"/>
      <c r="K52" s="9"/>
      <c r="L52" s="15"/>
      <c r="M52" s="15"/>
      <c r="N52" s="15"/>
      <c r="O52" s="15"/>
      <c r="P52" s="15"/>
      <c r="Q52" s="15"/>
      <c r="R52" s="9"/>
    </row>
    <row r="53" spans="1:18" x14ac:dyDescent="0.2">
      <c r="A53" s="7">
        <v>44</v>
      </c>
      <c r="B53" s="10" t="str">
        <f>IFERROR(INDEX(Personnes!$B$5:$B$154,MATCH(44,Personnes!$L$5:$L$154,0)),"")</f>
        <v/>
      </c>
      <c r="C53" s="10" t="str">
        <f>IFERROR(INDEX(Personnes!$C$5:$C$154,MATCH($B53,Personnes!$B$5:$B$154,0))&amp;"","")</f>
        <v/>
      </c>
      <c r="D53" s="10" t="str">
        <f>IFERROR(INDEX(Personnes!$D$5:$D$154,MATCH($B53,Personnes!$B$5:$B$154,0))&amp;"","")</f>
        <v/>
      </c>
      <c r="E53" s="15"/>
      <c r="F53" s="15"/>
      <c r="G53" s="15"/>
      <c r="H53" s="15"/>
      <c r="I53" s="15"/>
      <c r="J53" s="15"/>
      <c r="K53" s="9"/>
      <c r="L53" s="15"/>
      <c r="M53" s="15"/>
      <c r="N53" s="15"/>
      <c r="O53" s="15"/>
      <c r="P53" s="15"/>
      <c r="Q53" s="15"/>
      <c r="R53" s="9"/>
    </row>
    <row r="54" spans="1:18" x14ac:dyDescent="0.2">
      <c r="A54" s="7">
        <v>45</v>
      </c>
      <c r="B54" s="10" t="str">
        <f>IFERROR(INDEX(Personnes!$B$5:$B$154,MATCH(45,Personnes!$L$5:$L$154,0)),"")</f>
        <v/>
      </c>
      <c r="C54" s="10" t="str">
        <f>IFERROR(INDEX(Personnes!$C$5:$C$154,MATCH($B54,Personnes!$B$5:$B$154,0))&amp;"","")</f>
        <v/>
      </c>
      <c r="D54" s="10" t="str">
        <f>IFERROR(INDEX(Personnes!$D$5:$D$154,MATCH($B54,Personnes!$B$5:$B$154,0))&amp;"","")</f>
        <v/>
      </c>
      <c r="E54" s="15"/>
      <c r="F54" s="15"/>
      <c r="G54" s="15"/>
      <c r="H54" s="15"/>
      <c r="I54" s="15"/>
      <c r="J54" s="15"/>
      <c r="K54" s="9"/>
      <c r="L54" s="15"/>
      <c r="M54" s="15"/>
      <c r="N54" s="15"/>
      <c r="O54" s="15"/>
      <c r="P54" s="15"/>
      <c r="Q54" s="15"/>
      <c r="R54" s="9"/>
    </row>
    <row r="55" spans="1:18" x14ac:dyDescent="0.2">
      <c r="A55" s="7">
        <v>46</v>
      </c>
      <c r="B55" s="10" t="str">
        <f>IFERROR(INDEX(Personnes!$B$5:$B$154,MATCH(46,Personnes!$L$5:$L$154,0)),"")</f>
        <v/>
      </c>
      <c r="C55" s="10" t="str">
        <f>IFERROR(INDEX(Personnes!$C$5:$C$154,MATCH($B55,Personnes!$B$5:$B$154,0))&amp;"","")</f>
        <v/>
      </c>
      <c r="D55" s="10" t="str">
        <f>IFERROR(INDEX(Personnes!$D$5:$D$154,MATCH($B55,Personnes!$B$5:$B$154,0))&amp;"","")</f>
        <v/>
      </c>
      <c r="E55" s="15"/>
      <c r="F55" s="15"/>
      <c r="G55" s="15"/>
      <c r="H55" s="15"/>
      <c r="I55" s="15"/>
      <c r="J55" s="15"/>
      <c r="K55" s="9"/>
      <c r="L55" s="15"/>
      <c r="M55" s="15"/>
      <c r="N55" s="15"/>
      <c r="O55" s="15"/>
      <c r="P55" s="15"/>
      <c r="Q55" s="15"/>
      <c r="R55" s="9"/>
    </row>
    <row r="56" spans="1:18" x14ac:dyDescent="0.2">
      <c r="A56" s="7">
        <v>47</v>
      </c>
      <c r="B56" s="10" t="str">
        <f>IFERROR(INDEX(Personnes!$B$5:$B$154,MATCH(47,Personnes!$L$5:$L$154,0)),"")</f>
        <v/>
      </c>
      <c r="C56" s="10" t="str">
        <f>IFERROR(INDEX(Personnes!$C$5:$C$154,MATCH($B56,Personnes!$B$5:$B$154,0))&amp;"","")</f>
        <v/>
      </c>
      <c r="D56" s="10" t="str">
        <f>IFERROR(INDEX(Personnes!$D$5:$D$154,MATCH($B56,Personnes!$B$5:$B$154,0))&amp;"","")</f>
        <v/>
      </c>
      <c r="E56" s="15"/>
      <c r="F56" s="15"/>
      <c r="G56" s="15"/>
      <c r="H56" s="15"/>
      <c r="I56" s="15"/>
      <c r="J56" s="15"/>
      <c r="K56" s="9"/>
      <c r="L56" s="15"/>
      <c r="M56" s="15"/>
      <c r="N56" s="15"/>
      <c r="O56" s="15"/>
      <c r="P56" s="15"/>
      <c r="Q56" s="15"/>
      <c r="R56" s="9"/>
    </row>
    <row r="57" spans="1:18" x14ac:dyDescent="0.2">
      <c r="A57" s="7">
        <v>48</v>
      </c>
      <c r="B57" s="10" t="str">
        <f>IFERROR(INDEX(Personnes!$B$5:$B$154,MATCH(48,Personnes!$L$5:$L$154,0)),"")</f>
        <v/>
      </c>
      <c r="C57" s="10" t="str">
        <f>IFERROR(INDEX(Personnes!$C$5:$C$154,MATCH($B57,Personnes!$B$5:$B$154,0))&amp;"","")</f>
        <v/>
      </c>
      <c r="D57" s="10" t="str">
        <f>IFERROR(INDEX(Personnes!$D$5:$D$154,MATCH($B57,Personnes!$B$5:$B$154,0))&amp;"","")</f>
        <v/>
      </c>
      <c r="E57" s="15"/>
      <c r="F57" s="15"/>
      <c r="G57" s="15"/>
      <c r="H57" s="15"/>
      <c r="I57" s="15"/>
      <c r="J57" s="15"/>
      <c r="K57" s="9"/>
      <c r="L57" s="15"/>
      <c r="M57" s="15"/>
      <c r="N57" s="15"/>
      <c r="O57" s="15"/>
      <c r="P57" s="15"/>
      <c r="Q57" s="15"/>
      <c r="R57" s="9"/>
    </row>
    <row r="58" spans="1:18" x14ac:dyDescent="0.2">
      <c r="A58" s="7">
        <v>49</v>
      </c>
      <c r="B58" s="10" t="str">
        <f>IFERROR(INDEX(Personnes!$B$5:$B$154,MATCH(49,Personnes!$L$5:$L$154,0)),"")</f>
        <v/>
      </c>
      <c r="C58" s="10" t="str">
        <f>IFERROR(INDEX(Personnes!$C$5:$C$154,MATCH($B58,Personnes!$B$5:$B$154,0))&amp;"","")</f>
        <v/>
      </c>
      <c r="D58" s="10" t="str">
        <f>IFERROR(INDEX(Personnes!$D$5:$D$154,MATCH($B58,Personnes!$B$5:$B$154,0))&amp;"","")</f>
        <v/>
      </c>
      <c r="E58" s="15"/>
      <c r="F58" s="15"/>
      <c r="G58" s="15"/>
      <c r="H58" s="15"/>
      <c r="I58" s="15"/>
      <c r="J58" s="15"/>
      <c r="K58" s="9"/>
      <c r="L58" s="15"/>
      <c r="M58" s="15"/>
      <c r="N58" s="15"/>
      <c r="O58" s="15"/>
      <c r="P58" s="15"/>
      <c r="Q58" s="15"/>
      <c r="R58" s="9"/>
    </row>
    <row r="59" spans="1:18" x14ac:dyDescent="0.2">
      <c r="A59" s="7">
        <v>50</v>
      </c>
      <c r="B59" s="10" t="str">
        <f>IFERROR(INDEX(Personnes!$B$5:$B$154,MATCH(50,Personnes!$L$5:$L$154,0)),"")</f>
        <v/>
      </c>
      <c r="C59" s="10" t="str">
        <f>IFERROR(INDEX(Personnes!$C$5:$C$154,MATCH($B59,Personnes!$B$5:$B$154,0))&amp;"","")</f>
        <v/>
      </c>
      <c r="D59" s="10" t="str">
        <f>IFERROR(INDEX(Personnes!$D$5:$D$154,MATCH($B59,Personnes!$B$5:$B$154,0))&amp;"","")</f>
        <v/>
      </c>
      <c r="E59" s="15"/>
      <c r="F59" s="15"/>
      <c r="G59" s="15"/>
      <c r="H59" s="15"/>
      <c r="I59" s="15"/>
      <c r="J59" s="15"/>
      <c r="K59" s="9"/>
      <c r="L59" s="15"/>
      <c r="M59" s="15"/>
      <c r="N59" s="15"/>
      <c r="O59" s="15"/>
      <c r="P59" s="15"/>
      <c r="Q59" s="15"/>
      <c r="R59" s="9"/>
    </row>
    <row r="60" spans="1:18" x14ac:dyDescent="0.2">
      <c r="A60" s="7">
        <v>51</v>
      </c>
      <c r="B60" s="10" t="str">
        <f>IFERROR(INDEX(Personnes!$B$5:$B$154,MATCH(51,Personnes!$L$5:$L$154,0)),"")</f>
        <v/>
      </c>
      <c r="C60" s="10" t="str">
        <f>IFERROR(INDEX(Personnes!$C$5:$C$154,MATCH($B60,Personnes!$B$5:$B$154,0))&amp;"","")</f>
        <v/>
      </c>
      <c r="D60" s="10" t="str">
        <f>IFERROR(INDEX(Personnes!$D$5:$D$154,MATCH($B60,Personnes!$B$5:$B$154,0))&amp;"","")</f>
        <v/>
      </c>
      <c r="E60" s="15"/>
      <c r="F60" s="15"/>
      <c r="G60" s="15"/>
      <c r="H60" s="15"/>
      <c r="I60" s="15"/>
      <c r="J60" s="15"/>
      <c r="K60" s="9"/>
      <c r="L60" s="15"/>
      <c r="M60" s="15"/>
      <c r="N60" s="15"/>
      <c r="O60" s="15"/>
      <c r="P60" s="15"/>
      <c r="Q60" s="15"/>
      <c r="R60" s="9"/>
    </row>
    <row r="61" spans="1:18" x14ac:dyDescent="0.2">
      <c r="A61" s="7">
        <v>52</v>
      </c>
      <c r="B61" s="10" t="str">
        <f>IFERROR(INDEX(Personnes!$B$5:$B$154,MATCH(52,Personnes!$L$5:$L$154,0)),"")</f>
        <v/>
      </c>
      <c r="C61" s="10" t="str">
        <f>IFERROR(INDEX(Personnes!$C$5:$C$154,MATCH($B61,Personnes!$B$5:$B$154,0))&amp;"","")</f>
        <v/>
      </c>
      <c r="D61" s="10" t="str">
        <f>IFERROR(INDEX(Personnes!$D$5:$D$154,MATCH($B61,Personnes!$B$5:$B$154,0))&amp;"","")</f>
        <v/>
      </c>
      <c r="E61" s="15"/>
      <c r="F61" s="15"/>
      <c r="G61" s="15"/>
      <c r="H61" s="15"/>
      <c r="I61" s="15"/>
      <c r="J61" s="15"/>
      <c r="K61" s="9"/>
      <c r="L61" s="15"/>
      <c r="M61" s="15"/>
      <c r="N61" s="15"/>
      <c r="O61" s="15"/>
      <c r="P61" s="15"/>
      <c r="Q61" s="15"/>
      <c r="R61" s="9"/>
    </row>
    <row r="62" spans="1:18" x14ac:dyDescent="0.2">
      <c r="A62" s="7">
        <v>53</v>
      </c>
      <c r="B62" s="10" t="str">
        <f>IFERROR(INDEX(Personnes!$B$5:$B$154,MATCH(53,Personnes!$L$5:$L$154,0)),"")</f>
        <v/>
      </c>
      <c r="C62" s="10" t="str">
        <f>IFERROR(INDEX(Personnes!$C$5:$C$154,MATCH($B62,Personnes!$B$5:$B$154,0))&amp;"","")</f>
        <v/>
      </c>
      <c r="D62" s="10" t="str">
        <f>IFERROR(INDEX(Personnes!$D$5:$D$154,MATCH($B62,Personnes!$B$5:$B$154,0))&amp;"","")</f>
        <v/>
      </c>
      <c r="E62" s="15"/>
      <c r="F62" s="15"/>
      <c r="G62" s="15"/>
      <c r="H62" s="15"/>
      <c r="I62" s="15"/>
      <c r="J62" s="15"/>
      <c r="K62" s="9"/>
      <c r="L62" s="15"/>
      <c r="M62" s="15"/>
      <c r="N62" s="15"/>
      <c r="O62" s="15"/>
      <c r="P62" s="15"/>
      <c r="Q62" s="15"/>
      <c r="R62" s="9"/>
    </row>
    <row r="63" spans="1:18" x14ac:dyDescent="0.2">
      <c r="A63" s="7">
        <v>54</v>
      </c>
      <c r="B63" s="10" t="str">
        <f>IFERROR(INDEX(Personnes!$B$5:$B$154,MATCH(54,Personnes!$L$5:$L$154,0)),"")</f>
        <v/>
      </c>
      <c r="C63" s="10" t="str">
        <f>IFERROR(INDEX(Personnes!$C$5:$C$154,MATCH($B63,Personnes!$B$5:$B$154,0))&amp;"","")</f>
        <v/>
      </c>
      <c r="D63" s="10" t="str">
        <f>IFERROR(INDEX(Personnes!$D$5:$D$154,MATCH($B63,Personnes!$B$5:$B$154,0))&amp;"","")</f>
        <v/>
      </c>
      <c r="E63" s="15"/>
      <c r="F63" s="15"/>
      <c r="G63" s="15"/>
      <c r="H63" s="15"/>
      <c r="I63" s="15"/>
      <c r="J63" s="15"/>
      <c r="K63" s="9"/>
      <c r="L63" s="15"/>
      <c r="M63" s="15"/>
      <c r="N63" s="15"/>
      <c r="O63" s="15"/>
      <c r="P63" s="15"/>
      <c r="Q63" s="15"/>
      <c r="R63" s="9"/>
    </row>
    <row r="64" spans="1:18" x14ac:dyDescent="0.2">
      <c r="A64" s="7">
        <v>55</v>
      </c>
      <c r="B64" s="10" t="str">
        <f>IFERROR(INDEX(Personnes!$B$5:$B$154,MATCH(55,Personnes!$L$5:$L$154,0)),"")</f>
        <v/>
      </c>
      <c r="C64" s="10" t="str">
        <f>IFERROR(INDEX(Personnes!$C$5:$C$154,MATCH($B64,Personnes!$B$5:$B$154,0))&amp;"","")</f>
        <v/>
      </c>
      <c r="D64" s="10" t="str">
        <f>IFERROR(INDEX(Personnes!$D$5:$D$154,MATCH($B64,Personnes!$B$5:$B$154,0))&amp;"","")</f>
        <v/>
      </c>
      <c r="E64" s="15"/>
      <c r="F64" s="15"/>
      <c r="G64" s="15"/>
      <c r="H64" s="15"/>
      <c r="I64" s="15"/>
      <c r="J64" s="15"/>
      <c r="K64" s="9"/>
      <c r="L64" s="15"/>
      <c r="M64" s="15"/>
      <c r="N64" s="15"/>
      <c r="O64" s="15"/>
      <c r="P64" s="15"/>
      <c r="Q64" s="15"/>
      <c r="R64" s="9"/>
    </row>
    <row r="65" spans="1:18" x14ac:dyDescent="0.2">
      <c r="A65" s="7">
        <v>56</v>
      </c>
      <c r="B65" s="10" t="str">
        <f>IFERROR(INDEX(Personnes!$B$5:$B$154,MATCH(56,Personnes!$L$5:$L$154,0)),"")</f>
        <v/>
      </c>
      <c r="C65" s="10" t="str">
        <f>IFERROR(INDEX(Personnes!$C$5:$C$154,MATCH($B65,Personnes!$B$5:$B$154,0))&amp;"","")</f>
        <v/>
      </c>
      <c r="D65" s="10" t="str">
        <f>IFERROR(INDEX(Personnes!$D$5:$D$154,MATCH($B65,Personnes!$B$5:$B$154,0))&amp;"","")</f>
        <v/>
      </c>
      <c r="E65" s="15"/>
      <c r="F65" s="15"/>
      <c r="G65" s="15"/>
      <c r="H65" s="15"/>
      <c r="I65" s="15"/>
      <c r="J65" s="15"/>
      <c r="K65" s="9"/>
      <c r="L65" s="15"/>
      <c r="M65" s="15"/>
      <c r="N65" s="15"/>
      <c r="O65" s="15"/>
      <c r="P65" s="15"/>
      <c r="Q65" s="15"/>
      <c r="R65" s="9"/>
    </row>
    <row r="66" spans="1:18" x14ac:dyDescent="0.2">
      <c r="A66" s="7">
        <v>57</v>
      </c>
      <c r="B66" s="10" t="str">
        <f>IFERROR(INDEX(Personnes!$B$5:$B$154,MATCH(57,Personnes!$L$5:$L$154,0)),"")</f>
        <v/>
      </c>
      <c r="C66" s="10" t="str">
        <f>IFERROR(INDEX(Personnes!$C$5:$C$154,MATCH($B66,Personnes!$B$5:$B$154,0))&amp;"","")</f>
        <v/>
      </c>
      <c r="D66" s="10" t="str">
        <f>IFERROR(INDEX(Personnes!$D$5:$D$154,MATCH($B66,Personnes!$B$5:$B$154,0))&amp;"","")</f>
        <v/>
      </c>
      <c r="E66" s="15"/>
      <c r="F66" s="15"/>
      <c r="G66" s="15"/>
      <c r="H66" s="15"/>
      <c r="I66" s="15"/>
      <c r="J66" s="15"/>
      <c r="K66" s="9"/>
      <c r="L66" s="15"/>
      <c r="M66" s="15"/>
      <c r="N66" s="15"/>
      <c r="O66" s="15"/>
      <c r="P66" s="15"/>
      <c r="Q66" s="15"/>
      <c r="R66" s="9"/>
    </row>
    <row r="67" spans="1:18" x14ac:dyDescent="0.2">
      <c r="A67" s="7">
        <v>58</v>
      </c>
      <c r="B67" s="10" t="str">
        <f>IFERROR(INDEX(Personnes!$B$5:$B$154,MATCH(58,Personnes!$L$5:$L$154,0)),"")</f>
        <v/>
      </c>
      <c r="C67" s="10" t="str">
        <f>IFERROR(INDEX(Personnes!$C$5:$C$154,MATCH($B67,Personnes!$B$5:$B$154,0))&amp;"","")</f>
        <v/>
      </c>
      <c r="D67" s="10" t="str">
        <f>IFERROR(INDEX(Personnes!$D$5:$D$154,MATCH($B67,Personnes!$B$5:$B$154,0))&amp;"","")</f>
        <v/>
      </c>
      <c r="E67" s="15"/>
      <c r="F67" s="15"/>
      <c r="G67" s="15"/>
      <c r="H67" s="15"/>
      <c r="I67" s="15"/>
      <c r="J67" s="15"/>
      <c r="K67" s="9"/>
      <c r="L67" s="15"/>
      <c r="M67" s="15"/>
      <c r="N67" s="15"/>
      <c r="O67" s="15"/>
      <c r="P67" s="15"/>
      <c r="Q67" s="15"/>
      <c r="R67" s="9"/>
    </row>
    <row r="68" spans="1:18" x14ac:dyDescent="0.2">
      <c r="A68" s="7">
        <v>59</v>
      </c>
      <c r="B68" s="10" t="str">
        <f>IFERROR(INDEX(Personnes!$B$5:$B$154,MATCH(59,Personnes!$L$5:$L$154,0)),"")</f>
        <v/>
      </c>
      <c r="C68" s="10" t="str">
        <f>IFERROR(INDEX(Personnes!$C$5:$C$154,MATCH($B68,Personnes!$B$5:$B$154,0))&amp;"","")</f>
        <v/>
      </c>
      <c r="D68" s="10" t="str">
        <f>IFERROR(INDEX(Personnes!$D$5:$D$154,MATCH($B68,Personnes!$B$5:$B$154,0))&amp;"","")</f>
        <v/>
      </c>
      <c r="E68" s="15"/>
      <c r="F68" s="15"/>
      <c r="G68" s="15"/>
      <c r="H68" s="15"/>
      <c r="I68" s="15"/>
      <c r="J68" s="15"/>
      <c r="K68" s="9"/>
      <c r="L68" s="15"/>
      <c r="M68" s="15"/>
      <c r="N68" s="15"/>
      <c r="O68" s="15"/>
      <c r="P68" s="15"/>
      <c r="Q68" s="15"/>
      <c r="R68" s="9"/>
    </row>
    <row r="69" spans="1:18" x14ac:dyDescent="0.2">
      <c r="A69" s="7">
        <v>60</v>
      </c>
      <c r="B69" s="10" t="str">
        <f>IFERROR(INDEX(Personnes!$B$5:$B$154,MATCH(60,Personnes!$L$5:$L$154,0)),"")</f>
        <v/>
      </c>
      <c r="C69" s="10" t="str">
        <f>IFERROR(INDEX(Personnes!$C$5:$C$154,MATCH($B69,Personnes!$B$5:$B$154,0))&amp;"","")</f>
        <v/>
      </c>
      <c r="D69" s="10" t="str">
        <f>IFERROR(INDEX(Personnes!$D$5:$D$154,MATCH($B69,Personnes!$B$5:$B$154,0))&amp;"","")</f>
        <v/>
      </c>
      <c r="E69" s="15"/>
      <c r="F69" s="15"/>
      <c r="G69" s="15"/>
      <c r="H69" s="15"/>
      <c r="I69" s="15"/>
      <c r="J69" s="15"/>
      <c r="K69" s="9"/>
      <c r="L69" s="15"/>
      <c r="M69" s="15"/>
      <c r="N69" s="15"/>
      <c r="O69" s="15"/>
      <c r="P69" s="15"/>
      <c r="Q69" s="15"/>
      <c r="R69" s="9"/>
    </row>
    <row r="70" spans="1:18" x14ac:dyDescent="0.2">
      <c r="A70" s="7">
        <v>61</v>
      </c>
      <c r="B70" s="10" t="str">
        <f>IFERROR(INDEX(Personnes!$B$5:$B$154,MATCH(61,Personnes!$L$5:$L$154,0)),"")</f>
        <v/>
      </c>
      <c r="C70" s="10" t="str">
        <f>IFERROR(INDEX(Personnes!$C$5:$C$154,MATCH($B70,Personnes!$B$5:$B$154,0))&amp;"","")</f>
        <v/>
      </c>
      <c r="D70" s="10" t="str">
        <f>IFERROR(INDEX(Personnes!$D$5:$D$154,MATCH($B70,Personnes!$B$5:$B$154,0))&amp;"","")</f>
        <v/>
      </c>
      <c r="E70" s="15"/>
      <c r="F70" s="15"/>
      <c r="G70" s="15"/>
      <c r="H70" s="15"/>
      <c r="I70" s="15"/>
      <c r="J70" s="15"/>
      <c r="K70" s="9"/>
      <c r="L70" s="15"/>
      <c r="M70" s="15"/>
      <c r="N70" s="15"/>
      <c r="O70" s="15"/>
      <c r="P70" s="15"/>
      <c r="Q70" s="15"/>
      <c r="R70" s="9"/>
    </row>
    <row r="71" spans="1:18" x14ac:dyDescent="0.2">
      <c r="A71" s="7">
        <v>62</v>
      </c>
      <c r="B71" s="10" t="str">
        <f>IFERROR(INDEX(Personnes!$B$5:$B$154,MATCH(62,Personnes!$L$5:$L$154,0)),"")</f>
        <v/>
      </c>
      <c r="C71" s="10" t="str">
        <f>IFERROR(INDEX(Personnes!$C$5:$C$154,MATCH($B71,Personnes!$B$5:$B$154,0))&amp;"","")</f>
        <v/>
      </c>
      <c r="D71" s="10" t="str">
        <f>IFERROR(INDEX(Personnes!$D$5:$D$154,MATCH($B71,Personnes!$B$5:$B$154,0))&amp;"","")</f>
        <v/>
      </c>
      <c r="E71" s="15"/>
      <c r="F71" s="15"/>
      <c r="G71" s="15"/>
      <c r="H71" s="15"/>
      <c r="I71" s="15"/>
      <c r="J71" s="15"/>
      <c r="K71" s="9"/>
      <c r="L71" s="15"/>
      <c r="M71" s="15"/>
      <c r="N71" s="15"/>
      <c r="O71" s="15"/>
      <c r="P71" s="15"/>
      <c r="Q71" s="15"/>
      <c r="R71" s="9"/>
    </row>
    <row r="72" spans="1:18" x14ac:dyDescent="0.2">
      <c r="A72" s="7">
        <v>63</v>
      </c>
      <c r="B72" s="10" t="str">
        <f>IFERROR(INDEX(Personnes!$B$5:$B$154,MATCH(63,Personnes!$L$5:$L$154,0)),"")</f>
        <v/>
      </c>
      <c r="C72" s="10" t="str">
        <f>IFERROR(INDEX(Personnes!$C$5:$C$154,MATCH($B72,Personnes!$B$5:$B$154,0))&amp;"","")</f>
        <v/>
      </c>
      <c r="D72" s="10" t="str">
        <f>IFERROR(INDEX(Personnes!$D$5:$D$154,MATCH($B72,Personnes!$B$5:$B$154,0))&amp;"","")</f>
        <v/>
      </c>
      <c r="E72" s="15"/>
      <c r="F72" s="15"/>
      <c r="G72" s="15"/>
      <c r="H72" s="15"/>
      <c r="I72" s="15"/>
      <c r="J72" s="15"/>
      <c r="K72" s="9"/>
      <c r="L72" s="15"/>
      <c r="M72" s="15"/>
      <c r="N72" s="15"/>
      <c r="O72" s="15"/>
      <c r="P72" s="15"/>
      <c r="Q72" s="15"/>
      <c r="R72" s="9"/>
    </row>
    <row r="73" spans="1:18" x14ac:dyDescent="0.2">
      <c r="A73" s="7">
        <v>64</v>
      </c>
      <c r="B73" s="10" t="str">
        <f>IFERROR(INDEX(Personnes!$B$5:$B$154,MATCH(64,Personnes!$L$5:$L$154,0)),"")</f>
        <v/>
      </c>
      <c r="C73" s="10" t="str">
        <f>IFERROR(INDEX(Personnes!$C$5:$C$154,MATCH($B73,Personnes!$B$5:$B$154,0))&amp;"","")</f>
        <v/>
      </c>
      <c r="D73" s="10" t="str">
        <f>IFERROR(INDEX(Personnes!$D$5:$D$154,MATCH($B73,Personnes!$B$5:$B$154,0))&amp;"","")</f>
        <v/>
      </c>
      <c r="E73" s="15"/>
      <c r="F73" s="15"/>
      <c r="G73" s="15"/>
      <c r="H73" s="15"/>
      <c r="I73" s="15"/>
      <c r="J73" s="15"/>
      <c r="K73" s="9"/>
      <c r="L73" s="15"/>
      <c r="M73" s="15"/>
      <c r="N73" s="15"/>
      <c r="O73" s="15"/>
      <c r="P73" s="15"/>
      <c r="Q73" s="15"/>
      <c r="R73" s="9"/>
    </row>
    <row r="74" spans="1:18" x14ac:dyDescent="0.2">
      <c r="A74" s="7">
        <v>65</v>
      </c>
      <c r="B74" s="10" t="str">
        <f>IFERROR(INDEX(Personnes!$B$5:$B$154,MATCH(65,Personnes!$L$5:$L$154,0)),"")</f>
        <v/>
      </c>
      <c r="C74" s="10" t="str">
        <f>IFERROR(INDEX(Personnes!$C$5:$C$154,MATCH($B74,Personnes!$B$5:$B$154,0))&amp;"","")</f>
        <v/>
      </c>
      <c r="D74" s="10" t="str">
        <f>IFERROR(INDEX(Personnes!$D$5:$D$154,MATCH($B74,Personnes!$B$5:$B$154,0))&amp;"","")</f>
        <v/>
      </c>
      <c r="E74" s="15"/>
      <c r="F74" s="15"/>
      <c r="G74" s="15"/>
      <c r="H74" s="15"/>
      <c r="I74" s="15"/>
      <c r="J74" s="15"/>
      <c r="K74" s="9"/>
      <c r="L74" s="15"/>
      <c r="M74" s="15"/>
      <c r="N74" s="15"/>
      <c r="O74" s="15"/>
      <c r="P74" s="15"/>
      <c r="Q74" s="15"/>
      <c r="R74" s="9"/>
    </row>
    <row r="75" spans="1:18" x14ac:dyDescent="0.2">
      <c r="A75" s="7">
        <v>66</v>
      </c>
      <c r="B75" s="10" t="str">
        <f>IFERROR(INDEX(Personnes!$B$5:$B$154,MATCH(66,Personnes!$L$5:$L$154,0)),"")</f>
        <v/>
      </c>
      <c r="C75" s="10" t="str">
        <f>IFERROR(INDEX(Personnes!$C$5:$C$154,MATCH($B75,Personnes!$B$5:$B$154,0))&amp;"","")</f>
        <v/>
      </c>
      <c r="D75" s="10" t="str">
        <f>IFERROR(INDEX(Personnes!$D$5:$D$154,MATCH($B75,Personnes!$B$5:$B$154,0))&amp;"","")</f>
        <v/>
      </c>
      <c r="E75" s="15"/>
      <c r="F75" s="15"/>
      <c r="G75" s="15"/>
      <c r="H75" s="15"/>
      <c r="I75" s="15"/>
      <c r="J75" s="15"/>
      <c r="K75" s="9"/>
      <c r="L75" s="15"/>
      <c r="M75" s="15"/>
      <c r="N75" s="15"/>
      <c r="O75" s="15"/>
      <c r="P75" s="15"/>
      <c r="Q75" s="15"/>
      <c r="R75" s="9"/>
    </row>
    <row r="76" spans="1:18" x14ac:dyDescent="0.2">
      <c r="A76" s="7">
        <v>67</v>
      </c>
      <c r="B76" s="10" t="str">
        <f>IFERROR(INDEX(Personnes!$B$5:$B$154,MATCH(67,Personnes!$L$5:$L$154,0)),"")</f>
        <v/>
      </c>
      <c r="C76" s="10" t="str">
        <f>IFERROR(INDEX(Personnes!$C$5:$C$154,MATCH($B76,Personnes!$B$5:$B$154,0))&amp;"","")</f>
        <v/>
      </c>
      <c r="D76" s="10" t="str">
        <f>IFERROR(INDEX(Personnes!$D$5:$D$154,MATCH($B76,Personnes!$B$5:$B$154,0))&amp;"","")</f>
        <v/>
      </c>
      <c r="E76" s="15"/>
      <c r="F76" s="15"/>
      <c r="G76" s="15"/>
      <c r="H76" s="15"/>
      <c r="I76" s="15"/>
      <c r="J76" s="15"/>
      <c r="K76" s="9"/>
      <c r="L76" s="15"/>
      <c r="M76" s="15"/>
      <c r="N76" s="15"/>
      <c r="O76" s="15"/>
      <c r="P76" s="15"/>
      <c r="Q76" s="15"/>
      <c r="R76" s="9"/>
    </row>
    <row r="77" spans="1:18" x14ac:dyDescent="0.2">
      <c r="A77" s="7">
        <v>68</v>
      </c>
      <c r="B77" s="10" t="str">
        <f>IFERROR(INDEX(Personnes!$B$5:$B$154,MATCH(68,Personnes!$L$5:$L$154,0)),"")</f>
        <v/>
      </c>
      <c r="C77" s="10" t="str">
        <f>IFERROR(INDEX(Personnes!$C$5:$C$154,MATCH($B77,Personnes!$B$5:$B$154,0))&amp;"","")</f>
        <v/>
      </c>
      <c r="D77" s="10" t="str">
        <f>IFERROR(INDEX(Personnes!$D$5:$D$154,MATCH($B77,Personnes!$B$5:$B$154,0))&amp;"","")</f>
        <v/>
      </c>
      <c r="E77" s="15"/>
      <c r="F77" s="15"/>
      <c r="G77" s="15"/>
      <c r="H77" s="15"/>
      <c r="I77" s="15"/>
      <c r="J77" s="15"/>
      <c r="K77" s="9"/>
      <c r="L77" s="15"/>
      <c r="M77" s="15"/>
      <c r="N77" s="15"/>
      <c r="O77" s="15"/>
      <c r="P77" s="15"/>
      <c r="Q77" s="15"/>
      <c r="R77" s="9"/>
    </row>
    <row r="78" spans="1:18" x14ac:dyDescent="0.2">
      <c r="A78" s="7">
        <v>69</v>
      </c>
      <c r="B78" s="10" t="str">
        <f>IFERROR(INDEX(Personnes!$B$5:$B$154,MATCH(69,Personnes!$L$5:$L$154,0)),"")</f>
        <v/>
      </c>
      <c r="C78" s="10" t="str">
        <f>IFERROR(INDEX(Personnes!$C$5:$C$154,MATCH($B78,Personnes!$B$5:$B$154,0))&amp;"","")</f>
        <v/>
      </c>
      <c r="D78" s="10" t="str">
        <f>IFERROR(INDEX(Personnes!$D$5:$D$154,MATCH($B78,Personnes!$B$5:$B$154,0))&amp;"","")</f>
        <v/>
      </c>
      <c r="E78" s="15"/>
      <c r="F78" s="15"/>
      <c r="G78" s="15"/>
      <c r="H78" s="15"/>
      <c r="I78" s="15"/>
      <c r="J78" s="15"/>
      <c r="K78" s="9"/>
      <c r="L78" s="15"/>
      <c r="M78" s="15"/>
      <c r="N78" s="15"/>
      <c r="O78" s="15"/>
      <c r="P78" s="15"/>
      <c r="Q78" s="15"/>
      <c r="R78" s="9"/>
    </row>
    <row r="79" spans="1:18" x14ac:dyDescent="0.2">
      <c r="A79" s="7">
        <v>70</v>
      </c>
      <c r="B79" s="10" t="str">
        <f>IFERROR(INDEX(Personnes!$B$5:$B$154,MATCH(70,Personnes!$L$5:$L$154,0)),"")</f>
        <v/>
      </c>
      <c r="C79" s="10" t="str">
        <f>IFERROR(INDEX(Personnes!$C$5:$C$154,MATCH($B79,Personnes!$B$5:$B$154,0))&amp;"","")</f>
        <v/>
      </c>
      <c r="D79" s="10" t="str">
        <f>IFERROR(INDEX(Personnes!$D$5:$D$154,MATCH($B79,Personnes!$B$5:$B$154,0))&amp;"","")</f>
        <v/>
      </c>
      <c r="E79" s="15"/>
      <c r="F79" s="15"/>
      <c r="G79" s="15"/>
      <c r="H79" s="15"/>
      <c r="I79" s="15"/>
      <c r="J79" s="15"/>
      <c r="K79" s="9"/>
      <c r="L79" s="15"/>
      <c r="M79" s="15"/>
      <c r="N79" s="15"/>
      <c r="O79" s="15"/>
      <c r="P79" s="15"/>
      <c r="Q79" s="15"/>
      <c r="R79" s="9"/>
    </row>
    <row r="80" spans="1:18" x14ac:dyDescent="0.2">
      <c r="A80" s="7">
        <v>71</v>
      </c>
      <c r="B80" s="10" t="str">
        <f>IFERROR(INDEX(Personnes!$B$5:$B$154,MATCH(71,Personnes!$L$5:$L$154,0)),"")</f>
        <v/>
      </c>
      <c r="C80" s="10" t="str">
        <f>IFERROR(INDEX(Personnes!$C$5:$C$154,MATCH($B80,Personnes!$B$5:$B$154,0))&amp;"","")</f>
        <v/>
      </c>
      <c r="D80" s="10" t="str">
        <f>IFERROR(INDEX(Personnes!$D$5:$D$154,MATCH($B80,Personnes!$B$5:$B$154,0))&amp;"","")</f>
        <v/>
      </c>
      <c r="E80" s="15"/>
      <c r="F80" s="15"/>
      <c r="G80" s="15"/>
      <c r="H80" s="15"/>
      <c r="I80" s="15"/>
      <c r="J80" s="15"/>
      <c r="K80" s="9"/>
      <c r="L80" s="15"/>
      <c r="M80" s="15"/>
      <c r="N80" s="15"/>
      <c r="O80" s="15"/>
      <c r="P80" s="15"/>
      <c r="Q80" s="15"/>
      <c r="R80" s="9"/>
    </row>
    <row r="81" spans="1:18" x14ac:dyDescent="0.2">
      <c r="A81" s="7">
        <v>72</v>
      </c>
      <c r="B81" s="10" t="str">
        <f>IFERROR(INDEX(Personnes!$B$5:$B$154,MATCH(72,Personnes!$L$5:$L$154,0)),"")</f>
        <v/>
      </c>
      <c r="C81" s="10" t="str">
        <f>IFERROR(INDEX(Personnes!$C$5:$C$154,MATCH($B81,Personnes!$B$5:$B$154,0))&amp;"","")</f>
        <v/>
      </c>
      <c r="D81" s="10" t="str">
        <f>IFERROR(INDEX(Personnes!$D$5:$D$154,MATCH($B81,Personnes!$B$5:$B$154,0))&amp;"","")</f>
        <v/>
      </c>
      <c r="E81" s="15"/>
      <c r="F81" s="15"/>
      <c r="G81" s="15"/>
      <c r="H81" s="15"/>
      <c r="I81" s="15"/>
      <c r="J81" s="15"/>
      <c r="K81" s="9"/>
      <c r="L81" s="15"/>
      <c r="M81" s="15"/>
      <c r="N81" s="15"/>
      <c r="O81" s="15"/>
      <c r="P81" s="15"/>
      <c r="Q81" s="15"/>
      <c r="R81" s="9"/>
    </row>
    <row r="82" spans="1:18" x14ac:dyDescent="0.2">
      <c r="A82" s="7">
        <v>73</v>
      </c>
      <c r="B82" s="10" t="str">
        <f>IFERROR(INDEX(Personnes!$B$5:$B$154,MATCH(73,Personnes!$L$5:$L$154,0)),"")</f>
        <v/>
      </c>
      <c r="C82" s="10" t="str">
        <f>IFERROR(INDEX(Personnes!$C$5:$C$154,MATCH($B82,Personnes!$B$5:$B$154,0))&amp;"","")</f>
        <v/>
      </c>
      <c r="D82" s="10" t="str">
        <f>IFERROR(INDEX(Personnes!$D$5:$D$154,MATCH($B82,Personnes!$B$5:$B$154,0))&amp;"","")</f>
        <v/>
      </c>
      <c r="E82" s="15"/>
      <c r="F82" s="15"/>
      <c r="G82" s="15"/>
      <c r="H82" s="15"/>
      <c r="I82" s="15"/>
      <c r="J82" s="15"/>
      <c r="K82" s="9"/>
      <c r="L82" s="15"/>
      <c r="M82" s="15"/>
      <c r="N82" s="15"/>
      <c r="O82" s="15"/>
      <c r="P82" s="15"/>
      <c r="Q82" s="15"/>
      <c r="R82" s="9"/>
    </row>
    <row r="83" spans="1:18" x14ac:dyDescent="0.2">
      <c r="A83" s="7">
        <v>74</v>
      </c>
      <c r="B83" s="10" t="str">
        <f>IFERROR(INDEX(Personnes!$B$5:$B$154,MATCH(74,Personnes!$L$5:$L$154,0)),"")</f>
        <v/>
      </c>
      <c r="C83" s="10" t="str">
        <f>IFERROR(INDEX(Personnes!$C$5:$C$154,MATCH($B83,Personnes!$B$5:$B$154,0))&amp;"","")</f>
        <v/>
      </c>
      <c r="D83" s="10" t="str">
        <f>IFERROR(INDEX(Personnes!$D$5:$D$154,MATCH($B83,Personnes!$B$5:$B$154,0))&amp;"","")</f>
        <v/>
      </c>
      <c r="E83" s="15"/>
      <c r="F83" s="15"/>
      <c r="G83" s="15"/>
      <c r="H83" s="15"/>
      <c r="I83" s="15"/>
      <c r="J83" s="15"/>
      <c r="K83" s="9"/>
      <c r="L83" s="15"/>
      <c r="M83" s="15"/>
      <c r="N83" s="15"/>
      <c r="O83" s="15"/>
      <c r="P83" s="15"/>
      <c r="Q83" s="15"/>
      <c r="R83" s="9"/>
    </row>
    <row r="84" spans="1:18" x14ac:dyDescent="0.2">
      <c r="A84" s="7">
        <v>75</v>
      </c>
      <c r="B84" s="10" t="str">
        <f>IFERROR(INDEX(Personnes!$B$5:$B$154,MATCH(75,Personnes!$L$5:$L$154,0)),"")</f>
        <v/>
      </c>
      <c r="C84" s="10" t="str">
        <f>IFERROR(INDEX(Personnes!$C$5:$C$154,MATCH($B84,Personnes!$B$5:$B$154,0))&amp;"","")</f>
        <v/>
      </c>
      <c r="D84" s="10" t="str">
        <f>IFERROR(INDEX(Personnes!$D$5:$D$154,MATCH($B84,Personnes!$B$5:$B$154,0))&amp;"","")</f>
        <v/>
      </c>
      <c r="E84" s="15"/>
      <c r="F84" s="15"/>
      <c r="G84" s="15"/>
      <c r="H84" s="15"/>
      <c r="I84" s="15"/>
      <c r="J84" s="15"/>
      <c r="K84" s="9"/>
      <c r="L84" s="15"/>
      <c r="M84" s="15"/>
      <c r="N84" s="15"/>
      <c r="O84" s="15"/>
      <c r="P84" s="15"/>
      <c r="Q84" s="15"/>
      <c r="R84" s="9"/>
    </row>
    <row r="85" spans="1:18" x14ac:dyDescent="0.2">
      <c r="A85" s="7">
        <v>76</v>
      </c>
      <c r="B85" s="10" t="str">
        <f>IFERROR(INDEX(Personnes!$B$5:$B$154,MATCH(76,Personnes!$L$5:$L$154,0)),"")</f>
        <v/>
      </c>
      <c r="C85" s="10" t="str">
        <f>IFERROR(INDEX(Personnes!$C$5:$C$154,MATCH($B85,Personnes!$B$5:$B$154,0))&amp;"","")</f>
        <v/>
      </c>
      <c r="D85" s="10" t="str">
        <f>IFERROR(INDEX(Personnes!$D$5:$D$154,MATCH($B85,Personnes!$B$5:$B$154,0))&amp;"","")</f>
        <v/>
      </c>
      <c r="E85" s="15"/>
      <c r="F85" s="15"/>
      <c r="G85" s="15"/>
      <c r="H85" s="15"/>
      <c r="I85" s="15"/>
      <c r="J85" s="15"/>
      <c r="K85" s="9"/>
      <c r="L85" s="15"/>
      <c r="M85" s="15"/>
      <c r="N85" s="15"/>
      <c r="O85" s="15"/>
      <c r="P85" s="15"/>
      <c r="Q85" s="15"/>
      <c r="R85" s="9"/>
    </row>
    <row r="86" spans="1:18" x14ac:dyDescent="0.2">
      <c r="A86" s="7">
        <v>77</v>
      </c>
      <c r="B86" s="10" t="str">
        <f>IFERROR(INDEX(Personnes!$B$5:$B$154,MATCH(77,Personnes!$L$5:$L$154,0)),"")</f>
        <v/>
      </c>
      <c r="C86" s="10" t="str">
        <f>IFERROR(INDEX(Personnes!$C$5:$C$154,MATCH($B86,Personnes!$B$5:$B$154,0))&amp;"","")</f>
        <v/>
      </c>
      <c r="D86" s="10" t="str">
        <f>IFERROR(INDEX(Personnes!$D$5:$D$154,MATCH($B86,Personnes!$B$5:$B$154,0))&amp;"","")</f>
        <v/>
      </c>
      <c r="E86" s="15"/>
      <c r="F86" s="15"/>
      <c r="G86" s="15"/>
      <c r="H86" s="15"/>
      <c r="I86" s="15"/>
      <c r="J86" s="15"/>
      <c r="K86" s="9"/>
      <c r="L86" s="15"/>
      <c r="M86" s="15"/>
      <c r="N86" s="15"/>
      <c r="O86" s="15"/>
      <c r="P86" s="15"/>
      <c r="Q86" s="15"/>
      <c r="R86" s="9"/>
    </row>
    <row r="87" spans="1:18" x14ac:dyDescent="0.2">
      <c r="A87" s="7">
        <v>78</v>
      </c>
      <c r="B87" s="10" t="str">
        <f>IFERROR(INDEX(Personnes!$B$5:$B$154,MATCH(78,Personnes!$L$5:$L$154,0)),"")</f>
        <v/>
      </c>
      <c r="C87" s="10" t="str">
        <f>IFERROR(INDEX(Personnes!$C$5:$C$154,MATCH($B87,Personnes!$B$5:$B$154,0))&amp;"","")</f>
        <v/>
      </c>
      <c r="D87" s="10" t="str">
        <f>IFERROR(INDEX(Personnes!$D$5:$D$154,MATCH($B87,Personnes!$B$5:$B$154,0))&amp;"","")</f>
        <v/>
      </c>
      <c r="E87" s="15"/>
      <c r="F87" s="15"/>
      <c r="G87" s="15"/>
      <c r="H87" s="15"/>
      <c r="I87" s="15"/>
      <c r="J87" s="15"/>
      <c r="K87" s="9"/>
      <c r="L87" s="15"/>
      <c r="M87" s="15"/>
      <c r="N87" s="15"/>
      <c r="O87" s="15"/>
      <c r="P87" s="15"/>
      <c r="Q87" s="15"/>
      <c r="R87" s="9"/>
    </row>
    <row r="88" spans="1:18" x14ac:dyDescent="0.2">
      <c r="A88" s="7">
        <v>79</v>
      </c>
      <c r="B88" s="10" t="str">
        <f>IFERROR(INDEX(Personnes!$B$5:$B$154,MATCH(79,Personnes!$L$5:$L$154,0)),"")</f>
        <v/>
      </c>
      <c r="C88" s="10" t="str">
        <f>IFERROR(INDEX(Personnes!$C$5:$C$154,MATCH($B88,Personnes!$B$5:$B$154,0))&amp;"","")</f>
        <v/>
      </c>
      <c r="D88" s="10" t="str">
        <f>IFERROR(INDEX(Personnes!$D$5:$D$154,MATCH($B88,Personnes!$B$5:$B$154,0))&amp;"","")</f>
        <v/>
      </c>
      <c r="E88" s="15"/>
      <c r="F88" s="15"/>
      <c r="G88" s="15"/>
      <c r="H88" s="15"/>
      <c r="I88" s="15"/>
      <c r="J88" s="15"/>
      <c r="K88" s="9"/>
      <c r="L88" s="15"/>
      <c r="M88" s="15"/>
      <c r="N88" s="15"/>
      <c r="O88" s="15"/>
      <c r="P88" s="15"/>
      <c r="Q88" s="15"/>
      <c r="R88" s="9"/>
    </row>
    <row r="89" spans="1:18" x14ac:dyDescent="0.2">
      <c r="A89" s="7">
        <v>80</v>
      </c>
      <c r="B89" s="10" t="str">
        <f>IFERROR(INDEX(Personnes!$B$5:$B$154,MATCH(80,Personnes!$L$5:$L$154,0)),"")</f>
        <v/>
      </c>
      <c r="C89" s="10" t="str">
        <f>IFERROR(INDEX(Personnes!$C$5:$C$154,MATCH($B89,Personnes!$B$5:$B$154,0))&amp;"","")</f>
        <v/>
      </c>
      <c r="D89" s="10" t="str">
        <f>IFERROR(INDEX(Personnes!$D$5:$D$154,MATCH($B89,Personnes!$B$5:$B$154,0))&amp;"","")</f>
        <v/>
      </c>
      <c r="E89" s="15"/>
      <c r="F89" s="15"/>
      <c r="G89" s="15"/>
      <c r="H89" s="15"/>
      <c r="I89" s="15"/>
      <c r="J89" s="15"/>
      <c r="K89" s="9"/>
      <c r="L89" s="15"/>
      <c r="M89" s="15"/>
      <c r="N89" s="15"/>
      <c r="O89" s="15"/>
      <c r="P89" s="15"/>
      <c r="Q89" s="15"/>
      <c r="R89" s="9"/>
    </row>
    <row r="90" spans="1:18" x14ac:dyDescent="0.2">
      <c r="A90" s="7">
        <v>81</v>
      </c>
      <c r="B90" s="10" t="str">
        <f>IFERROR(INDEX(Personnes!$B$5:$B$154,MATCH(81,Personnes!$L$5:$L$154,0)),"")</f>
        <v/>
      </c>
      <c r="C90" s="10" t="str">
        <f>IFERROR(INDEX(Personnes!$C$5:$C$154,MATCH($B90,Personnes!$B$5:$B$154,0))&amp;"","")</f>
        <v/>
      </c>
      <c r="D90" s="10" t="str">
        <f>IFERROR(INDEX(Personnes!$D$5:$D$154,MATCH($B90,Personnes!$B$5:$B$154,0))&amp;"","")</f>
        <v/>
      </c>
      <c r="E90" s="15"/>
      <c r="F90" s="15"/>
      <c r="G90" s="15"/>
      <c r="H90" s="15"/>
      <c r="I90" s="15"/>
      <c r="J90" s="15"/>
      <c r="K90" s="9"/>
      <c r="L90" s="15"/>
      <c r="M90" s="15"/>
      <c r="N90" s="15"/>
      <c r="O90" s="15"/>
      <c r="P90" s="15"/>
      <c r="Q90" s="15"/>
      <c r="R90" s="9"/>
    </row>
    <row r="91" spans="1:18" x14ac:dyDescent="0.2">
      <c r="A91" s="7">
        <v>82</v>
      </c>
      <c r="B91" s="10" t="str">
        <f>IFERROR(INDEX(Personnes!$B$5:$B$154,MATCH(82,Personnes!$L$5:$L$154,0)),"")</f>
        <v/>
      </c>
      <c r="C91" s="10" t="str">
        <f>IFERROR(INDEX(Personnes!$C$5:$C$154,MATCH($B91,Personnes!$B$5:$B$154,0))&amp;"","")</f>
        <v/>
      </c>
      <c r="D91" s="10" t="str">
        <f>IFERROR(INDEX(Personnes!$D$5:$D$154,MATCH($B91,Personnes!$B$5:$B$154,0))&amp;"","")</f>
        <v/>
      </c>
      <c r="E91" s="15"/>
      <c r="F91" s="15"/>
      <c r="G91" s="15"/>
      <c r="H91" s="15"/>
      <c r="I91" s="15"/>
      <c r="J91" s="15"/>
      <c r="K91" s="9"/>
      <c r="L91" s="15"/>
      <c r="M91" s="15"/>
      <c r="N91" s="15"/>
      <c r="O91" s="15"/>
      <c r="P91" s="15"/>
      <c r="Q91" s="15"/>
      <c r="R91" s="9"/>
    </row>
    <row r="92" spans="1:18" x14ac:dyDescent="0.2">
      <c r="A92" s="7">
        <v>83</v>
      </c>
      <c r="B92" s="10" t="str">
        <f>IFERROR(INDEX(Personnes!$B$5:$B$154,MATCH(83,Personnes!$L$5:$L$154,0)),"")</f>
        <v/>
      </c>
      <c r="C92" s="10" t="str">
        <f>IFERROR(INDEX(Personnes!$C$5:$C$154,MATCH($B92,Personnes!$B$5:$B$154,0))&amp;"","")</f>
        <v/>
      </c>
      <c r="D92" s="10" t="str">
        <f>IFERROR(INDEX(Personnes!$D$5:$D$154,MATCH($B92,Personnes!$B$5:$B$154,0))&amp;"","")</f>
        <v/>
      </c>
      <c r="E92" s="15"/>
      <c r="F92" s="15"/>
      <c r="G92" s="15"/>
      <c r="H92" s="15"/>
      <c r="I92" s="15"/>
      <c r="J92" s="15"/>
      <c r="K92" s="9"/>
      <c r="L92" s="15"/>
      <c r="M92" s="15"/>
      <c r="N92" s="15"/>
      <c r="O92" s="15"/>
      <c r="P92" s="15"/>
      <c r="Q92" s="15"/>
      <c r="R92" s="9"/>
    </row>
    <row r="93" spans="1:18" x14ac:dyDescent="0.2">
      <c r="A93" s="7">
        <v>84</v>
      </c>
      <c r="B93" s="10" t="str">
        <f>IFERROR(INDEX(Personnes!$B$5:$B$154,MATCH(84,Personnes!$L$5:$L$154,0)),"")</f>
        <v/>
      </c>
      <c r="C93" s="10" t="str">
        <f>IFERROR(INDEX(Personnes!$C$5:$C$154,MATCH($B93,Personnes!$B$5:$B$154,0))&amp;"","")</f>
        <v/>
      </c>
      <c r="D93" s="10" t="str">
        <f>IFERROR(INDEX(Personnes!$D$5:$D$154,MATCH($B93,Personnes!$B$5:$B$154,0))&amp;"","")</f>
        <v/>
      </c>
      <c r="E93" s="15"/>
      <c r="F93" s="15"/>
      <c r="G93" s="15"/>
      <c r="H93" s="15"/>
      <c r="I93" s="15"/>
      <c r="J93" s="15"/>
      <c r="K93" s="9"/>
      <c r="L93" s="15"/>
      <c r="M93" s="15"/>
      <c r="N93" s="15"/>
      <c r="O93" s="15"/>
      <c r="P93" s="15"/>
      <c r="Q93" s="15"/>
      <c r="R93" s="9"/>
    </row>
    <row r="94" spans="1:18" x14ac:dyDescent="0.2">
      <c r="A94" s="7">
        <v>85</v>
      </c>
      <c r="B94" s="10" t="str">
        <f>IFERROR(INDEX(Personnes!$B$5:$B$154,MATCH(85,Personnes!$L$5:$L$154,0)),"")</f>
        <v/>
      </c>
      <c r="C94" s="10" t="str">
        <f>IFERROR(INDEX(Personnes!$C$5:$C$154,MATCH($B94,Personnes!$B$5:$B$154,0))&amp;"","")</f>
        <v/>
      </c>
      <c r="D94" s="10" t="str">
        <f>IFERROR(INDEX(Personnes!$D$5:$D$154,MATCH($B94,Personnes!$B$5:$B$154,0))&amp;"","")</f>
        <v/>
      </c>
      <c r="E94" s="15"/>
      <c r="F94" s="15"/>
      <c r="G94" s="15"/>
      <c r="H94" s="15"/>
      <c r="I94" s="15"/>
      <c r="J94" s="15"/>
      <c r="K94" s="9"/>
      <c r="L94" s="15"/>
      <c r="M94" s="15"/>
      <c r="N94" s="15"/>
      <c r="O94" s="15"/>
      <c r="P94" s="15"/>
      <c r="Q94" s="15"/>
      <c r="R94" s="9"/>
    </row>
    <row r="95" spans="1:18" x14ac:dyDescent="0.2">
      <c r="A95" s="7">
        <v>86</v>
      </c>
      <c r="B95" s="10" t="str">
        <f>IFERROR(INDEX(Personnes!$B$5:$B$154,MATCH(86,Personnes!$L$5:$L$154,0)),"")</f>
        <v/>
      </c>
      <c r="C95" s="10" t="str">
        <f>IFERROR(INDEX(Personnes!$C$5:$C$154,MATCH($B95,Personnes!$B$5:$B$154,0))&amp;"","")</f>
        <v/>
      </c>
      <c r="D95" s="10" t="str">
        <f>IFERROR(INDEX(Personnes!$D$5:$D$154,MATCH($B95,Personnes!$B$5:$B$154,0))&amp;"","")</f>
        <v/>
      </c>
      <c r="E95" s="15"/>
      <c r="F95" s="15"/>
      <c r="G95" s="15"/>
      <c r="H95" s="15"/>
      <c r="I95" s="15"/>
      <c r="J95" s="15"/>
      <c r="K95" s="9"/>
      <c r="L95" s="15"/>
      <c r="M95" s="15"/>
      <c r="N95" s="15"/>
      <c r="O95" s="15"/>
      <c r="P95" s="15"/>
      <c r="Q95" s="15"/>
      <c r="R95" s="9"/>
    </row>
    <row r="96" spans="1:18" x14ac:dyDescent="0.2">
      <c r="A96" s="7">
        <v>87</v>
      </c>
      <c r="B96" s="10" t="str">
        <f>IFERROR(INDEX(Personnes!$B$5:$B$154,MATCH(87,Personnes!$L$5:$L$154,0)),"")</f>
        <v/>
      </c>
      <c r="C96" s="10" t="str">
        <f>IFERROR(INDEX(Personnes!$C$5:$C$154,MATCH($B96,Personnes!$B$5:$B$154,0))&amp;"","")</f>
        <v/>
      </c>
      <c r="D96" s="10" t="str">
        <f>IFERROR(INDEX(Personnes!$D$5:$D$154,MATCH($B96,Personnes!$B$5:$B$154,0))&amp;"","")</f>
        <v/>
      </c>
      <c r="E96" s="15"/>
      <c r="F96" s="15"/>
      <c r="G96" s="15"/>
      <c r="H96" s="15"/>
      <c r="I96" s="15"/>
      <c r="J96" s="15"/>
      <c r="K96" s="9"/>
      <c r="L96" s="15"/>
      <c r="M96" s="15"/>
      <c r="N96" s="15"/>
      <c r="O96" s="15"/>
      <c r="P96" s="15"/>
      <c r="Q96" s="15"/>
      <c r="R96" s="9"/>
    </row>
    <row r="97" spans="1:18" x14ac:dyDescent="0.2">
      <c r="A97" s="7">
        <v>88</v>
      </c>
      <c r="B97" s="10" t="str">
        <f>IFERROR(INDEX(Personnes!$B$5:$B$154,MATCH(88,Personnes!$L$5:$L$154,0)),"")</f>
        <v/>
      </c>
      <c r="C97" s="10" t="str">
        <f>IFERROR(INDEX(Personnes!$C$5:$C$154,MATCH($B97,Personnes!$B$5:$B$154,0))&amp;"","")</f>
        <v/>
      </c>
      <c r="D97" s="10" t="str">
        <f>IFERROR(INDEX(Personnes!$D$5:$D$154,MATCH($B97,Personnes!$B$5:$B$154,0))&amp;"","")</f>
        <v/>
      </c>
      <c r="E97" s="15"/>
      <c r="F97" s="15"/>
      <c r="G97" s="15"/>
      <c r="H97" s="15"/>
      <c r="I97" s="15"/>
      <c r="J97" s="15"/>
      <c r="K97" s="9"/>
      <c r="L97" s="15"/>
      <c r="M97" s="15"/>
      <c r="N97" s="15"/>
      <c r="O97" s="15"/>
      <c r="P97" s="15"/>
      <c r="Q97" s="15"/>
      <c r="R97" s="9"/>
    </row>
    <row r="98" spans="1:18" x14ac:dyDescent="0.2">
      <c r="A98" s="7">
        <v>89</v>
      </c>
      <c r="B98" s="10" t="str">
        <f>IFERROR(INDEX(Personnes!$B$5:$B$154,MATCH(89,Personnes!$L$5:$L$154,0)),"")</f>
        <v/>
      </c>
      <c r="C98" s="10" t="str">
        <f>IFERROR(INDEX(Personnes!$C$5:$C$154,MATCH($B98,Personnes!$B$5:$B$154,0))&amp;"","")</f>
        <v/>
      </c>
      <c r="D98" s="10" t="str">
        <f>IFERROR(INDEX(Personnes!$D$5:$D$154,MATCH($B98,Personnes!$B$5:$B$154,0))&amp;"","")</f>
        <v/>
      </c>
      <c r="E98" s="15"/>
      <c r="F98" s="15"/>
      <c r="G98" s="15"/>
      <c r="H98" s="15"/>
      <c r="I98" s="15"/>
      <c r="J98" s="15"/>
      <c r="K98" s="9"/>
      <c r="L98" s="15"/>
      <c r="M98" s="15"/>
      <c r="N98" s="15"/>
      <c r="O98" s="15"/>
      <c r="P98" s="15"/>
      <c r="Q98" s="15"/>
      <c r="R98" s="9"/>
    </row>
    <row r="99" spans="1:18" x14ac:dyDescent="0.2">
      <c r="A99" s="7">
        <v>90</v>
      </c>
      <c r="B99" s="10" t="str">
        <f>IFERROR(INDEX(Personnes!$B$5:$B$154,MATCH(90,Personnes!$L$5:$L$154,0)),"")</f>
        <v/>
      </c>
      <c r="C99" s="10" t="str">
        <f>IFERROR(INDEX(Personnes!$C$5:$C$154,MATCH($B99,Personnes!$B$5:$B$154,0))&amp;"","")</f>
        <v/>
      </c>
      <c r="D99" s="10" t="str">
        <f>IFERROR(INDEX(Personnes!$D$5:$D$154,MATCH($B99,Personnes!$B$5:$B$154,0))&amp;"","")</f>
        <v/>
      </c>
      <c r="E99" s="15"/>
      <c r="F99" s="15"/>
      <c r="G99" s="15"/>
      <c r="H99" s="15"/>
      <c r="I99" s="15"/>
      <c r="J99" s="15"/>
      <c r="K99" s="9"/>
      <c r="L99" s="15"/>
      <c r="M99" s="15"/>
      <c r="N99" s="15"/>
      <c r="O99" s="15"/>
      <c r="P99" s="15"/>
      <c r="Q99" s="15"/>
      <c r="R99" s="9"/>
    </row>
    <row r="100" spans="1:18" x14ac:dyDescent="0.2">
      <c r="A100" s="7">
        <v>91</v>
      </c>
      <c r="B100" s="10" t="str">
        <f>IFERROR(INDEX(Personnes!$B$5:$B$154,MATCH(91,Personnes!$L$5:$L$154,0)),"")</f>
        <v/>
      </c>
      <c r="C100" s="10" t="str">
        <f>IFERROR(INDEX(Personnes!$C$5:$C$154,MATCH($B100,Personnes!$B$5:$B$154,0))&amp;"","")</f>
        <v/>
      </c>
      <c r="D100" s="10" t="str">
        <f>IFERROR(INDEX(Personnes!$D$5:$D$154,MATCH($B100,Personnes!$B$5:$B$154,0))&amp;"","")</f>
        <v/>
      </c>
      <c r="E100" s="15"/>
      <c r="F100" s="15"/>
      <c r="G100" s="15"/>
      <c r="H100" s="15"/>
      <c r="I100" s="15"/>
      <c r="J100" s="15"/>
      <c r="K100" s="9"/>
      <c r="L100" s="15"/>
      <c r="M100" s="15"/>
      <c r="N100" s="15"/>
      <c r="O100" s="15"/>
      <c r="P100" s="15"/>
      <c r="Q100" s="15"/>
      <c r="R100" s="9"/>
    </row>
    <row r="101" spans="1:18" x14ac:dyDescent="0.2">
      <c r="A101" s="7">
        <v>92</v>
      </c>
      <c r="B101" s="10" t="str">
        <f>IFERROR(INDEX(Personnes!$B$5:$B$154,MATCH(92,Personnes!$L$5:$L$154,0)),"")</f>
        <v/>
      </c>
      <c r="C101" s="10" t="str">
        <f>IFERROR(INDEX(Personnes!$C$5:$C$154,MATCH($B101,Personnes!$B$5:$B$154,0))&amp;"","")</f>
        <v/>
      </c>
      <c r="D101" s="10" t="str">
        <f>IFERROR(INDEX(Personnes!$D$5:$D$154,MATCH($B101,Personnes!$B$5:$B$154,0))&amp;"","")</f>
        <v/>
      </c>
      <c r="E101" s="15"/>
      <c r="F101" s="15"/>
      <c r="G101" s="15"/>
      <c r="H101" s="15"/>
      <c r="I101" s="15"/>
      <c r="J101" s="15"/>
      <c r="K101" s="9"/>
      <c r="L101" s="15"/>
      <c r="M101" s="15"/>
      <c r="N101" s="15"/>
      <c r="O101" s="15"/>
      <c r="P101" s="15"/>
      <c r="Q101" s="15"/>
      <c r="R101" s="9"/>
    </row>
    <row r="102" spans="1:18" x14ac:dyDescent="0.2">
      <c r="A102" s="7">
        <v>93</v>
      </c>
      <c r="B102" s="10" t="str">
        <f>IFERROR(INDEX(Personnes!$B$5:$B$154,MATCH(93,Personnes!$L$5:$L$154,0)),"")</f>
        <v/>
      </c>
      <c r="C102" s="10" t="str">
        <f>IFERROR(INDEX(Personnes!$C$5:$C$154,MATCH($B102,Personnes!$B$5:$B$154,0))&amp;"","")</f>
        <v/>
      </c>
      <c r="D102" s="10" t="str">
        <f>IFERROR(INDEX(Personnes!$D$5:$D$154,MATCH($B102,Personnes!$B$5:$B$154,0))&amp;"","")</f>
        <v/>
      </c>
      <c r="E102" s="15"/>
      <c r="F102" s="15"/>
      <c r="G102" s="15"/>
      <c r="H102" s="15"/>
      <c r="I102" s="15"/>
      <c r="J102" s="15"/>
      <c r="K102" s="9"/>
      <c r="L102" s="15"/>
      <c r="M102" s="15"/>
      <c r="N102" s="15"/>
      <c r="O102" s="15"/>
      <c r="P102" s="15"/>
      <c r="Q102" s="15"/>
      <c r="R102" s="9"/>
    </row>
    <row r="103" spans="1:18" x14ac:dyDescent="0.2">
      <c r="A103" s="7">
        <v>94</v>
      </c>
      <c r="B103" s="10" t="str">
        <f>IFERROR(INDEX(Personnes!$B$5:$B$154,MATCH(94,Personnes!$L$5:$L$154,0)),"")</f>
        <v/>
      </c>
      <c r="C103" s="10" t="str">
        <f>IFERROR(INDEX(Personnes!$C$5:$C$154,MATCH($B103,Personnes!$B$5:$B$154,0))&amp;"","")</f>
        <v/>
      </c>
      <c r="D103" s="10" t="str">
        <f>IFERROR(INDEX(Personnes!$D$5:$D$154,MATCH($B103,Personnes!$B$5:$B$154,0))&amp;"","")</f>
        <v/>
      </c>
      <c r="E103" s="15"/>
      <c r="F103" s="15"/>
      <c r="G103" s="15"/>
      <c r="H103" s="15"/>
      <c r="I103" s="15"/>
      <c r="J103" s="15"/>
      <c r="K103" s="9"/>
      <c r="L103" s="15"/>
      <c r="M103" s="15"/>
      <c r="N103" s="15"/>
      <c r="O103" s="15"/>
      <c r="P103" s="15"/>
      <c r="Q103" s="15"/>
      <c r="R103" s="9"/>
    </row>
    <row r="104" spans="1:18" x14ac:dyDescent="0.2">
      <c r="A104" s="7">
        <v>95</v>
      </c>
      <c r="B104" s="10" t="str">
        <f>IFERROR(INDEX(Personnes!$B$5:$B$154,MATCH(95,Personnes!$L$5:$L$154,0)),"")</f>
        <v/>
      </c>
      <c r="C104" s="10" t="str">
        <f>IFERROR(INDEX(Personnes!$C$5:$C$154,MATCH($B104,Personnes!$B$5:$B$154,0))&amp;"","")</f>
        <v/>
      </c>
      <c r="D104" s="10" t="str">
        <f>IFERROR(INDEX(Personnes!$D$5:$D$154,MATCH($B104,Personnes!$B$5:$B$154,0))&amp;"","")</f>
        <v/>
      </c>
      <c r="E104" s="15"/>
      <c r="F104" s="15"/>
      <c r="G104" s="15"/>
      <c r="H104" s="15"/>
      <c r="I104" s="15"/>
      <c r="J104" s="15"/>
      <c r="K104" s="9"/>
      <c r="L104" s="15"/>
      <c r="M104" s="15"/>
      <c r="N104" s="15"/>
      <c r="O104" s="15"/>
      <c r="P104" s="15"/>
      <c r="Q104" s="15"/>
      <c r="R104" s="9"/>
    </row>
    <row r="105" spans="1:18" x14ac:dyDescent="0.2">
      <c r="A105" s="7">
        <v>96</v>
      </c>
      <c r="B105" s="10" t="str">
        <f>IFERROR(INDEX(Personnes!$B$5:$B$154,MATCH(96,Personnes!$L$5:$L$154,0)),"")</f>
        <v/>
      </c>
      <c r="C105" s="10" t="str">
        <f>IFERROR(INDEX(Personnes!$C$5:$C$154,MATCH($B105,Personnes!$B$5:$B$154,0))&amp;"","")</f>
        <v/>
      </c>
      <c r="D105" s="10" t="str">
        <f>IFERROR(INDEX(Personnes!$D$5:$D$154,MATCH($B105,Personnes!$B$5:$B$154,0))&amp;"","")</f>
        <v/>
      </c>
      <c r="E105" s="15"/>
      <c r="F105" s="15"/>
      <c r="G105" s="15"/>
      <c r="H105" s="15"/>
      <c r="I105" s="15"/>
      <c r="J105" s="15"/>
      <c r="K105" s="9"/>
      <c r="L105" s="15"/>
      <c r="M105" s="15"/>
      <c r="N105" s="15"/>
      <c r="O105" s="15"/>
      <c r="P105" s="15"/>
      <c r="Q105" s="15"/>
      <c r="R105" s="9"/>
    </row>
    <row r="106" spans="1:18" x14ac:dyDescent="0.2">
      <c r="A106" s="7">
        <v>97</v>
      </c>
      <c r="B106" s="10" t="str">
        <f>IFERROR(INDEX(Personnes!$B$5:$B$154,MATCH(97,Personnes!$L$5:$L$154,0)),"")</f>
        <v/>
      </c>
      <c r="C106" s="10" t="str">
        <f>IFERROR(INDEX(Personnes!$C$5:$C$154,MATCH($B106,Personnes!$B$5:$B$154,0))&amp;"","")</f>
        <v/>
      </c>
      <c r="D106" s="10" t="str">
        <f>IFERROR(INDEX(Personnes!$D$5:$D$154,MATCH($B106,Personnes!$B$5:$B$154,0))&amp;"","")</f>
        <v/>
      </c>
      <c r="E106" s="15"/>
      <c r="F106" s="15"/>
      <c r="G106" s="15"/>
      <c r="H106" s="15"/>
      <c r="I106" s="15"/>
      <c r="J106" s="15"/>
      <c r="K106" s="9"/>
      <c r="L106" s="15"/>
      <c r="M106" s="15"/>
      <c r="N106" s="15"/>
      <c r="O106" s="15"/>
      <c r="P106" s="15"/>
      <c r="Q106" s="15"/>
      <c r="R106" s="9"/>
    </row>
    <row r="107" spans="1:18" x14ac:dyDescent="0.2">
      <c r="A107" s="7">
        <v>98</v>
      </c>
      <c r="B107" s="10" t="str">
        <f>IFERROR(INDEX(Personnes!$B$5:$B$154,MATCH(98,Personnes!$L$5:$L$154,0)),"")</f>
        <v/>
      </c>
      <c r="C107" s="10" t="str">
        <f>IFERROR(INDEX(Personnes!$C$5:$C$154,MATCH($B107,Personnes!$B$5:$B$154,0))&amp;"","")</f>
        <v/>
      </c>
      <c r="D107" s="10" t="str">
        <f>IFERROR(INDEX(Personnes!$D$5:$D$154,MATCH($B107,Personnes!$B$5:$B$154,0))&amp;"","")</f>
        <v/>
      </c>
      <c r="E107" s="15"/>
      <c r="F107" s="15"/>
      <c r="G107" s="15"/>
      <c r="H107" s="15"/>
      <c r="I107" s="15"/>
      <c r="J107" s="15"/>
      <c r="K107" s="9"/>
      <c r="L107" s="15"/>
      <c r="M107" s="15"/>
      <c r="N107" s="15"/>
      <c r="O107" s="15"/>
      <c r="P107" s="15"/>
      <c r="Q107" s="15"/>
      <c r="R107" s="9"/>
    </row>
    <row r="108" spans="1:18" x14ac:dyDescent="0.2">
      <c r="A108" s="7">
        <v>99</v>
      </c>
      <c r="B108" s="10" t="str">
        <f>IFERROR(INDEX(Personnes!$B$5:$B$154,MATCH(99,Personnes!$L$5:$L$154,0)),"")</f>
        <v/>
      </c>
      <c r="C108" s="10" t="str">
        <f>IFERROR(INDEX(Personnes!$C$5:$C$154,MATCH($B108,Personnes!$B$5:$B$154,0))&amp;"","")</f>
        <v/>
      </c>
      <c r="D108" s="10" t="str">
        <f>IFERROR(INDEX(Personnes!$D$5:$D$154,MATCH($B108,Personnes!$B$5:$B$154,0))&amp;"","")</f>
        <v/>
      </c>
      <c r="E108" s="15"/>
      <c r="F108" s="15"/>
      <c r="G108" s="15"/>
      <c r="H108" s="15"/>
      <c r="I108" s="15"/>
      <c r="J108" s="15"/>
      <c r="K108" s="9"/>
      <c r="L108" s="15"/>
      <c r="M108" s="15"/>
      <c r="N108" s="15"/>
      <c r="O108" s="15"/>
      <c r="P108" s="15"/>
      <c r="Q108" s="15"/>
      <c r="R108" s="9"/>
    </row>
    <row r="109" spans="1:18" x14ac:dyDescent="0.2">
      <c r="A109" s="7">
        <v>100</v>
      </c>
      <c r="B109" s="10" t="str">
        <f>IFERROR(INDEX(Personnes!$B$5:$B$154,MATCH(100,Personnes!$L$5:$L$154,0)),"")</f>
        <v/>
      </c>
      <c r="C109" s="10" t="str">
        <f>IFERROR(INDEX(Personnes!$C$5:$C$154,MATCH($B109,Personnes!$B$5:$B$154,0))&amp;"","")</f>
        <v/>
      </c>
      <c r="D109" s="10" t="str">
        <f>IFERROR(INDEX(Personnes!$D$5:$D$154,MATCH($B109,Personnes!$B$5:$B$154,0))&amp;"","")</f>
        <v/>
      </c>
      <c r="E109" s="15"/>
      <c r="F109" s="15"/>
      <c r="G109" s="15"/>
      <c r="H109" s="15"/>
      <c r="I109" s="15"/>
      <c r="J109" s="15"/>
      <c r="K109" s="9"/>
      <c r="L109" s="15"/>
      <c r="M109" s="15"/>
      <c r="N109" s="15"/>
      <c r="O109" s="15"/>
      <c r="P109" s="15"/>
      <c r="Q109" s="15"/>
      <c r="R109" s="9"/>
    </row>
  </sheetData>
  <dataValidations count="1">
    <dataValidation type="list" allowBlank="1" sqref="E10:J109 L10:Q109" xr:uid="{00000000-0002-0000-0800-000000000000}">
      <formula1>"absentéiste,dernier tiers,dans la moyenne,premier tiers,prêt pour le niveau supérieur"</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800-000001000000}">
          <x14:formula1>
            <xm:f>Selection!$A$2:$A$151</xm:f>
          </x14:formula1>
          <xm:sqref>E5:J5 L5:Q5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5F"/>
  </sheetPr>
  <dimension ref="A1:P104"/>
  <sheetViews>
    <sheetView workbookViewId="0">
      <pane xSplit="5" ySplit="4" topLeftCell="F5" activePane="bottomRight" state="frozen"/>
      <selection pane="topRight"/>
      <selection pane="bottomLeft"/>
      <selection pane="bottomRight"/>
    </sheetView>
  </sheetViews>
  <sheetFormatPr baseColWidth="10" defaultColWidth="8.83203125" defaultRowHeight="15" x14ac:dyDescent="0.2"/>
  <cols>
    <col min="1" max="1" width="9" customWidth="1"/>
    <col min="2" max="2" width="12" customWidth="1"/>
    <col min="3" max="3" width="30" customWidth="1"/>
    <col min="4" max="4" width="26" customWidth="1"/>
    <col min="5" max="5" width="12" customWidth="1"/>
    <col min="6" max="6" width="20" customWidth="1"/>
    <col min="7" max="7" width="14" customWidth="1"/>
    <col min="8" max="8" width="26" customWidth="1"/>
    <col min="9" max="9" width="13" customWidth="1"/>
    <col min="10" max="10" width="52" customWidth="1"/>
    <col min="11" max="11" width="40" customWidth="1"/>
    <col min="12" max="12" width="18" customWidth="1"/>
    <col min="13" max="13" width="12" customWidth="1"/>
    <col min="14" max="14" width="18" customWidth="1"/>
    <col min="15" max="15" width="14" customWidth="1"/>
    <col min="16" max="16" width="12" customWidth="1"/>
  </cols>
  <sheetData>
    <row r="1" spans="1:16" ht="18" x14ac:dyDescent="0.2">
      <c r="A1" s="4" t="s">
        <v>556</v>
      </c>
    </row>
    <row r="2" spans="1:16" x14ac:dyDescent="0.2">
      <c r="A2" s="5" t="s">
        <v>557</v>
      </c>
    </row>
    <row r="4" spans="1:16" ht="32" customHeight="1" x14ac:dyDescent="0.2">
      <c r="A4" s="6" t="s">
        <v>63</v>
      </c>
      <c r="B4" s="6" t="s">
        <v>493</v>
      </c>
      <c r="C4" s="6" t="s">
        <v>492</v>
      </c>
      <c r="D4" s="6" t="s">
        <v>514</v>
      </c>
      <c r="E4" s="6" t="s">
        <v>515</v>
      </c>
      <c r="F4" s="6" t="s">
        <v>150</v>
      </c>
      <c r="G4" s="6" t="s">
        <v>151</v>
      </c>
      <c r="H4" s="6" t="s">
        <v>64</v>
      </c>
      <c r="I4" s="6" t="s">
        <v>558</v>
      </c>
      <c r="J4" s="6" t="s">
        <v>559</v>
      </c>
      <c r="K4" s="6" t="s">
        <v>560</v>
      </c>
      <c r="L4" s="6" t="s">
        <v>561</v>
      </c>
      <c r="M4" s="6" t="s">
        <v>562</v>
      </c>
      <c r="N4" s="6" t="s">
        <v>563</v>
      </c>
      <c r="O4" s="6" t="s">
        <v>564</v>
      </c>
      <c r="P4" s="6" t="s">
        <v>565</v>
      </c>
    </row>
    <row r="5" spans="1:16" x14ac:dyDescent="0.2">
      <c r="A5" s="7"/>
      <c r="B5" s="14"/>
      <c r="C5" s="15"/>
      <c r="D5" s="15"/>
      <c r="E5" s="10" t="str">
        <f>IF($D5="","",IFERROR(IF(ISNUMBER(FIND("[",$D5)),MID($D5,FIND("[",$D5)+1,FIND("]",$D5)-FIND("[",$D5)-1),IF(ISNUMBER($D5),INDEX(Personnes!$B$5:$B$154,MATCH($D5,Personnes!$A$5:$A$154,0)),IFERROR(INDEX(Personnes!$B$5:$B$154,MATCH($D5&amp;"*",Personnes!$C$5:$C$154,0)),INDEX(Personnes!$B$5:$B$154,MATCH($D5&amp;"*",Personnes!$D$5:$D$154,0))))),""))</f>
        <v/>
      </c>
      <c r="F5" s="10" t="str">
        <f>IFERROR(INDEX(Personnes!$C$5:$C$154,MATCH($E5,Personnes!$B$5:$B$154,0))&amp;"","")</f>
        <v/>
      </c>
      <c r="G5" s="10" t="str">
        <f>IFERROR(INDEX(Personnes!$D$5:$D$154,MATCH($E5,Personnes!$B$5:$B$154,0))&amp;"","")</f>
        <v/>
      </c>
      <c r="H5" s="15"/>
      <c r="I5" s="15"/>
      <c r="J5" s="9"/>
      <c r="K5" s="9"/>
      <c r="L5" s="15"/>
      <c r="M5" s="10" t="str">
        <f>IF($L5="","",IFERROR(IF(ISNUMBER(FIND("[",$L5)),MID($L5,FIND("[",$L5)+1,FIND("]",$L5)-FIND("[",$L5)-1),IF(ISNUMBER($L5),INDEX(Personnes!$B$5:$B$154,MATCH($L5,Personnes!$A$5:$A$154,0)),IFERROR(INDEX(Personnes!$B$5:$B$154,MATCH($L5&amp;"*",Personnes!$C$5:$C$154,0)),INDEX(Personnes!$B$5:$B$154,MATCH($L5&amp;"*",Personnes!$D$5:$D$154,0))))),""))</f>
        <v/>
      </c>
      <c r="N5" s="10" t="str">
        <f>IFERROR(INDEX(Personnes!$C$5:$C$154,MATCH($M5,Personnes!$B$5:$B$154,0))&amp;"","")</f>
        <v/>
      </c>
      <c r="O5" s="10" t="str">
        <f>IFERROR(INDEX(Personnes!$D$5:$D$154,MATCH($M5,Personnes!$B$5:$B$154,0))&amp;"","")</f>
        <v/>
      </c>
      <c r="P5" s="10" t="str">
        <f t="shared" ref="P5:P36" si="0">IF($E5="","",COUNTIF($E$5:$E$104,$E5))</f>
        <v/>
      </c>
    </row>
    <row r="6" spans="1:16" x14ac:dyDescent="0.2">
      <c r="A6" s="7"/>
      <c r="B6" s="14"/>
      <c r="C6" s="15"/>
      <c r="D6" s="15"/>
      <c r="E6" s="10" t="str">
        <f>IF($D6="","",IFERROR(IF(ISNUMBER(FIND("[",$D6)),MID($D6,FIND("[",$D6)+1,FIND("]",$D6)-FIND("[",$D6)-1),IF(ISNUMBER($D6),INDEX(Personnes!$B$5:$B$154,MATCH($D6,Personnes!$A$5:$A$154,0)),IFERROR(INDEX(Personnes!$B$5:$B$154,MATCH($D6&amp;"*",Personnes!$C$5:$C$154,0)),INDEX(Personnes!$B$5:$B$154,MATCH($D6&amp;"*",Personnes!$D$5:$D$154,0))))),""))</f>
        <v/>
      </c>
      <c r="F6" s="10" t="str">
        <f>IFERROR(INDEX(Personnes!$C$5:$C$154,MATCH($E6,Personnes!$B$5:$B$154,0))&amp;"","")</f>
        <v/>
      </c>
      <c r="G6" s="10" t="str">
        <f>IFERROR(INDEX(Personnes!$D$5:$D$154,MATCH($E6,Personnes!$B$5:$B$154,0))&amp;"","")</f>
        <v/>
      </c>
      <c r="H6" s="15"/>
      <c r="I6" s="15"/>
      <c r="J6" s="9"/>
      <c r="K6" s="9"/>
      <c r="L6" s="15"/>
      <c r="M6" s="10" t="str">
        <f>IF($L6="","",IFERROR(IF(ISNUMBER(FIND("[",$L6)),MID($L6,FIND("[",$L6)+1,FIND("]",$L6)-FIND("[",$L6)-1),IF(ISNUMBER($L6),INDEX(Personnes!$B$5:$B$154,MATCH($L6,Personnes!$A$5:$A$154,0)),IFERROR(INDEX(Personnes!$B$5:$B$154,MATCH($L6&amp;"*",Personnes!$C$5:$C$154,0)),INDEX(Personnes!$B$5:$B$154,MATCH($L6&amp;"*",Personnes!$D$5:$D$154,0))))),""))</f>
        <v/>
      </c>
      <c r="N6" s="10" t="str">
        <f>IFERROR(INDEX(Personnes!$C$5:$C$154,MATCH($M6,Personnes!$B$5:$B$154,0))&amp;"","")</f>
        <v/>
      </c>
      <c r="O6" s="10" t="str">
        <f>IFERROR(INDEX(Personnes!$D$5:$D$154,MATCH($M6,Personnes!$B$5:$B$154,0))&amp;"","")</f>
        <v/>
      </c>
      <c r="P6" s="10" t="str">
        <f t="shared" si="0"/>
        <v/>
      </c>
    </row>
    <row r="7" spans="1:16" x14ac:dyDescent="0.2">
      <c r="A7" s="7"/>
      <c r="B7" s="14"/>
      <c r="C7" s="15"/>
      <c r="D7" s="15"/>
      <c r="E7" s="10" t="str">
        <f>IF($D7="","",IFERROR(IF(ISNUMBER(FIND("[",$D7)),MID($D7,FIND("[",$D7)+1,FIND("]",$D7)-FIND("[",$D7)-1),IF(ISNUMBER($D7),INDEX(Personnes!$B$5:$B$154,MATCH($D7,Personnes!$A$5:$A$154,0)),IFERROR(INDEX(Personnes!$B$5:$B$154,MATCH($D7&amp;"*",Personnes!$C$5:$C$154,0)),INDEX(Personnes!$B$5:$B$154,MATCH($D7&amp;"*",Personnes!$D$5:$D$154,0))))),""))</f>
        <v/>
      </c>
      <c r="F7" s="10" t="str">
        <f>IFERROR(INDEX(Personnes!$C$5:$C$154,MATCH($E7,Personnes!$B$5:$B$154,0))&amp;"","")</f>
        <v/>
      </c>
      <c r="G7" s="10" t="str">
        <f>IFERROR(INDEX(Personnes!$D$5:$D$154,MATCH($E7,Personnes!$B$5:$B$154,0))&amp;"","")</f>
        <v/>
      </c>
      <c r="H7" s="15"/>
      <c r="I7" s="15"/>
      <c r="J7" s="9"/>
      <c r="K7" s="9"/>
      <c r="L7" s="15"/>
      <c r="M7" s="10" t="str">
        <f>IF($L7="","",IFERROR(IF(ISNUMBER(FIND("[",$L7)),MID($L7,FIND("[",$L7)+1,FIND("]",$L7)-FIND("[",$L7)-1),IF(ISNUMBER($L7),INDEX(Personnes!$B$5:$B$154,MATCH($L7,Personnes!$A$5:$A$154,0)),IFERROR(INDEX(Personnes!$B$5:$B$154,MATCH($L7&amp;"*",Personnes!$C$5:$C$154,0)),INDEX(Personnes!$B$5:$B$154,MATCH($L7&amp;"*",Personnes!$D$5:$D$154,0))))),""))</f>
        <v/>
      </c>
      <c r="N7" s="10" t="str">
        <f>IFERROR(INDEX(Personnes!$C$5:$C$154,MATCH($M7,Personnes!$B$5:$B$154,0))&amp;"","")</f>
        <v/>
      </c>
      <c r="O7" s="10" t="str">
        <f>IFERROR(INDEX(Personnes!$D$5:$D$154,MATCH($M7,Personnes!$B$5:$B$154,0))&amp;"","")</f>
        <v/>
      </c>
      <c r="P7" s="10" t="str">
        <f t="shared" si="0"/>
        <v/>
      </c>
    </row>
    <row r="8" spans="1:16" x14ac:dyDescent="0.2">
      <c r="A8" s="7"/>
      <c r="B8" s="14"/>
      <c r="C8" s="15"/>
      <c r="D8" s="15"/>
      <c r="E8" s="10" t="str">
        <f>IF($D8="","",IFERROR(IF(ISNUMBER(FIND("[",$D8)),MID($D8,FIND("[",$D8)+1,FIND("]",$D8)-FIND("[",$D8)-1),IF(ISNUMBER($D8),INDEX(Personnes!$B$5:$B$154,MATCH($D8,Personnes!$A$5:$A$154,0)),IFERROR(INDEX(Personnes!$B$5:$B$154,MATCH($D8&amp;"*",Personnes!$C$5:$C$154,0)),INDEX(Personnes!$B$5:$B$154,MATCH($D8&amp;"*",Personnes!$D$5:$D$154,0))))),""))</f>
        <v/>
      </c>
      <c r="F8" s="10" t="str">
        <f>IFERROR(INDEX(Personnes!$C$5:$C$154,MATCH($E8,Personnes!$B$5:$B$154,0))&amp;"","")</f>
        <v/>
      </c>
      <c r="G8" s="10" t="str">
        <f>IFERROR(INDEX(Personnes!$D$5:$D$154,MATCH($E8,Personnes!$B$5:$B$154,0))&amp;"","")</f>
        <v/>
      </c>
      <c r="H8" s="15"/>
      <c r="I8" s="15"/>
      <c r="J8" s="9"/>
      <c r="K8" s="9"/>
      <c r="L8" s="15"/>
      <c r="M8" s="10" t="str">
        <f>IF($L8="","",IFERROR(IF(ISNUMBER(FIND("[",$L8)),MID($L8,FIND("[",$L8)+1,FIND("]",$L8)-FIND("[",$L8)-1),IF(ISNUMBER($L8),INDEX(Personnes!$B$5:$B$154,MATCH($L8,Personnes!$A$5:$A$154,0)),IFERROR(INDEX(Personnes!$B$5:$B$154,MATCH($L8&amp;"*",Personnes!$C$5:$C$154,0)),INDEX(Personnes!$B$5:$B$154,MATCH($L8&amp;"*",Personnes!$D$5:$D$154,0))))),""))</f>
        <v/>
      </c>
      <c r="N8" s="10" t="str">
        <f>IFERROR(INDEX(Personnes!$C$5:$C$154,MATCH($M8,Personnes!$B$5:$B$154,0))&amp;"","")</f>
        <v/>
      </c>
      <c r="O8" s="10" t="str">
        <f>IFERROR(INDEX(Personnes!$D$5:$D$154,MATCH($M8,Personnes!$B$5:$B$154,0))&amp;"","")</f>
        <v/>
      </c>
      <c r="P8" s="10" t="str">
        <f t="shared" si="0"/>
        <v/>
      </c>
    </row>
    <row r="9" spans="1:16" x14ac:dyDescent="0.2">
      <c r="A9" s="7"/>
      <c r="B9" s="14"/>
      <c r="C9" s="15"/>
      <c r="D9" s="15"/>
      <c r="E9" s="10" t="str">
        <f>IF($D9="","",IFERROR(IF(ISNUMBER(FIND("[",$D9)),MID($D9,FIND("[",$D9)+1,FIND("]",$D9)-FIND("[",$D9)-1),IF(ISNUMBER($D9),INDEX(Personnes!$B$5:$B$154,MATCH($D9,Personnes!$A$5:$A$154,0)),IFERROR(INDEX(Personnes!$B$5:$B$154,MATCH($D9&amp;"*",Personnes!$C$5:$C$154,0)),INDEX(Personnes!$B$5:$B$154,MATCH($D9&amp;"*",Personnes!$D$5:$D$154,0))))),""))</f>
        <v/>
      </c>
      <c r="F9" s="10" t="str">
        <f>IFERROR(INDEX(Personnes!$C$5:$C$154,MATCH($E9,Personnes!$B$5:$B$154,0))&amp;"","")</f>
        <v/>
      </c>
      <c r="G9" s="10" t="str">
        <f>IFERROR(INDEX(Personnes!$D$5:$D$154,MATCH($E9,Personnes!$B$5:$B$154,0))&amp;"","")</f>
        <v/>
      </c>
      <c r="H9" s="15"/>
      <c r="I9" s="15"/>
      <c r="J9" s="9"/>
      <c r="K9" s="9"/>
      <c r="L9" s="15"/>
      <c r="M9" s="10" t="str">
        <f>IF($L9="","",IFERROR(IF(ISNUMBER(FIND("[",$L9)),MID($L9,FIND("[",$L9)+1,FIND("]",$L9)-FIND("[",$L9)-1),IF(ISNUMBER($L9),INDEX(Personnes!$B$5:$B$154,MATCH($L9,Personnes!$A$5:$A$154,0)),IFERROR(INDEX(Personnes!$B$5:$B$154,MATCH($L9&amp;"*",Personnes!$C$5:$C$154,0)),INDEX(Personnes!$B$5:$B$154,MATCH($L9&amp;"*",Personnes!$D$5:$D$154,0))))),""))</f>
        <v/>
      </c>
      <c r="N9" s="10" t="str">
        <f>IFERROR(INDEX(Personnes!$C$5:$C$154,MATCH($M9,Personnes!$B$5:$B$154,0))&amp;"","")</f>
        <v/>
      </c>
      <c r="O9" s="10" t="str">
        <f>IFERROR(INDEX(Personnes!$D$5:$D$154,MATCH($M9,Personnes!$B$5:$B$154,0))&amp;"","")</f>
        <v/>
      </c>
      <c r="P9" s="10" t="str">
        <f t="shared" si="0"/>
        <v/>
      </c>
    </row>
    <row r="10" spans="1:16" x14ac:dyDescent="0.2">
      <c r="A10" s="7"/>
      <c r="B10" s="14"/>
      <c r="C10" s="15"/>
      <c r="D10" s="15"/>
      <c r="E10" s="10" t="str">
        <f>IF($D10="","",IFERROR(IF(ISNUMBER(FIND("[",$D10)),MID($D10,FIND("[",$D10)+1,FIND("]",$D10)-FIND("[",$D10)-1),IF(ISNUMBER($D10),INDEX(Personnes!$B$5:$B$154,MATCH($D10,Personnes!$A$5:$A$154,0)),IFERROR(INDEX(Personnes!$B$5:$B$154,MATCH($D10&amp;"*",Personnes!$C$5:$C$154,0)),INDEX(Personnes!$B$5:$B$154,MATCH($D10&amp;"*",Personnes!$D$5:$D$154,0))))),""))</f>
        <v/>
      </c>
      <c r="F10" s="10" t="str">
        <f>IFERROR(INDEX(Personnes!$C$5:$C$154,MATCH($E10,Personnes!$B$5:$B$154,0))&amp;"","")</f>
        <v/>
      </c>
      <c r="G10" s="10" t="str">
        <f>IFERROR(INDEX(Personnes!$D$5:$D$154,MATCH($E10,Personnes!$B$5:$B$154,0))&amp;"","")</f>
        <v/>
      </c>
      <c r="H10" s="15"/>
      <c r="I10" s="15"/>
      <c r="J10" s="9"/>
      <c r="K10" s="9"/>
      <c r="L10" s="15"/>
      <c r="M10" s="10" t="str">
        <f>IF($L10="","",IFERROR(IF(ISNUMBER(FIND("[",$L10)),MID($L10,FIND("[",$L10)+1,FIND("]",$L10)-FIND("[",$L10)-1),IF(ISNUMBER($L10),INDEX(Personnes!$B$5:$B$154,MATCH($L10,Personnes!$A$5:$A$154,0)),IFERROR(INDEX(Personnes!$B$5:$B$154,MATCH($L10&amp;"*",Personnes!$C$5:$C$154,0)),INDEX(Personnes!$B$5:$B$154,MATCH($L10&amp;"*",Personnes!$D$5:$D$154,0))))),""))</f>
        <v/>
      </c>
      <c r="N10" s="10" t="str">
        <f>IFERROR(INDEX(Personnes!$C$5:$C$154,MATCH($M10,Personnes!$B$5:$B$154,0))&amp;"","")</f>
        <v/>
      </c>
      <c r="O10" s="10" t="str">
        <f>IFERROR(INDEX(Personnes!$D$5:$D$154,MATCH($M10,Personnes!$B$5:$B$154,0))&amp;"","")</f>
        <v/>
      </c>
      <c r="P10" s="10" t="str">
        <f t="shared" si="0"/>
        <v/>
      </c>
    </row>
    <row r="11" spans="1:16" x14ac:dyDescent="0.2">
      <c r="A11" s="7"/>
      <c r="B11" s="14"/>
      <c r="C11" s="15"/>
      <c r="D11" s="15"/>
      <c r="E11" s="10" t="str">
        <f>IF($D11="","",IFERROR(IF(ISNUMBER(FIND("[",$D11)),MID($D11,FIND("[",$D11)+1,FIND("]",$D11)-FIND("[",$D11)-1),IF(ISNUMBER($D11),INDEX(Personnes!$B$5:$B$154,MATCH($D11,Personnes!$A$5:$A$154,0)),IFERROR(INDEX(Personnes!$B$5:$B$154,MATCH($D11&amp;"*",Personnes!$C$5:$C$154,0)),INDEX(Personnes!$B$5:$B$154,MATCH($D11&amp;"*",Personnes!$D$5:$D$154,0))))),""))</f>
        <v/>
      </c>
      <c r="F11" s="10" t="str">
        <f>IFERROR(INDEX(Personnes!$C$5:$C$154,MATCH($E11,Personnes!$B$5:$B$154,0))&amp;"","")</f>
        <v/>
      </c>
      <c r="G11" s="10" t="str">
        <f>IFERROR(INDEX(Personnes!$D$5:$D$154,MATCH($E11,Personnes!$B$5:$B$154,0))&amp;"","")</f>
        <v/>
      </c>
      <c r="H11" s="15"/>
      <c r="I11" s="15"/>
      <c r="J11" s="9"/>
      <c r="K11" s="9"/>
      <c r="L11" s="15"/>
      <c r="M11" s="10" t="str">
        <f>IF($L11="","",IFERROR(IF(ISNUMBER(FIND("[",$L11)),MID($L11,FIND("[",$L11)+1,FIND("]",$L11)-FIND("[",$L11)-1),IF(ISNUMBER($L11),INDEX(Personnes!$B$5:$B$154,MATCH($L11,Personnes!$A$5:$A$154,0)),IFERROR(INDEX(Personnes!$B$5:$B$154,MATCH($L11&amp;"*",Personnes!$C$5:$C$154,0)),INDEX(Personnes!$B$5:$B$154,MATCH($L11&amp;"*",Personnes!$D$5:$D$154,0))))),""))</f>
        <v/>
      </c>
      <c r="N11" s="10" t="str">
        <f>IFERROR(INDEX(Personnes!$C$5:$C$154,MATCH($M11,Personnes!$B$5:$B$154,0))&amp;"","")</f>
        <v/>
      </c>
      <c r="O11" s="10" t="str">
        <f>IFERROR(INDEX(Personnes!$D$5:$D$154,MATCH($M11,Personnes!$B$5:$B$154,0))&amp;"","")</f>
        <v/>
      </c>
      <c r="P11" s="10" t="str">
        <f t="shared" si="0"/>
        <v/>
      </c>
    </row>
    <row r="12" spans="1:16" x14ac:dyDescent="0.2">
      <c r="A12" s="7"/>
      <c r="B12" s="14"/>
      <c r="C12" s="15"/>
      <c r="D12" s="15"/>
      <c r="E12" s="10" t="str">
        <f>IF($D12="","",IFERROR(IF(ISNUMBER(FIND("[",$D12)),MID($D12,FIND("[",$D12)+1,FIND("]",$D12)-FIND("[",$D12)-1),IF(ISNUMBER($D12),INDEX(Personnes!$B$5:$B$154,MATCH($D12,Personnes!$A$5:$A$154,0)),IFERROR(INDEX(Personnes!$B$5:$B$154,MATCH($D12&amp;"*",Personnes!$C$5:$C$154,0)),INDEX(Personnes!$B$5:$B$154,MATCH($D12&amp;"*",Personnes!$D$5:$D$154,0))))),""))</f>
        <v/>
      </c>
      <c r="F12" s="10" t="str">
        <f>IFERROR(INDEX(Personnes!$C$5:$C$154,MATCH($E12,Personnes!$B$5:$B$154,0))&amp;"","")</f>
        <v/>
      </c>
      <c r="G12" s="10" t="str">
        <f>IFERROR(INDEX(Personnes!$D$5:$D$154,MATCH($E12,Personnes!$B$5:$B$154,0))&amp;"","")</f>
        <v/>
      </c>
      <c r="H12" s="15"/>
      <c r="I12" s="15"/>
      <c r="J12" s="9"/>
      <c r="K12" s="9"/>
      <c r="L12" s="15"/>
      <c r="M12" s="10" t="str">
        <f>IF($L12="","",IFERROR(IF(ISNUMBER(FIND("[",$L12)),MID($L12,FIND("[",$L12)+1,FIND("]",$L12)-FIND("[",$L12)-1),IF(ISNUMBER($L12),INDEX(Personnes!$B$5:$B$154,MATCH($L12,Personnes!$A$5:$A$154,0)),IFERROR(INDEX(Personnes!$B$5:$B$154,MATCH($L12&amp;"*",Personnes!$C$5:$C$154,0)),INDEX(Personnes!$B$5:$B$154,MATCH($L12&amp;"*",Personnes!$D$5:$D$154,0))))),""))</f>
        <v/>
      </c>
      <c r="N12" s="10" t="str">
        <f>IFERROR(INDEX(Personnes!$C$5:$C$154,MATCH($M12,Personnes!$B$5:$B$154,0))&amp;"","")</f>
        <v/>
      </c>
      <c r="O12" s="10" t="str">
        <f>IFERROR(INDEX(Personnes!$D$5:$D$154,MATCH($M12,Personnes!$B$5:$B$154,0))&amp;"","")</f>
        <v/>
      </c>
      <c r="P12" s="10" t="str">
        <f t="shared" si="0"/>
        <v/>
      </c>
    </row>
    <row r="13" spans="1:16" x14ac:dyDescent="0.2">
      <c r="A13" s="7"/>
      <c r="B13" s="14"/>
      <c r="C13" s="15"/>
      <c r="D13" s="15"/>
      <c r="E13" s="10" t="str">
        <f>IF($D13="","",IFERROR(IF(ISNUMBER(FIND("[",$D13)),MID($D13,FIND("[",$D13)+1,FIND("]",$D13)-FIND("[",$D13)-1),IF(ISNUMBER($D13),INDEX(Personnes!$B$5:$B$154,MATCH($D13,Personnes!$A$5:$A$154,0)),IFERROR(INDEX(Personnes!$B$5:$B$154,MATCH($D13&amp;"*",Personnes!$C$5:$C$154,0)),INDEX(Personnes!$B$5:$B$154,MATCH($D13&amp;"*",Personnes!$D$5:$D$154,0))))),""))</f>
        <v/>
      </c>
      <c r="F13" s="10" t="str">
        <f>IFERROR(INDEX(Personnes!$C$5:$C$154,MATCH($E13,Personnes!$B$5:$B$154,0))&amp;"","")</f>
        <v/>
      </c>
      <c r="G13" s="10" t="str">
        <f>IFERROR(INDEX(Personnes!$D$5:$D$154,MATCH($E13,Personnes!$B$5:$B$154,0))&amp;"","")</f>
        <v/>
      </c>
      <c r="H13" s="15"/>
      <c r="I13" s="15"/>
      <c r="J13" s="9"/>
      <c r="K13" s="9"/>
      <c r="L13" s="15"/>
      <c r="M13" s="10" t="str">
        <f>IF($L13="","",IFERROR(IF(ISNUMBER(FIND("[",$L13)),MID($L13,FIND("[",$L13)+1,FIND("]",$L13)-FIND("[",$L13)-1),IF(ISNUMBER($L13),INDEX(Personnes!$B$5:$B$154,MATCH($L13,Personnes!$A$5:$A$154,0)),IFERROR(INDEX(Personnes!$B$5:$B$154,MATCH($L13&amp;"*",Personnes!$C$5:$C$154,0)),INDEX(Personnes!$B$5:$B$154,MATCH($L13&amp;"*",Personnes!$D$5:$D$154,0))))),""))</f>
        <v/>
      </c>
      <c r="N13" s="10" t="str">
        <f>IFERROR(INDEX(Personnes!$C$5:$C$154,MATCH($M13,Personnes!$B$5:$B$154,0))&amp;"","")</f>
        <v/>
      </c>
      <c r="O13" s="10" t="str">
        <f>IFERROR(INDEX(Personnes!$D$5:$D$154,MATCH($M13,Personnes!$B$5:$B$154,0))&amp;"","")</f>
        <v/>
      </c>
      <c r="P13" s="10" t="str">
        <f t="shared" si="0"/>
        <v/>
      </c>
    </row>
    <row r="14" spans="1:16" x14ac:dyDescent="0.2">
      <c r="A14" s="7"/>
      <c r="B14" s="14"/>
      <c r="C14" s="15"/>
      <c r="D14" s="15"/>
      <c r="E14" s="10" t="str">
        <f>IF($D14="","",IFERROR(IF(ISNUMBER(FIND("[",$D14)),MID($D14,FIND("[",$D14)+1,FIND("]",$D14)-FIND("[",$D14)-1),IF(ISNUMBER($D14),INDEX(Personnes!$B$5:$B$154,MATCH($D14,Personnes!$A$5:$A$154,0)),IFERROR(INDEX(Personnes!$B$5:$B$154,MATCH($D14&amp;"*",Personnes!$C$5:$C$154,0)),INDEX(Personnes!$B$5:$B$154,MATCH($D14&amp;"*",Personnes!$D$5:$D$154,0))))),""))</f>
        <v/>
      </c>
      <c r="F14" s="10" t="str">
        <f>IFERROR(INDEX(Personnes!$C$5:$C$154,MATCH($E14,Personnes!$B$5:$B$154,0))&amp;"","")</f>
        <v/>
      </c>
      <c r="G14" s="10" t="str">
        <f>IFERROR(INDEX(Personnes!$D$5:$D$154,MATCH($E14,Personnes!$B$5:$B$154,0))&amp;"","")</f>
        <v/>
      </c>
      <c r="H14" s="15"/>
      <c r="I14" s="15"/>
      <c r="J14" s="9"/>
      <c r="K14" s="9"/>
      <c r="L14" s="15"/>
      <c r="M14" s="10" t="str">
        <f>IF($L14="","",IFERROR(IF(ISNUMBER(FIND("[",$L14)),MID($L14,FIND("[",$L14)+1,FIND("]",$L14)-FIND("[",$L14)-1),IF(ISNUMBER($L14),INDEX(Personnes!$B$5:$B$154,MATCH($L14,Personnes!$A$5:$A$154,0)),IFERROR(INDEX(Personnes!$B$5:$B$154,MATCH($L14&amp;"*",Personnes!$C$5:$C$154,0)),INDEX(Personnes!$B$5:$B$154,MATCH($L14&amp;"*",Personnes!$D$5:$D$154,0))))),""))</f>
        <v/>
      </c>
      <c r="N14" s="10" t="str">
        <f>IFERROR(INDEX(Personnes!$C$5:$C$154,MATCH($M14,Personnes!$B$5:$B$154,0))&amp;"","")</f>
        <v/>
      </c>
      <c r="O14" s="10" t="str">
        <f>IFERROR(INDEX(Personnes!$D$5:$D$154,MATCH($M14,Personnes!$B$5:$B$154,0))&amp;"","")</f>
        <v/>
      </c>
      <c r="P14" s="10" t="str">
        <f t="shared" si="0"/>
        <v/>
      </c>
    </row>
    <row r="15" spans="1:16" x14ac:dyDescent="0.2">
      <c r="A15" s="7"/>
      <c r="B15" s="14"/>
      <c r="C15" s="15"/>
      <c r="D15" s="15"/>
      <c r="E15" s="10" t="str">
        <f>IF($D15="","",IFERROR(IF(ISNUMBER(FIND("[",$D15)),MID($D15,FIND("[",$D15)+1,FIND("]",$D15)-FIND("[",$D15)-1),IF(ISNUMBER($D15),INDEX(Personnes!$B$5:$B$154,MATCH($D15,Personnes!$A$5:$A$154,0)),IFERROR(INDEX(Personnes!$B$5:$B$154,MATCH($D15&amp;"*",Personnes!$C$5:$C$154,0)),INDEX(Personnes!$B$5:$B$154,MATCH($D15&amp;"*",Personnes!$D$5:$D$154,0))))),""))</f>
        <v/>
      </c>
      <c r="F15" s="10" t="str">
        <f>IFERROR(INDEX(Personnes!$C$5:$C$154,MATCH($E15,Personnes!$B$5:$B$154,0))&amp;"","")</f>
        <v/>
      </c>
      <c r="G15" s="10" t="str">
        <f>IFERROR(INDEX(Personnes!$D$5:$D$154,MATCH($E15,Personnes!$B$5:$B$154,0))&amp;"","")</f>
        <v/>
      </c>
      <c r="H15" s="15"/>
      <c r="I15" s="15"/>
      <c r="J15" s="9"/>
      <c r="K15" s="9"/>
      <c r="L15" s="15"/>
      <c r="M15" s="10" t="str">
        <f>IF($L15="","",IFERROR(IF(ISNUMBER(FIND("[",$L15)),MID($L15,FIND("[",$L15)+1,FIND("]",$L15)-FIND("[",$L15)-1),IF(ISNUMBER($L15),INDEX(Personnes!$B$5:$B$154,MATCH($L15,Personnes!$A$5:$A$154,0)),IFERROR(INDEX(Personnes!$B$5:$B$154,MATCH($L15&amp;"*",Personnes!$C$5:$C$154,0)),INDEX(Personnes!$B$5:$B$154,MATCH($L15&amp;"*",Personnes!$D$5:$D$154,0))))),""))</f>
        <v/>
      </c>
      <c r="N15" s="10" t="str">
        <f>IFERROR(INDEX(Personnes!$C$5:$C$154,MATCH($M15,Personnes!$B$5:$B$154,0))&amp;"","")</f>
        <v/>
      </c>
      <c r="O15" s="10" t="str">
        <f>IFERROR(INDEX(Personnes!$D$5:$D$154,MATCH($M15,Personnes!$B$5:$B$154,0))&amp;"","")</f>
        <v/>
      </c>
      <c r="P15" s="10" t="str">
        <f t="shared" si="0"/>
        <v/>
      </c>
    </row>
    <row r="16" spans="1:16" x14ac:dyDescent="0.2">
      <c r="A16" s="7"/>
      <c r="B16" s="14"/>
      <c r="C16" s="15"/>
      <c r="D16" s="15"/>
      <c r="E16" s="10" t="str">
        <f>IF($D16="","",IFERROR(IF(ISNUMBER(FIND("[",$D16)),MID($D16,FIND("[",$D16)+1,FIND("]",$D16)-FIND("[",$D16)-1),IF(ISNUMBER($D16),INDEX(Personnes!$B$5:$B$154,MATCH($D16,Personnes!$A$5:$A$154,0)),IFERROR(INDEX(Personnes!$B$5:$B$154,MATCH($D16&amp;"*",Personnes!$C$5:$C$154,0)),INDEX(Personnes!$B$5:$B$154,MATCH($D16&amp;"*",Personnes!$D$5:$D$154,0))))),""))</f>
        <v/>
      </c>
      <c r="F16" s="10" t="str">
        <f>IFERROR(INDEX(Personnes!$C$5:$C$154,MATCH($E16,Personnes!$B$5:$B$154,0))&amp;"","")</f>
        <v/>
      </c>
      <c r="G16" s="10" t="str">
        <f>IFERROR(INDEX(Personnes!$D$5:$D$154,MATCH($E16,Personnes!$B$5:$B$154,0))&amp;"","")</f>
        <v/>
      </c>
      <c r="H16" s="15"/>
      <c r="I16" s="15"/>
      <c r="J16" s="9"/>
      <c r="K16" s="9"/>
      <c r="L16" s="15"/>
      <c r="M16" s="10" t="str">
        <f>IF($L16="","",IFERROR(IF(ISNUMBER(FIND("[",$L16)),MID($L16,FIND("[",$L16)+1,FIND("]",$L16)-FIND("[",$L16)-1),IF(ISNUMBER($L16),INDEX(Personnes!$B$5:$B$154,MATCH($L16,Personnes!$A$5:$A$154,0)),IFERROR(INDEX(Personnes!$B$5:$B$154,MATCH($L16&amp;"*",Personnes!$C$5:$C$154,0)),INDEX(Personnes!$B$5:$B$154,MATCH($L16&amp;"*",Personnes!$D$5:$D$154,0))))),""))</f>
        <v/>
      </c>
      <c r="N16" s="10" t="str">
        <f>IFERROR(INDEX(Personnes!$C$5:$C$154,MATCH($M16,Personnes!$B$5:$B$154,0))&amp;"","")</f>
        <v/>
      </c>
      <c r="O16" s="10" t="str">
        <f>IFERROR(INDEX(Personnes!$D$5:$D$154,MATCH($M16,Personnes!$B$5:$B$154,0))&amp;"","")</f>
        <v/>
      </c>
      <c r="P16" s="10" t="str">
        <f t="shared" si="0"/>
        <v/>
      </c>
    </row>
    <row r="17" spans="1:16" x14ac:dyDescent="0.2">
      <c r="A17" s="7"/>
      <c r="B17" s="14"/>
      <c r="C17" s="15"/>
      <c r="D17" s="15"/>
      <c r="E17" s="10" t="str">
        <f>IF($D17="","",IFERROR(IF(ISNUMBER(FIND("[",$D17)),MID($D17,FIND("[",$D17)+1,FIND("]",$D17)-FIND("[",$D17)-1),IF(ISNUMBER($D17),INDEX(Personnes!$B$5:$B$154,MATCH($D17,Personnes!$A$5:$A$154,0)),IFERROR(INDEX(Personnes!$B$5:$B$154,MATCH($D17&amp;"*",Personnes!$C$5:$C$154,0)),INDEX(Personnes!$B$5:$B$154,MATCH($D17&amp;"*",Personnes!$D$5:$D$154,0))))),""))</f>
        <v/>
      </c>
      <c r="F17" s="10" t="str">
        <f>IFERROR(INDEX(Personnes!$C$5:$C$154,MATCH($E17,Personnes!$B$5:$B$154,0))&amp;"","")</f>
        <v/>
      </c>
      <c r="G17" s="10" t="str">
        <f>IFERROR(INDEX(Personnes!$D$5:$D$154,MATCH($E17,Personnes!$B$5:$B$154,0))&amp;"","")</f>
        <v/>
      </c>
      <c r="H17" s="15"/>
      <c r="I17" s="15"/>
      <c r="J17" s="9"/>
      <c r="K17" s="9"/>
      <c r="L17" s="15"/>
      <c r="M17" s="10" t="str">
        <f>IF($L17="","",IFERROR(IF(ISNUMBER(FIND("[",$L17)),MID($L17,FIND("[",$L17)+1,FIND("]",$L17)-FIND("[",$L17)-1),IF(ISNUMBER($L17),INDEX(Personnes!$B$5:$B$154,MATCH($L17,Personnes!$A$5:$A$154,0)),IFERROR(INDEX(Personnes!$B$5:$B$154,MATCH($L17&amp;"*",Personnes!$C$5:$C$154,0)),INDEX(Personnes!$B$5:$B$154,MATCH($L17&amp;"*",Personnes!$D$5:$D$154,0))))),""))</f>
        <v/>
      </c>
      <c r="N17" s="10" t="str">
        <f>IFERROR(INDEX(Personnes!$C$5:$C$154,MATCH($M17,Personnes!$B$5:$B$154,0))&amp;"","")</f>
        <v/>
      </c>
      <c r="O17" s="10" t="str">
        <f>IFERROR(INDEX(Personnes!$D$5:$D$154,MATCH($M17,Personnes!$B$5:$B$154,0))&amp;"","")</f>
        <v/>
      </c>
      <c r="P17" s="10" t="str">
        <f t="shared" si="0"/>
        <v/>
      </c>
    </row>
    <row r="18" spans="1:16" x14ac:dyDescent="0.2">
      <c r="A18" s="7"/>
      <c r="B18" s="14"/>
      <c r="C18" s="15"/>
      <c r="D18" s="15"/>
      <c r="E18" s="10" t="str">
        <f>IF($D18="","",IFERROR(IF(ISNUMBER(FIND("[",$D18)),MID($D18,FIND("[",$D18)+1,FIND("]",$D18)-FIND("[",$D18)-1),IF(ISNUMBER($D18),INDEX(Personnes!$B$5:$B$154,MATCH($D18,Personnes!$A$5:$A$154,0)),IFERROR(INDEX(Personnes!$B$5:$B$154,MATCH($D18&amp;"*",Personnes!$C$5:$C$154,0)),INDEX(Personnes!$B$5:$B$154,MATCH($D18&amp;"*",Personnes!$D$5:$D$154,0))))),""))</f>
        <v/>
      </c>
      <c r="F18" s="10" t="str">
        <f>IFERROR(INDEX(Personnes!$C$5:$C$154,MATCH($E18,Personnes!$B$5:$B$154,0))&amp;"","")</f>
        <v/>
      </c>
      <c r="G18" s="10" t="str">
        <f>IFERROR(INDEX(Personnes!$D$5:$D$154,MATCH($E18,Personnes!$B$5:$B$154,0))&amp;"","")</f>
        <v/>
      </c>
      <c r="H18" s="15"/>
      <c r="I18" s="15"/>
      <c r="J18" s="9"/>
      <c r="K18" s="9"/>
      <c r="L18" s="15"/>
      <c r="M18" s="10" t="str">
        <f>IF($L18="","",IFERROR(IF(ISNUMBER(FIND("[",$L18)),MID($L18,FIND("[",$L18)+1,FIND("]",$L18)-FIND("[",$L18)-1),IF(ISNUMBER($L18),INDEX(Personnes!$B$5:$B$154,MATCH($L18,Personnes!$A$5:$A$154,0)),IFERROR(INDEX(Personnes!$B$5:$B$154,MATCH($L18&amp;"*",Personnes!$C$5:$C$154,0)),INDEX(Personnes!$B$5:$B$154,MATCH($L18&amp;"*",Personnes!$D$5:$D$154,0))))),""))</f>
        <v/>
      </c>
      <c r="N18" s="10" t="str">
        <f>IFERROR(INDEX(Personnes!$C$5:$C$154,MATCH($M18,Personnes!$B$5:$B$154,0))&amp;"","")</f>
        <v/>
      </c>
      <c r="O18" s="10" t="str">
        <f>IFERROR(INDEX(Personnes!$D$5:$D$154,MATCH($M18,Personnes!$B$5:$B$154,0))&amp;"","")</f>
        <v/>
      </c>
      <c r="P18" s="10" t="str">
        <f t="shared" si="0"/>
        <v/>
      </c>
    </row>
    <row r="19" spans="1:16" x14ac:dyDescent="0.2">
      <c r="A19" s="7"/>
      <c r="B19" s="14"/>
      <c r="C19" s="15"/>
      <c r="D19" s="15"/>
      <c r="E19" s="10" t="str">
        <f>IF($D19="","",IFERROR(IF(ISNUMBER(FIND("[",$D19)),MID($D19,FIND("[",$D19)+1,FIND("]",$D19)-FIND("[",$D19)-1),IF(ISNUMBER($D19),INDEX(Personnes!$B$5:$B$154,MATCH($D19,Personnes!$A$5:$A$154,0)),IFERROR(INDEX(Personnes!$B$5:$B$154,MATCH($D19&amp;"*",Personnes!$C$5:$C$154,0)),INDEX(Personnes!$B$5:$B$154,MATCH($D19&amp;"*",Personnes!$D$5:$D$154,0))))),""))</f>
        <v/>
      </c>
      <c r="F19" s="10" t="str">
        <f>IFERROR(INDEX(Personnes!$C$5:$C$154,MATCH($E19,Personnes!$B$5:$B$154,0))&amp;"","")</f>
        <v/>
      </c>
      <c r="G19" s="10" t="str">
        <f>IFERROR(INDEX(Personnes!$D$5:$D$154,MATCH($E19,Personnes!$B$5:$B$154,0))&amp;"","")</f>
        <v/>
      </c>
      <c r="H19" s="15"/>
      <c r="I19" s="15"/>
      <c r="J19" s="9"/>
      <c r="K19" s="9"/>
      <c r="L19" s="15"/>
      <c r="M19" s="10" t="str">
        <f>IF($L19="","",IFERROR(IF(ISNUMBER(FIND("[",$L19)),MID($L19,FIND("[",$L19)+1,FIND("]",$L19)-FIND("[",$L19)-1),IF(ISNUMBER($L19),INDEX(Personnes!$B$5:$B$154,MATCH($L19,Personnes!$A$5:$A$154,0)),IFERROR(INDEX(Personnes!$B$5:$B$154,MATCH($L19&amp;"*",Personnes!$C$5:$C$154,0)),INDEX(Personnes!$B$5:$B$154,MATCH($L19&amp;"*",Personnes!$D$5:$D$154,0))))),""))</f>
        <v/>
      </c>
      <c r="N19" s="10" t="str">
        <f>IFERROR(INDEX(Personnes!$C$5:$C$154,MATCH($M19,Personnes!$B$5:$B$154,0))&amp;"","")</f>
        <v/>
      </c>
      <c r="O19" s="10" t="str">
        <f>IFERROR(INDEX(Personnes!$D$5:$D$154,MATCH($M19,Personnes!$B$5:$B$154,0))&amp;"","")</f>
        <v/>
      </c>
      <c r="P19" s="10" t="str">
        <f t="shared" si="0"/>
        <v/>
      </c>
    </row>
    <row r="20" spans="1:16" x14ac:dyDescent="0.2">
      <c r="A20" s="7"/>
      <c r="B20" s="14"/>
      <c r="C20" s="15"/>
      <c r="D20" s="15"/>
      <c r="E20" s="10" t="str">
        <f>IF($D20="","",IFERROR(IF(ISNUMBER(FIND("[",$D20)),MID($D20,FIND("[",$D20)+1,FIND("]",$D20)-FIND("[",$D20)-1),IF(ISNUMBER($D20),INDEX(Personnes!$B$5:$B$154,MATCH($D20,Personnes!$A$5:$A$154,0)),IFERROR(INDEX(Personnes!$B$5:$B$154,MATCH($D20&amp;"*",Personnes!$C$5:$C$154,0)),INDEX(Personnes!$B$5:$B$154,MATCH($D20&amp;"*",Personnes!$D$5:$D$154,0))))),""))</f>
        <v/>
      </c>
      <c r="F20" s="10" t="str">
        <f>IFERROR(INDEX(Personnes!$C$5:$C$154,MATCH($E20,Personnes!$B$5:$B$154,0))&amp;"","")</f>
        <v/>
      </c>
      <c r="G20" s="10" t="str">
        <f>IFERROR(INDEX(Personnes!$D$5:$D$154,MATCH($E20,Personnes!$B$5:$B$154,0))&amp;"","")</f>
        <v/>
      </c>
      <c r="H20" s="15"/>
      <c r="I20" s="15"/>
      <c r="J20" s="9"/>
      <c r="K20" s="9"/>
      <c r="L20" s="15"/>
      <c r="M20" s="10" t="str">
        <f>IF($L20="","",IFERROR(IF(ISNUMBER(FIND("[",$L20)),MID($L20,FIND("[",$L20)+1,FIND("]",$L20)-FIND("[",$L20)-1),IF(ISNUMBER($L20),INDEX(Personnes!$B$5:$B$154,MATCH($L20,Personnes!$A$5:$A$154,0)),IFERROR(INDEX(Personnes!$B$5:$B$154,MATCH($L20&amp;"*",Personnes!$C$5:$C$154,0)),INDEX(Personnes!$B$5:$B$154,MATCH($L20&amp;"*",Personnes!$D$5:$D$154,0))))),""))</f>
        <v/>
      </c>
      <c r="N20" s="10" t="str">
        <f>IFERROR(INDEX(Personnes!$C$5:$C$154,MATCH($M20,Personnes!$B$5:$B$154,0))&amp;"","")</f>
        <v/>
      </c>
      <c r="O20" s="10" t="str">
        <f>IFERROR(INDEX(Personnes!$D$5:$D$154,MATCH($M20,Personnes!$B$5:$B$154,0))&amp;"","")</f>
        <v/>
      </c>
      <c r="P20" s="10" t="str">
        <f t="shared" si="0"/>
        <v/>
      </c>
    </row>
    <row r="21" spans="1:16" x14ac:dyDescent="0.2">
      <c r="A21" s="7"/>
      <c r="B21" s="14"/>
      <c r="C21" s="15"/>
      <c r="D21" s="15"/>
      <c r="E21" s="10" t="str">
        <f>IF($D21="","",IFERROR(IF(ISNUMBER(FIND("[",$D21)),MID($D21,FIND("[",$D21)+1,FIND("]",$D21)-FIND("[",$D21)-1),IF(ISNUMBER($D21),INDEX(Personnes!$B$5:$B$154,MATCH($D21,Personnes!$A$5:$A$154,0)),IFERROR(INDEX(Personnes!$B$5:$B$154,MATCH($D21&amp;"*",Personnes!$C$5:$C$154,0)),INDEX(Personnes!$B$5:$B$154,MATCH($D21&amp;"*",Personnes!$D$5:$D$154,0))))),""))</f>
        <v/>
      </c>
      <c r="F21" s="10" t="str">
        <f>IFERROR(INDEX(Personnes!$C$5:$C$154,MATCH($E21,Personnes!$B$5:$B$154,0))&amp;"","")</f>
        <v/>
      </c>
      <c r="G21" s="10" t="str">
        <f>IFERROR(INDEX(Personnes!$D$5:$D$154,MATCH($E21,Personnes!$B$5:$B$154,0))&amp;"","")</f>
        <v/>
      </c>
      <c r="H21" s="15"/>
      <c r="I21" s="15"/>
      <c r="J21" s="9"/>
      <c r="K21" s="9"/>
      <c r="L21" s="15"/>
      <c r="M21" s="10" t="str">
        <f>IF($L21="","",IFERROR(IF(ISNUMBER(FIND("[",$L21)),MID($L21,FIND("[",$L21)+1,FIND("]",$L21)-FIND("[",$L21)-1),IF(ISNUMBER($L21),INDEX(Personnes!$B$5:$B$154,MATCH($L21,Personnes!$A$5:$A$154,0)),IFERROR(INDEX(Personnes!$B$5:$B$154,MATCH($L21&amp;"*",Personnes!$C$5:$C$154,0)),INDEX(Personnes!$B$5:$B$154,MATCH($L21&amp;"*",Personnes!$D$5:$D$154,0))))),""))</f>
        <v/>
      </c>
      <c r="N21" s="10" t="str">
        <f>IFERROR(INDEX(Personnes!$C$5:$C$154,MATCH($M21,Personnes!$B$5:$B$154,0))&amp;"","")</f>
        <v/>
      </c>
      <c r="O21" s="10" t="str">
        <f>IFERROR(INDEX(Personnes!$D$5:$D$154,MATCH($M21,Personnes!$B$5:$B$154,0))&amp;"","")</f>
        <v/>
      </c>
      <c r="P21" s="10" t="str">
        <f t="shared" si="0"/>
        <v/>
      </c>
    </row>
    <row r="22" spans="1:16" x14ac:dyDescent="0.2">
      <c r="A22" s="7"/>
      <c r="B22" s="14"/>
      <c r="C22" s="15"/>
      <c r="D22" s="15"/>
      <c r="E22" s="10" t="str">
        <f>IF($D22="","",IFERROR(IF(ISNUMBER(FIND("[",$D22)),MID($D22,FIND("[",$D22)+1,FIND("]",$D22)-FIND("[",$D22)-1),IF(ISNUMBER($D22),INDEX(Personnes!$B$5:$B$154,MATCH($D22,Personnes!$A$5:$A$154,0)),IFERROR(INDEX(Personnes!$B$5:$B$154,MATCH($D22&amp;"*",Personnes!$C$5:$C$154,0)),INDEX(Personnes!$B$5:$B$154,MATCH($D22&amp;"*",Personnes!$D$5:$D$154,0))))),""))</f>
        <v/>
      </c>
      <c r="F22" s="10" t="str">
        <f>IFERROR(INDEX(Personnes!$C$5:$C$154,MATCH($E22,Personnes!$B$5:$B$154,0))&amp;"","")</f>
        <v/>
      </c>
      <c r="G22" s="10" t="str">
        <f>IFERROR(INDEX(Personnes!$D$5:$D$154,MATCH($E22,Personnes!$B$5:$B$154,0))&amp;"","")</f>
        <v/>
      </c>
      <c r="H22" s="15"/>
      <c r="I22" s="15"/>
      <c r="J22" s="9"/>
      <c r="K22" s="9"/>
      <c r="L22" s="15"/>
      <c r="M22" s="10" t="str">
        <f>IF($L22="","",IFERROR(IF(ISNUMBER(FIND("[",$L22)),MID($L22,FIND("[",$L22)+1,FIND("]",$L22)-FIND("[",$L22)-1),IF(ISNUMBER($L22),INDEX(Personnes!$B$5:$B$154,MATCH($L22,Personnes!$A$5:$A$154,0)),IFERROR(INDEX(Personnes!$B$5:$B$154,MATCH($L22&amp;"*",Personnes!$C$5:$C$154,0)),INDEX(Personnes!$B$5:$B$154,MATCH($L22&amp;"*",Personnes!$D$5:$D$154,0))))),""))</f>
        <v/>
      </c>
      <c r="N22" s="10" t="str">
        <f>IFERROR(INDEX(Personnes!$C$5:$C$154,MATCH($M22,Personnes!$B$5:$B$154,0))&amp;"","")</f>
        <v/>
      </c>
      <c r="O22" s="10" t="str">
        <f>IFERROR(INDEX(Personnes!$D$5:$D$154,MATCH($M22,Personnes!$B$5:$B$154,0))&amp;"","")</f>
        <v/>
      </c>
      <c r="P22" s="10" t="str">
        <f t="shared" si="0"/>
        <v/>
      </c>
    </row>
    <row r="23" spans="1:16" x14ac:dyDescent="0.2">
      <c r="A23" s="7"/>
      <c r="B23" s="14"/>
      <c r="C23" s="15"/>
      <c r="D23" s="15"/>
      <c r="E23" s="10" t="str">
        <f>IF($D23="","",IFERROR(IF(ISNUMBER(FIND("[",$D23)),MID($D23,FIND("[",$D23)+1,FIND("]",$D23)-FIND("[",$D23)-1),IF(ISNUMBER($D23),INDEX(Personnes!$B$5:$B$154,MATCH($D23,Personnes!$A$5:$A$154,0)),IFERROR(INDEX(Personnes!$B$5:$B$154,MATCH($D23&amp;"*",Personnes!$C$5:$C$154,0)),INDEX(Personnes!$B$5:$B$154,MATCH($D23&amp;"*",Personnes!$D$5:$D$154,0))))),""))</f>
        <v/>
      </c>
      <c r="F23" s="10" t="str">
        <f>IFERROR(INDEX(Personnes!$C$5:$C$154,MATCH($E23,Personnes!$B$5:$B$154,0))&amp;"","")</f>
        <v/>
      </c>
      <c r="G23" s="10" t="str">
        <f>IFERROR(INDEX(Personnes!$D$5:$D$154,MATCH($E23,Personnes!$B$5:$B$154,0))&amp;"","")</f>
        <v/>
      </c>
      <c r="H23" s="15"/>
      <c r="I23" s="15"/>
      <c r="J23" s="9"/>
      <c r="K23" s="9"/>
      <c r="L23" s="15"/>
      <c r="M23" s="10" t="str">
        <f>IF($L23="","",IFERROR(IF(ISNUMBER(FIND("[",$L23)),MID($L23,FIND("[",$L23)+1,FIND("]",$L23)-FIND("[",$L23)-1),IF(ISNUMBER($L23),INDEX(Personnes!$B$5:$B$154,MATCH($L23,Personnes!$A$5:$A$154,0)),IFERROR(INDEX(Personnes!$B$5:$B$154,MATCH($L23&amp;"*",Personnes!$C$5:$C$154,0)),INDEX(Personnes!$B$5:$B$154,MATCH($L23&amp;"*",Personnes!$D$5:$D$154,0))))),""))</f>
        <v/>
      </c>
      <c r="N23" s="10" t="str">
        <f>IFERROR(INDEX(Personnes!$C$5:$C$154,MATCH($M23,Personnes!$B$5:$B$154,0))&amp;"","")</f>
        <v/>
      </c>
      <c r="O23" s="10" t="str">
        <f>IFERROR(INDEX(Personnes!$D$5:$D$154,MATCH($M23,Personnes!$B$5:$B$154,0))&amp;"","")</f>
        <v/>
      </c>
      <c r="P23" s="10" t="str">
        <f t="shared" si="0"/>
        <v/>
      </c>
    </row>
    <row r="24" spans="1:16" x14ac:dyDescent="0.2">
      <c r="A24" s="7"/>
      <c r="B24" s="14"/>
      <c r="C24" s="15"/>
      <c r="D24" s="15"/>
      <c r="E24" s="10" t="str">
        <f>IF($D24="","",IFERROR(IF(ISNUMBER(FIND("[",$D24)),MID($D24,FIND("[",$D24)+1,FIND("]",$D24)-FIND("[",$D24)-1),IF(ISNUMBER($D24),INDEX(Personnes!$B$5:$B$154,MATCH($D24,Personnes!$A$5:$A$154,0)),IFERROR(INDEX(Personnes!$B$5:$B$154,MATCH($D24&amp;"*",Personnes!$C$5:$C$154,0)),INDEX(Personnes!$B$5:$B$154,MATCH($D24&amp;"*",Personnes!$D$5:$D$154,0))))),""))</f>
        <v/>
      </c>
      <c r="F24" s="10" t="str">
        <f>IFERROR(INDEX(Personnes!$C$5:$C$154,MATCH($E24,Personnes!$B$5:$B$154,0))&amp;"","")</f>
        <v/>
      </c>
      <c r="G24" s="10" t="str">
        <f>IFERROR(INDEX(Personnes!$D$5:$D$154,MATCH($E24,Personnes!$B$5:$B$154,0))&amp;"","")</f>
        <v/>
      </c>
      <c r="H24" s="15"/>
      <c r="I24" s="15"/>
      <c r="J24" s="9"/>
      <c r="K24" s="9"/>
      <c r="L24" s="15"/>
      <c r="M24" s="10" t="str">
        <f>IF($L24="","",IFERROR(IF(ISNUMBER(FIND("[",$L24)),MID($L24,FIND("[",$L24)+1,FIND("]",$L24)-FIND("[",$L24)-1),IF(ISNUMBER($L24),INDEX(Personnes!$B$5:$B$154,MATCH($L24,Personnes!$A$5:$A$154,0)),IFERROR(INDEX(Personnes!$B$5:$B$154,MATCH($L24&amp;"*",Personnes!$C$5:$C$154,0)),INDEX(Personnes!$B$5:$B$154,MATCH($L24&amp;"*",Personnes!$D$5:$D$154,0))))),""))</f>
        <v/>
      </c>
      <c r="N24" s="10" t="str">
        <f>IFERROR(INDEX(Personnes!$C$5:$C$154,MATCH($M24,Personnes!$B$5:$B$154,0))&amp;"","")</f>
        <v/>
      </c>
      <c r="O24" s="10" t="str">
        <f>IFERROR(INDEX(Personnes!$D$5:$D$154,MATCH($M24,Personnes!$B$5:$B$154,0))&amp;"","")</f>
        <v/>
      </c>
      <c r="P24" s="10" t="str">
        <f t="shared" si="0"/>
        <v/>
      </c>
    </row>
    <row r="25" spans="1:16" x14ac:dyDescent="0.2">
      <c r="A25" s="7"/>
      <c r="B25" s="14"/>
      <c r="C25" s="15"/>
      <c r="D25" s="15"/>
      <c r="E25" s="10" t="str">
        <f>IF($D25="","",IFERROR(IF(ISNUMBER(FIND("[",$D25)),MID($D25,FIND("[",$D25)+1,FIND("]",$D25)-FIND("[",$D25)-1),IF(ISNUMBER($D25),INDEX(Personnes!$B$5:$B$154,MATCH($D25,Personnes!$A$5:$A$154,0)),IFERROR(INDEX(Personnes!$B$5:$B$154,MATCH($D25&amp;"*",Personnes!$C$5:$C$154,0)),INDEX(Personnes!$B$5:$B$154,MATCH($D25&amp;"*",Personnes!$D$5:$D$154,0))))),""))</f>
        <v/>
      </c>
      <c r="F25" s="10" t="str">
        <f>IFERROR(INDEX(Personnes!$C$5:$C$154,MATCH($E25,Personnes!$B$5:$B$154,0))&amp;"","")</f>
        <v/>
      </c>
      <c r="G25" s="10" t="str">
        <f>IFERROR(INDEX(Personnes!$D$5:$D$154,MATCH($E25,Personnes!$B$5:$B$154,0))&amp;"","")</f>
        <v/>
      </c>
      <c r="H25" s="15"/>
      <c r="I25" s="15"/>
      <c r="J25" s="9"/>
      <c r="K25" s="9"/>
      <c r="L25" s="15"/>
      <c r="M25" s="10" t="str">
        <f>IF($L25="","",IFERROR(IF(ISNUMBER(FIND("[",$L25)),MID($L25,FIND("[",$L25)+1,FIND("]",$L25)-FIND("[",$L25)-1),IF(ISNUMBER($L25),INDEX(Personnes!$B$5:$B$154,MATCH($L25,Personnes!$A$5:$A$154,0)),IFERROR(INDEX(Personnes!$B$5:$B$154,MATCH($L25&amp;"*",Personnes!$C$5:$C$154,0)),INDEX(Personnes!$B$5:$B$154,MATCH($L25&amp;"*",Personnes!$D$5:$D$154,0))))),""))</f>
        <v/>
      </c>
      <c r="N25" s="10" t="str">
        <f>IFERROR(INDEX(Personnes!$C$5:$C$154,MATCH($M25,Personnes!$B$5:$B$154,0))&amp;"","")</f>
        <v/>
      </c>
      <c r="O25" s="10" t="str">
        <f>IFERROR(INDEX(Personnes!$D$5:$D$154,MATCH($M25,Personnes!$B$5:$B$154,0))&amp;"","")</f>
        <v/>
      </c>
      <c r="P25" s="10" t="str">
        <f t="shared" si="0"/>
        <v/>
      </c>
    </row>
    <row r="26" spans="1:16" x14ac:dyDescent="0.2">
      <c r="A26" s="7"/>
      <c r="B26" s="14"/>
      <c r="C26" s="15"/>
      <c r="D26" s="15"/>
      <c r="E26" s="10" t="str">
        <f>IF($D26="","",IFERROR(IF(ISNUMBER(FIND("[",$D26)),MID($D26,FIND("[",$D26)+1,FIND("]",$D26)-FIND("[",$D26)-1),IF(ISNUMBER($D26),INDEX(Personnes!$B$5:$B$154,MATCH($D26,Personnes!$A$5:$A$154,0)),IFERROR(INDEX(Personnes!$B$5:$B$154,MATCH($D26&amp;"*",Personnes!$C$5:$C$154,0)),INDEX(Personnes!$B$5:$B$154,MATCH($D26&amp;"*",Personnes!$D$5:$D$154,0))))),""))</f>
        <v/>
      </c>
      <c r="F26" s="10" t="str">
        <f>IFERROR(INDEX(Personnes!$C$5:$C$154,MATCH($E26,Personnes!$B$5:$B$154,0))&amp;"","")</f>
        <v/>
      </c>
      <c r="G26" s="10" t="str">
        <f>IFERROR(INDEX(Personnes!$D$5:$D$154,MATCH($E26,Personnes!$B$5:$B$154,0))&amp;"","")</f>
        <v/>
      </c>
      <c r="H26" s="15"/>
      <c r="I26" s="15"/>
      <c r="J26" s="9"/>
      <c r="K26" s="9"/>
      <c r="L26" s="15"/>
      <c r="M26" s="10" t="str">
        <f>IF($L26="","",IFERROR(IF(ISNUMBER(FIND("[",$L26)),MID($L26,FIND("[",$L26)+1,FIND("]",$L26)-FIND("[",$L26)-1),IF(ISNUMBER($L26),INDEX(Personnes!$B$5:$B$154,MATCH($L26,Personnes!$A$5:$A$154,0)),IFERROR(INDEX(Personnes!$B$5:$B$154,MATCH($L26&amp;"*",Personnes!$C$5:$C$154,0)),INDEX(Personnes!$B$5:$B$154,MATCH($L26&amp;"*",Personnes!$D$5:$D$154,0))))),""))</f>
        <v/>
      </c>
      <c r="N26" s="10" t="str">
        <f>IFERROR(INDEX(Personnes!$C$5:$C$154,MATCH($M26,Personnes!$B$5:$B$154,0))&amp;"","")</f>
        <v/>
      </c>
      <c r="O26" s="10" t="str">
        <f>IFERROR(INDEX(Personnes!$D$5:$D$154,MATCH($M26,Personnes!$B$5:$B$154,0))&amp;"","")</f>
        <v/>
      </c>
      <c r="P26" s="10" t="str">
        <f t="shared" si="0"/>
        <v/>
      </c>
    </row>
    <row r="27" spans="1:16" x14ac:dyDescent="0.2">
      <c r="A27" s="7"/>
      <c r="B27" s="14"/>
      <c r="C27" s="15"/>
      <c r="D27" s="15"/>
      <c r="E27" s="10" t="str">
        <f>IF($D27="","",IFERROR(IF(ISNUMBER(FIND("[",$D27)),MID($D27,FIND("[",$D27)+1,FIND("]",$D27)-FIND("[",$D27)-1),IF(ISNUMBER($D27),INDEX(Personnes!$B$5:$B$154,MATCH($D27,Personnes!$A$5:$A$154,0)),IFERROR(INDEX(Personnes!$B$5:$B$154,MATCH($D27&amp;"*",Personnes!$C$5:$C$154,0)),INDEX(Personnes!$B$5:$B$154,MATCH($D27&amp;"*",Personnes!$D$5:$D$154,0))))),""))</f>
        <v/>
      </c>
      <c r="F27" s="10" t="str">
        <f>IFERROR(INDEX(Personnes!$C$5:$C$154,MATCH($E27,Personnes!$B$5:$B$154,0))&amp;"","")</f>
        <v/>
      </c>
      <c r="G27" s="10" t="str">
        <f>IFERROR(INDEX(Personnes!$D$5:$D$154,MATCH($E27,Personnes!$B$5:$B$154,0))&amp;"","")</f>
        <v/>
      </c>
      <c r="H27" s="15"/>
      <c r="I27" s="15"/>
      <c r="J27" s="9"/>
      <c r="K27" s="9"/>
      <c r="L27" s="15"/>
      <c r="M27" s="10" t="str">
        <f>IF($L27="","",IFERROR(IF(ISNUMBER(FIND("[",$L27)),MID($L27,FIND("[",$L27)+1,FIND("]",$L27)-FIND("[",$L27)-1),IF(ISNUMBER($L27),INDEX(Personnes!$B$5:$B$154,MATCH($L27,Personnes!$A$5:$A$154,0)),IFERROR(INDEX(Personnes!$B$5:$B$154,MATCH($L27&amp;"*",Personnes!$C$5:$C$154,0)),INDEX(Personnes!$B$5:$B$154,MATCH($L27&amp;"*",Personnes!$D$5:$D$154,0))))),""))</f>
        <v/>
      </c>
      <c r="N27" s="10" t="str">
        <f>IFERROR(INDEX(Personnes!$C$5:$C$154,MATCH($M27,Personnes!$B$5:$B$154,0))&amp;"","")</f>
        <v/>
      </c>
      <c r="O27" s="10" t="str">
        <f>IFERROR(INDEX(Personnes!$D$5:$D$154,MATCH($M27,Personnes!$B$5:$B$154,0))&amp;"","")</f>
        <v/>
      </c>
      <c r="P27" s="10" t="str">
        <f t="shared" si="0"/>
        <v/>
      </c>
    </row>
    <row r="28" spans="1:16" x14ac:dyDescent="0.2">
      <c r="A28" s="7"/>
      <c r="B28" s="14"/>
      <c r="C28" s="15"/>
      <c r="D28" s="15"/>
      <c r="E28" s="10" t="str">
        <f>IF($D28="","",IFERROR(IF(ISNUMBER(FIND("[",$D28)),MID($D28,FIND("[",$D28)+1,FIND("]",$D28)-FIND("[",$D28)-1),IF(ISNUMBER($D28),INDEX(Personnes!$B$5:$B$154,MATCH($D28,Personnes!$A$5:$A$154,0)),IFERROR(INDEX(Personnes!$B$5:$B$154,MATCH($D28&amp;"*",Personnes!$C$5:$C$154,0)),INDEX(Personnes!$B$5:$B$154,MATCH($D28&amp;"*",Personnes!$D$5:$D$154,0))))),""))</f>
        <v/>
      </c>
      <c r="F28" s="10" t="str">
        <f>IFERROR(INDEX(Personnes!$C$5:$C$154,MATCH($E28,Personnes!$B$5:$B$154,0))&amp;"","")</f>
        <v/>
      </c>
      <c r="G28" s="10" t="str">
        <f>IFERROR(INDEX(Personnes!$D$5:$D$154,MATCH($E28,Personnes!$B$5:$B$154,0))&amp;"","")</f>
        <v/>
      </c>
      <c r="H28" s="15"/>
      <c r="I28" s="15"/>
      <c r="J28" s="9"/>
      <c r="K28" s="9"/>
      <c r="L28" s="15"/>
      <c r="M28" s="10" t="str">
        <f>IF($L28="","",IFERROR(IF(ISNUMBER(FIND("[",$L28)),MID($L28,FIND("[",$L28)+1,FIND("]",$L28)-FIND("[",$L28)-1),IF(ISNUMBER($L28),INDEX(Personnes!$B$5:$B$154,MATCH($L28,Personnes!$A$5:$A$154,0)),IFERROR(INDEX(Personnes!$B$5:$B$154,MATCH($L28&amp;"*",Personnes!$C$5:$C$154,0)),INDEX(Personnes!$B$5:$B$154,MATCH($L28&amp;"*",Personnes!$D$5:$D$154,0))))),""))</f>
        <v/>
      </c>
      <c r="N28" s="10" t="str">
        <f>IFERROR(INDEX(Personnes!$C$5:$C$154,MATCH($M28,Personnes!$B$5:$B$154,0))&amp;"","")</f>
        <v/>
      </c>
      <c r="O28" s="10" t="str">
        <f>IFERROR(INDEX(Personnes!$D$5:$D$154,MATCH($M28,Personnes!$B$5:$B$154,0))&amp;"","")</f>
        <v/>
      </c>
      <c r="P28" s="10" t="str">
        <f t="shared" si="0"/>
        <v/>
      </c>
    </row>
    <row r="29" spans="1:16" x14ac:dyDescent="0.2">
      <c r="A29" s="7"/>
      <c r="B29" s="14"/>
      <c r="C29" s="15"/>
      <c r="D29" s="15"/>
      <c r="E29" s="10" t="str">
        <f>IF($D29="","",IFERROR(IF(ISNUMBER(FIND("[",$D29)),MID($D29,FIND("[",$D29)+1,FIND("]",$D29)-FIND("[",$D29)-1),IF(ISNUMBER($D29),INDEX(Personnes!$B$5:$B$154,MATCH($D29,Personnes!$A$5:$A$154,0)),IFERROR(INDEX(Personnes!$B$5:$B$154,MATCH($D29&amp;"*",Personnes!$C$5:$C$154,0)),INDEX(Personnes!$B$5:$B$154,MATCH($D29&amp;"*",Personnes!$D$5:$D$154,0))))),""))</f>
        <v/>
      </c>
      <c r="F29" s="10" t="str">
        <f>IFERROR(INDEX(Personnes!$C$5:$C$154,MATCH($E29,Personnes!$B$5:$B$154,0))&amp;"","")</f>
        <v/>
      </c>
      <c r="G29" s="10" t="str">
        <f>IFERROR(INDEX(Personnes!$D$5:$D$154,MATCH($E29,Personnes!$B$5:$B$154,0))&amp;"","")</f>
        <v/>
      </c>
      <c r="H29" s="15"/>
      <c r="I29" s="15"/>
      <c r="J29" s="9"/>
      <c r="K29" s="9"/>
      <c r="L29" s="15"/>
      <c r="M29" s="10" t="str">
        <f>IF($L29="","",IFERROR(IF(ISNUMBER(FIND("[",$L29)),MID($L29,FIND("[",$L29)+1,FIND("]",$L29)-FIND("[",$L29)-1),IF(ISNUMBER($L29),INDEX(Personnes!$B$5:$B$154,MATCH($L29,Personnes!$A$5:$A$154,0)),IFERROR(INDEX(Personnes!$B$5:$B$154,MATCH($L29&amp;"*",Personnes!$C$5:$C$154,0)),INDEX(Personnes!$B$5:$B$154,MATCH($L29&amp;"*",Personnes!$D$5:$D$154,0))))),""))</f>
        <v/>
      </c>
      <c r="N29" s="10" t="str">
        <f>IFERROR(INDEX(Personnes!$C$5:$C$154,MATCH($M29,Personnes!$B$5:$B$154,0))&amp;"","")</f>
        <v/>
      </c>
      <c r="O29" s="10" t="str">
        <f>IFERROR(INDEX(Personnes!$D$5:$D$154,MATCH($M29,Personnes!$B$5:$B$154,0))&amp;"","")</f>
        <v/>
      </c>
      <c r="P29" s="10" t="str">
        <f t="shared" si="0"/>
        <v/>
      </c>
    </row>
    <row r="30" spans="1:16" x14ac:dyDescent="0.2">
      <c r="A30" s="7"/>
      <c r="B30" s="14"/>
      <c r="C30" s="15"/>
      <c r="D30" s="15"/>
      <c r="E30" s="10" t="str">
        <f>IF($D30="","",IFERROR(IF(ISNUMBER(FIND("[",$D30)),MID($D30,FIND("[",$D30)+1,FIND("]",$D30)-FIND("[",$D30)-1),IF(ISNUMBER($D30),INDEX(Personnes!$B$5:$B$154,MATCH($D30,Personnes!$A$5:$A$154,0)),IFERROR(INDEX(Personnes!$B$5:$B$154,MATCH($D30&amp;"*",Personnes!$C$5:$C$154,0)),INDEX(Personnes!$B$5:$B$154,MATCH($D30&amp;"*",Personnes!$D$5:$D$154,0))))),""))</f>
        <v/>
      </c>
      <c r="F30" s="10" t="str">
        <f>IFERROR(INDEX(Personnes!$C$5:$C$154,MATCH($E30,Personnes!$B$5:$B$154,0))&amp;"","")</f>
        <v/>
      </c>
      <c r="G30" s="10" t="str">
        <f>IFERROR(INDEX(Personnes!$D$5:$D$154,MATCH($E30,Personnes!$B$5:$B$154,0))&amp;"","")</f>
        <v/>
      </c>
      <c r="H30" s="15"/>
      <c r="I30" s="15"/>
      <c r="J30" s="9"/>
      <c r="K30" s="9"/>
      <c r="L30" s="15"/>
      <c r="M30" s="10" t="str">
        <f>IF($L30="","",IFERROR(IF(ISNUMBER(FIND("[",$L30)),MID($L30,FIND("[",$L30)+1,FIND("]",$L30)-FIND("[",$L30)-1),IF(ISNUMBER($L30),INDEX(Personnes!$B$5:$B$154,MATCH($L30,Personnes!$A$5:$A$154,0)),IFERROR(INDEX(Personnes!$B$5:$B$154,MATCH($L30&amp;"*",Personnes!$C$5:$C$154,0)),INDEX(Personnes!$B$5:$B$154,MATCH($L30&amp;"*",Personnes!$D$5:$D$154,0))))),""))</f>
        <v/>
      </c>
      <c r="N30" s="10" t="str">
        <f>IFERROR(INDEX(Personnes!$C$5:$C$154,MATCH($M30,Personnes!$B$5:$B$154,0))&amp;"","")</f>
        <v/>
      </c>
      <c r="O30" s="10" t="str">
        <f>IFERROR(INDEX(Personnes!$D$5:$D$154,MATCH($M30,Personnes!$B$5:$B$154,0))&amp;"","")</f>
        <v/>
      </c>
      <c r="P30" s="10" t="str">
        <f t="shared" si="0"/>
        <v/>
      </c>
    </row>
    <row r="31" spans="1:16" x14ac:dyDescent="0.2">
      <c r="A31" s="7"/>
      <c r="B31" s="14"/>
      <c r="C31" s="15"/>
      <c r="D31" s="15"/>
      <c r="E31" s="10" t="str">
        <f>IF($D31="","",IFERROR(IF(ISNUMBER(FIND("[",$D31)),MID($D31,FIND("[",$D31)+1,FIND("]",$D31)-FIND("[",$D31)-1),IF(ISNUMBER($D31),INDEX(Personnes!$B$5:$B$154,MATCH($D31,Personnes!$A$5:$A$154,0)),IFERROR(INDEX(Personnes!$B$5:$B$154,MATCH($D31&amp;"*",Personnes!$C$5:$C$154,0)),INDEX(Personnes!$B$5:$B$154,MATCH($D31&amp;"*",Personnes!$D$5:$D$154,0))))),""))</f>
        <v/>
      </c>
      <c r="F31" s="10" t="str">
        <f>IFERROR(INDEX(Personnes!$C$5:$C$154,MATCH($E31,Personnes!$B$5:$B$154,0))&amp;"","")</f>
        <v/>
      </c>
      <c r="G31" s="10" t="str">
        <f>IFERROR(INDEX(Personnes!$D$5:$D$154,MATCH($E31,Personnes!$B$5:$B$154,0))&amp;"","")</f>
        <v/>
      </c>
      <c r="H31" s="15"/>
      <c r="I31" s="15"/>
      <c r="J31" s="9"/>
      <c r="K31" s="9"/>
      <c r="L31" s="15"/>
      <c r="M31" s="10" t="str">
        <f>IF($L31="","",IFERROR(IF(ISNUMBER(FIND("[",$L31)),MID($L31,FIND("[",$L31)+1,FIND("]",$L31)-FIND("[",$L31)-1),IF(ISNUMBER($L31),INDEX(Personnes!$B$5:$B$154,MATCH($L31,Personnes!$A$5:$A$154,0)),IFERROR(INDEX(Personnes!$B$5:$B$154,MATCH($L31&amp;"*",Personnes!$C$5:$C$154,0)),INDEX(Personnes!$B$5:$B$154,MATCH($L31&amp;"*",Personnes!$D$5:$D$154,0))))),""))</f>
        <v/>
      </c>
      <c r="N31" s="10" t="str">
        <f>IFERROR(INDEX(Personnes!$C$5:$C$154,MATCH($M31,Personnes!$B$5:$B$154,0))&amp;"","")</f>
        <v/>
      </c>
      <c r="O31" s="10" t="str">
        <f>IFERROR(INDEX(Personnes!$D$5:$D$154,MATCH($M31,Personnes!$B$5:$B$154,0))&amp;"","")</f>
        <v/>
      </c>
      <c r="P31" s="10" t="str">
        <f t="shared" si="0"/>
        <v/>
      </c>
    </row>
    <row r="32" spans="1:16" x14ac:dyDescent="0.2">
      <c r="A32" s="7"/>
      <c r="B32" s="14"/>
      <c r="C32" s="15"/>
      <c r="D32" s="15"/>
      <c r="E32" s="10" t="str">
        <f>IF($D32="","",IFERROR(IF(ISNUMBER(FIND("[",$D32)),MID($D32,FIND("[",$D32)+1,FIND("]",$D32)-FIND("[",$D32)-1),IF(ISNUMBER($D32),INDEX(Personnes!$B$5:$B$154,MATCH($D32,Personnes!$A$5:$A$154,0)),IFERROR(INDEX(Personnes!$B$5:$B$154,MATCH($D32&amp;"*",Personnes!$C$5:$C$154,0)),INDEX(Personnes!$B$5:$B$154,MATCH($D32&amp;"*",Personnes!$D$5:$D$154,0))))),""))</f>
        <v/>
      </c>
      <c r="F32" s="10" t="str">
        <f>IFERROR(INDEX(Personnes!$C$5:$C$154,MATCH($E32,Personnes!$B$5:$B$154,0))&amp;"","")</f>
        <v/>
      </c>
      <c r="G32" s="10" t="str">
        <f>IFERROR(INDEX(Personnes!$D$5:$D$154,MATCH($E32,Personnes!$B$5:$B$154,0))&amp;"","")</f>
        <v/>
      </c>
      <c r="H32" s="15"/>
      <c r="I32" s="15"/>
      <c r="J32" s="9"/>
      <c r="K32" s="9"/>
      <c r="L32" s="15"/>
      <c r="M32" s="10" t="str">
        <f>IF($L32="","",IFERROR(IF(ISNUMBER(FIND("[",$L32)),MID($L32,FIND("[",$L32)+1,FIND("]",$L32)-FIND("[",$L32)-1),IF(ISNUMBER($L32),INDEX(Personnes!$B$5:$B$154,MATCH($L32,Personnes!$A$5:$A$154,0)),IFERROR(INDEX(Personnes!$B$5:$B$154,MATCH($L32&amp;"*",Personnes!$C$5:$C$154,0)),INDEX(Personnes!$B$5:$B$154,MATCH($L32&amp;"*",Personnes!$D$5:$D$154,0))))),""))</f>
        <v/>
      </c>
      <c r="N32" s="10" t="str">
        <f>IFERROR(INDEX(Personnes!$C$5:$C$154,MATCH($M32,Personnes!$B$5:$B$154,0))&amp;"","")</f>
        <v/>
      </c>
      <c r="O32" s="10" t="str">
        <f>IFERROR(INDEX(Personnes!$D$5:$D$154,MATCH($M32,Personnes!$B$5:$B$154,0))&amp;"","")</f>
        <v/>
      </c>
      <c r="P32" s="10" t="str">
        <f t="shared" si="0"/>
        <v/>
      </c>
    </row>
    <row r="33" spans="1:16" x14ac:dyDescent="0.2">
      <c r="A33" s="7"/>
      <c r="B33" s="14"/>
      <c r="C33" s="15"/>
      <c r="D33" s="15"/>
      <c r="E33" s="10" t="str">
        <f>IF($D33="","",IFERROR(IF(ISNUMBER(FIND("[",$D33)),MID($D33,FIND("[",$D33)+1,FIND("]",$D33)-FIND("[",$D33)-1),IF(ISNUMBER($D33),INDEX(Personnes!$B$5:$B$154,MATCH($D33,Personnes!$A$5:$A$154,0)),IFERROR(INDEX(Personnes!$B$5:$B$154,MATCH($D33&amp;"*",Personnes!$C$5:$C$154,0)),INDEX(Personnes!$B$5:$B$154,MATCH($D33&amp;"*",Personnes!$D$5:$D$154,0))))),""))</f>
        <v/>
      </c>
      <c r="F33" s="10" t="str">
        <f>IFERROR(INDEX(Personnes!$C$5:$C$154,MATCH($E33,Personnes!$B$5:$B$154,0))&amp;"","")</f>
        <v/>
      </c>
      <c r="G33" s="10" t="str">
        <f>IFERROR(INDEX(Personnes!$D$5:$D$154,MATCH($E33,Personnes!$B$5:$B$154,0))&amp;"","")</f>
        <v/>
      </c>
      <c r="H33" s="15"/>
      <c r="I33" s="15"/>
      <c r="J33" s="9"/>
      <c r="K33" s="9"/>
      <c r="L33" s="15"/>
      <c r="M33" s="10" t="str">
        <f>IF($L33="","",IFERROR(IF(ISNUMBER(FIND("[",$L33)),MID($L33,FIND("[",$L33)+1,FIND("]",$L33)-FIND("[",$L33)-1),IF(ISNUMBER($L33),INDEX(Personnes!$B$5:$B$154,MATCH($L33,Personnes!$A$5:$A$154,0)),IFERROR(INDEX(Personnes!$B$5:$B$154,MATCH($L33&amp;"*",Personnes!$C$5:$C$154,0)),INDEX(Personnes!$B$5:$B$154,MATCH($L33&amp;"*",Personnes!$D$5:$D$154,0))))),""))</f>
        <v/>
      </c>
      <c r="N33" s="10" t="str">
        <f>IFERROR(INDEX(Personnes!$C$5:$C$154,MATCH($M33,Personnes!$B$5:$B$154,0))&amp;"","")</f>
        <v/>
      </c>
      <c r="O33" s="10" t="str">
        <f>IFERROR(INDEX(Personnes!$D$5:$D$154,MATCH($M33,Personnes!$B$5:$B$154,0))&amp;"","")</f>
        <v/>
      </c>
      <c r="P33" s="10" t="str">
        <f t="shared" si="0"/>
        <v/>
      </c>
    </row>
    <row r="34" spans="1:16" x14ac:dyDescent="0.2">
      <c r="A34" s="7"/>
      <c r="B34" s="14"/>
      <c r="C34" s="15"/>
      <c r="D34" s="15"/>
      <c r="E34" s="10" t="str">
        <f>IF($D34="","",IFERROR(IF(ISNUMBER(FIND("[",$D34)),MID($D34,FIND("[",$D34)+1,FIND("]",$D34)-FIND("[",$D34)-1),IF(ISNUMBER($D34),INDEX(Personnes!$B$5:$B$154,MATCH($D34,Personnes!$A$5:$A$154,0)),IFERROR(INDEX(Personnes!$B$5:$B$154,MATCH($D34&amp;"*",Personnes!$C$5:$C$154,0)),INDEX(Personnes!$B$5:$B$154,MATCH($D34&amp;"*",Personnes!$D$5:$D$154,0))))),""))</f>
        <v/>
      </c>
      <c r="F34" s="10" t="str">
        <f>IFERROR(INDEX(Personnes!$C$5:$C$154,MATCH($E34,Personnes!$B$5:$B$154,0))&amp;"","")</f>
        <v/>
      </c>
      <c r="G34" s="10" t="str">
        <f>IFERROR(INDEX(Personnes!$D$5:$D$154,MATCH($E34,Personnes!$B$5:$B$154,0))&amp;"","")</f>
        <v/>
      </c>
      <c r="H34" s="15"/>
      <c r="I34" s="15"/>
      <c r="J34" s="9"/>
      <c r="K34" s="9"/>
      <c r="L34" s="15"/>
      <c r="M34" s="10" t="str">
        <f>IF($L34="","",IFERROR(IF(ISNUMBER(FIND("[",$L34)),MID($L34,FIND("[",$L34)+1,FIND("]",$L34)-FIND("[",$L34)-1),IF(ISNUMBER($L34),INDEX(Personnes!$B$5:$B$154,MATCH($L34,Personnes!$A$5:$A$154,0)),IFERROR(INDEX(Personnes!$B$5:$B$154,MATCH($L34&amp;"*",Personnes!$C$5:$C$154,0)),INDEX(Personnes!$B$5:$B$154,MATCH($L34&amp;"*",Personnes!$D$5:$D$154,0))))),""))</f>
        <v/>
      </c>
      <c r="N34" s="10" t="str">
        <f>IFERROR(INDEX(Personnes!$C$5:$C$154,MATCH($M34,Personnes!$B$5:$B$154,0))&amp;"","")</f>
        <v/>
      </c>
      <c r="O34" s="10" t="str">
        <f>IFERROR(INDEX(Personnes!$D$5:$D$154,MATCH($M34,Personnes!$B$5:$B$154,0))&amp;"","")</f>
        <v/>
      </c>
      <c r="P34" s="10" t="str">
        <f t="shared" si="0"/>
        <v/>
      </c>
    </row>
    <row r="35" spans="1:16" x14ac:dyDescent="0.2">
      <c r="A35" s="7"/>
      <c r="B35" s="14"/>
      <c r="C35" s="15"/>
      <c r="D35" s="15"/>
      <c r="E35" s="10" t="str">
        <f>IF($D35="","",IFERROR(IF(ISNUMBER(FIND("[",$D35)),MID($D35,FIND("[",$D35)+1,FIND("]",$D35)-FIND("[",$D35)-1),IF(ISNUMBER($D35),INDEX(Personnes!$B$5:$B$154,MATCH($D35,Personnes!$A$5:$A$154,0)),IFERROR(INDEX(Personnes!$B$5:$B$154,MATCH($D35&amp;"*",Personnes!$C$5:$C$154,0)),INDEX(Personnes!$B$5:$B$154,MATCH($D35&amp;"*",Personnes!$D$5:$D$154,0))))),""))</f>
        <v/>
      </c>
      <c r="F35" s="10" t="str">
        <f>IFERROR(INDEX(Personnes!$C$5:$C$154,MATCH($E35,Personnes!$B$5:$B$154,0))&amp;"","")</f>
        <v/>
      </c>
      <c r="G35" s="10" t="str">
        <f>IFERROR(INDEX(Personnes!$D$5:$D$154,MATCH($E35,Personnes!$B$5:$B$154,0))&amp;"","")</f>
        <v/>
      </c>
      <c r="H35" s="15"/>
      <c r="I35" s="15"/>
      <c r="J35" s="9"/>
      <c r="K35" s="9"/>
      <c r="L35" s="15"/>
      <c r="M35" s="10" t="str">
        <f>IF($L35="","",IFERROR(IF(ISNUMBER(FIND("[",$L35)),MID($L35,FIND("[",$L35)+1,FIND("]",$L35)-FIND("[",$L35)-1),IF(ISNUMBER($L35),INDEX(Personnes!$B$5:$B$154,MATCH($L35,Personnes!$A$5:$A$154,0)),IFERROR(INDEX(Personnes!$B$5:$B$154,MATCH($L35&amp;"*",Personnes!$C$5:$C$154,0)),INDEX(Personnes!$B$5:$B$154,MATCH($L35&amp;"*",Personnes!$D$5:$D$154,0))))),""))</f>
        <v/>
      </c>
      <c r="N35" s="10" t="str">
        <f>IFERROR(INDEX(Personnes!$C$5:$C$154,MATCH($M35,Personnes!$B$5:$B$154,0))&amp;"","")</f>
        <v/>
      </c>
      <c r="O35" s="10" t="str">
        <f>IFERROR(INDEX(Personnes!$D$5:$D$154,MATCH($M35,Personnes!$B$5:$B$154,0))&amp;"","")</f>
        <v/>
      </c>
      <c r="P35" s="10" t="str">
        <f t="shared" si="0"/>
        <v/>
      </c>
    </row>
    <row r="36" spans="1:16" x14ac:dyDescent="0.2">
      <c r="A36" s="7"/>
      <c r="B36" s="14"/>
      <c r="C36" s="15"/>
      <c r="D36" s="15"/>
      <c r="E36" s="10" t="str">
        <f>IF($D36="","",IFERROR(IF(ISNUMBER(FIND("[",$D36)),MID($D36,FIND("[",$D36)+1,FIND("]",$D36)-FIND("[",$D36)-1),IF(ISNUMBER($D36),INDEX(Personnes!$B$5:$B$154,MATCH($D36,Personnes!$A$5:$A$154,0)),IFERROR(INDEX(Personnes!$B$5:$B$154,MATCH($D36&amp;"*",Personnes!$C$5:$C$154,0)),INDEX(Personnes!$B$5:$B$154,MATCH($D36&amp;"*",Personnes!$D$5:$D$154,0))))),""))</f>
        <v/>
      </c>
      <c r="F36" s="10" t="str">
        <f>IFERROR(INDEX(Personnes!$C$5:$C$154,MATCH($E36,Personnes!$B$5:$B$154,0))&amp;"","")</f>
        <v/>
      </c>
      <c r="G36" s="10" t="str">
        <f>IFERROR(INDEX(Personnes!$D$5:$D$154,MATCH($E36,Personnes!$B$5:$B$154,0))&amp;"","")</f>
        <v/>
      </c>
      <c r="H36" s="15"/>
      <c r="I36" s="15"/>
      <c r="J36" s="9"/>
      <c r="K36" s="9"/>
      <c r="L36" s="15"/>
      <c r="M36" s="10" t="str">
        <f>IF($L36="","",IFERROR(IF(ISNUMBER(FIND("[",$L36)),MID($L36,FIND("[",$L36)+1,FIND("]",$L36)-FIND("[",$L36)-1),IF(ISNUMBER($L36),INDEX(Personnes!$B$5:$B$154,MATCH($L36,Personnes!$A$5:$A$154,0)),IFERROR(INDEX(Personnes!$B$5:$B$154,MATCH($L36&amp;"*",Personnes!$C$5:$C$154,0)),INDEX(Personnes!$B$5:$B$154,MATCH($L36&amp;"*",Personnes!$D$5:$D$154,0))))),""))</f>
        <v/>
      </c>
      <c r="N36" s="10" t="str">
        <f>IFERROR(INDEX(Personnes!$C$5:$C$154,MATCH($M36,Personnes!$B$5:$B$154,0))&amp;"","")</f>
        <v/>
      </c>
      <c r="O36" s="10" t="str">
        <f>IFERROR(INDEX(Personnes!$D$5:$D$154,MATCH($M36,Personnes!$B$5:$B$154,0))&amp;"","")</f>
        <v/>
      </c>
      <c r="P36" s="10" t="str">
        <f t="shared" si="0"/>
        <v/>
      </c>
    </row>
    <row r="37" spans="1:16" x14ac:dyDescent="0.2">
      <c r="A37" s="7"/>
      <c r="B37" s="14"/>
      <c r="C37" s="15"/>
      <c r="D37" s="15"/>
      <c r="E37" s="10" t="str">
        <f>IF($D37="","",IFERROR(IF(ISNUMBER(FIND("[",$D37)),MID($D37,FIND("[",$D37)+1,FIND("]",$D37)-FIND("[",$D37)-1),IF(ISNUMBER($D37),INDEX(Personnes!$B$5:$B$154,MATCH($D37,Personnes!$A$5:$A$154,0)),IFERROR(INDEX(Personnes!$B$5:$B$154,MATCH($D37&amp;"*",Personnes!$C$5:$C$154,0)),INDEX(Personnes!$B$5:$B$154,MATCH($D37&amp;"*",Personnes!$D$5:$D$154,0))))),""))</f>
        <v/>
      </c>
      <c r="F37" s="10" t="str">
        <f>IFERROR(INDEX(Personnes!$C$5:$C$154,MATCH($E37,Personnes!$B$5:$B$154,0))&amp;"","")</f>
        <v/>
      </c>
      <c r="G37" s="10" t="str">
        <f>IFERROR(INDEX(Personnes!$D$5:$D$154,MATCH($E37,Personnes!$B$5:$B$154,0))&amp;"","")</f>
        <v/>
      </c>
      <c r="H37" s="15"/>
      <c r="I37" s="15"/>
      <c r="J37" s="9"/>
      <c r="K37" s="9"/>
      <c r="L37" s="15"/>
      <c r="M37" s="10" t="str">
        <f>IF($L37="","",IFERROR(IF(ISNUMBER(FIND("[",$L37)),MID($L37,FIND("[",$L37)+1,FIND("]",$L37)-FIND("[",$L37)-1),IF(ISNUMBER($L37),INDEX(Personnes!$B$5:$B$154,MATCH($L37,Personnes!$A$5:$A$154,0)),IFERROR(INDEX(Personnes!$B$5:$B$154,MATCH($L37&amp;"*",Personnes!$C$5:$C$154,0)),INDEX(Personnes!$B$5:$B$154,MATCH($L37&amp;"*",Personnes!$D$5:$D$154,0))))),""))</f>
        <v/>
      </c>
      <c r="N37" s="10" t="str">
        <f>IFERROR(INDEX(Personnes!$C$5:$C$154,MATCH($M37,Personnes!$B$5:$B$154,0))&amp;"","")</f>
        <v/>
      </c>
      <c r="O37" s="10" t="str">
        <f>IFERROR(INDEX(Personnes!$D$5:$D$154,MATCH($M37,Personnes!$B$5:$B$154,0))&amp;"","")</f>
        <v/>
      </c>
      <c r="P37" s="10" t="str">
        <f t="shared" ref="P37:P68" si="1">IF($E37="","",COUNTIF($E$5:$E$104,$E37))</f>
        <v/>
      </c>
    </row>
    <row r="38" spans="1:16" x14ac:dyDescent="0.2">
      <c r="A38" s="7"/>
      <c r="B38" s="14"/>
      <c r="C38" s="15"/>
      <c r="D38" s="15"/>
      <c r="E38" s="10" t="str">
        <f>IF($D38="","",IFERROR(IF(ISNUMBER(FIND("[",$D38)),MID($D38,FIND("[",$D38)+1,FIND("]",$D38)-FIND("[",$D38)-1),IF(ISNUMBER($D38),INDEX(Personnes!$B$5:$B$154,MATCH($D38,Personnes!$A$5:$A$154,0)),IFERROR(INDEX(Personnes!$B$5:$B$154,MATCH($D38&amp;"*",Personnes!$C$5:$C$154,0)),INDEX(Personnes!$B$5:$B$154,MATCH($D38&amp;"*",Personnes!$D$5:$D$154,0))))),""))</f>
        <v/>
      </c>
      <c r="F38" s="10" t="str">
        <f>IFERROR(INDEX(Personnes!$C$5:$C$154,MATCH($E38,Personnes!$B$5:$B$154,0))&amp;"","")</f>
        <v/>
      </c>
      <c r="G38" s="10" t="str">
        <f>IFERROR(INDEX(Personnes!$D$5:$D$154,MATCH($E38,Personnes!$B$5:$B$154,0))&amp;"","")</f>
        <v/>
      </c>
      <c r="H38" s="15"/>
      <c r="I38" s="15"/>
      <c r="J38" s="9"/>
      <c r="K38" s="9"/>
      <c r="L38" s="15"/>
      <c r="M38" s="10" t="str">
        <f>IF($L38="","",IFERROR(IF(ISNUMBER(FIND("[",$L38)),MID($L38,FIND("[",$L38)+1,FIND("]",$L38)-FIND("[",$L38)-1),IF(ISNUMBER($L38),INDEX(Personnes!$B$5:$B$154,MATCH($L38,Personnes!$A$5:$A$154,0)),IFERROR(INDEX(Personnes!$B$5:$B$154,MATCH($L38&amp;"*",Personnes!$C$5:$C$154,0)),INDEX(Personnes!$B$5:$B$154,MATCH($L38&amp;"*",Personnes!$D$5:$D$154,0))))),""))</f>
        <v/>
      </c>
      <c r="N38" s="10" t="str">
        <f>IFERROR(INDEX(Personnes!$C$5:$C$154,MATCH($M38,Personnes!$B$5:$B$154,0))&amp;"","")</f>
        <v/>
      </c>
      <c r="O38" s="10" t="str">
        <f>IFERROR(INDEX(Personnes!$D$5:$D$154,MATCH($M38,Personnes!$B$5:$B$154,0))&amp;"","")</f>
        <v/>
      </c>
      <c r="P38" s="10" t="str">
        <f t="shared" si="1"/>
        <v/>
      </c>
    </row>
    <row r="39" spans="1:16" x14ac:dyDescent="0.2">
      <c r="A39" s="7"/>
      <c r="B39" s="14"/>
      <c r="C39" s="15"/>
      <c r="D39" s="15"/>
      <c r="E39" s="10" t="str">
        <f>IF($D39="","",IFERROR(IF(ISNUMBER(FIND("[",$D39)),MID($D39,FIND("[",$D39)+1,FIND("]",$D39)-FIND("[",$D39)-1),IF(ISNUMBER($D39),INDEX(Personnes!$B$5:$B$154,MATCH($D39,Personnes!$A$5:$A$154,0)),IFERROR(INDEX(Personnes!$B$5:$B$154,MATCH($D39&amp;"*",Personnes!$C$5:$C$154,0)),INDEX(Personnes!$B$5:$B$154,MATCH($D39&amp;"*",Personnes!$D$5:$D$154,0))))),""))</f>
        <v/>
      </c>
      <c r="F39" s="10" t="str">
        <f>IFERROR(INDEX(Personnes!$C$5:$C$154,MATCH($E39,Personnes!$B$5:$B$154,0))&amp;"","")</f>
        <v/>
      </c>
      <c r="G39" s="10" t="str">
        <f>IFERROR(INDEX(Personnes!$D$5:$D$154,MATCH($E39,Personnes!$B$5:$B$154,0))&amp;"","")</f>
        <v/>
      </c>
      <c r="H39" s="15"/>
      <c r="I39" s="15"/>
      <c r="J39" s="9"/>
      <c r="K39" s="9"/>
      <c r="L39" s="15"/>
      <c r="M39" s="10" t="str">
        <f>IF($L39="","",IFERROR(IF(ISNUMBER(FIND("[",$L39)),MID($L39,FIND("[",$L39)+1,FIND("]",$L39)-FIND("[",$L39)-1),IF(ISNUMBER($L39),INDEX(Personnes!$B$5:$B$154,MATCH($L39,Personnes!$A$5:$A$154,0)),IFERROR(INDEX(Personnes!$B$5:$B$154,MATCH($L39&amp;"*",Personnes!$C$5:$C$154,0)),INDEX(Personnes!$B$5:$B$154,MATCH($L39&amp;"*",Personnes!$D$5:$D$154,0))))),""))</f>
        <v/>
      </c>
      <c r="N39" s="10" t="str">
        <f>IFERROR(INDEX(Personnes!$C$5:$C$154,MATCH($M39,Personnes!$B$5:$B$154,0))&amp;"","")</f>
        <v/>
      </c>
      <c r="O39" s="10" t="str">
        <f>IFERROR(INDEX(Personnes!$D$5:$D$154,MATCH($M39,Personnes!$B$5:$B$154,0))&amp;"","")</f>
        <v/>
      </c>
      <c r="P39" s="10" t="str">
        <f t="shared" si="1"/>
        <v/>
      </c>
    </row>
    <row r="40" spans="1:16" x14ac:dyDescent="0.2">
      <c r="A40" s="7"/>
      <c r="B40" s="14"/>
      <c r="C40" s="15"/>
      <c r="D40" s="15"/>
      <c r="E40" s="10" t="str">
        <f>IF($D40="","",IFERROR(IF(ISNUMBER(FIND("[",$D40)),MID($D40,FIND("[",$D40)+1,FIND("]",$D40)-FIND("[",$D40)-1),IF(ISNUMBER($D40),INDEX(Personnes!$B$5:$B$154,MATCH($D40,Personnes!$A$5:$A$154,0)),IFERROR(INDEX(Personnes!$B$5:$B$154,MATCH($D40&amp;"*",Personnes!$C$5:$C$154,0)),INDEX(Personnes!$B$5:$B$154,MATCH($D40&amp;"*",Personnes!$D$5:$D$154,0))))),""))</f>
        <v/>
      </c>
      <c r="F40" s="10" t="str">
        <f>IFERROR(INDEX(Personnes!$C$5:$C$154,MATCH($E40,Personnes!$B$5:$B$154,0))&amp;"","")</f>
        <v/>
      </c>
      <c r="G40" s="10" t="str">
        <f>IFERROR(INDEX(Personnes!$D$5:$D$154,MATCH($E40,Personnes!$B$5:$B$154,0))&amp;"","")</f>
        <v/>
      </c>
      <c r="H40" s="15"/>
      <c r="I40" s="15"/>
      <c r="J40" s="9"/>
      <c r="K40" s="9"/>
      <c r="L40" s="15"/>
      <c r="M40" s="10" t="str">
        <f>IF($L40="","",IFERROR(IF(ISNUMBER(FIND("[",$L40)),MID($L40,FIND("[",$L40)+1,FIND("]",$L40)-FIND("[",$L40)-1),IF(ISNUMBER($L40),INDEX(Personnes!$B$5:$B$154,MATCH($L40,Personnes!$A$5:$A$154,0)),IFERROR(INDEX(Personnes!$B$5:$B$154,MATCH($L40&amp;"*",Personnes!$C$5:$C$154,0)),INDEX(Personnes!$B$5:$B$154,MATCH($L40&amp;"*",Personnes!$D$5:$D$154,0))))),""))</f>
        <v/>
      </c>
      <c r="N40" s="10" t="str">
        <f>IFERROR(INDEX(Personnes!$C$5:$C$154,MATCH($M40,Personnes!$B$5:$B$154,0))&amp;"","")</f>
        <v/>
      </c>
      <c r="O40" s="10" t="str">
        <f>IFERROR(INDEX(Personnes!$D$5:$D$154,MATCH($M40,Personnes!$B$5:$B$154,0))&amp;"","")</f>
        <v/>
      </c>
      <c r="P40" s="10" t="str">
        <f t="shared" si="1"/>
        <v/>
      </c>
    </row>
    <row r="41" spans="1:16" x14ac:dyDescent="0.2">
      <c r="A41" s="7"/>
      <c r="B41" s="14"/>
      <c r="C41" s="15"/>
      <c r="D41" s="15"/>
      <c r="E41" s="10" t="str">
        <f>IF($D41="","",IFERROR(IF(ISNUMBER(FIND("[",$D41)),MID($D41,FIND("[",$D41)+1,FIND("]",$D41)-FIND("[",$D41)-1),IF(ISNUMBER($D41),INDEX(Personnes!$B$5:$B$154,MATCH($D41,Personnes!$A$5:$A$154,0)),IFERROR(INDEX(Personnes!$B$5:$B$154,MATCH($D41&amp;"*",Personnes!$C$5:$C$154,0)),INDEX(Personnes!$B$5:$B$154,MATCH($D41&amp;"*",Personnes!$D$5:$D$154,0))))),""))</f>
        <v/>
      </c>
      <c r="F41" s="10" t="str">
        <f>IFERROR(INDEX(Personnes!$C$5:$C$154,MATCH($E41,Personnes!$B$5:$B$154,0))&amp;"","")</f>
        <v/>
      </c>
      <c r="G41" s="10" t="str">
        <f>IFERROR(INDEX(Personnes!$D$5:$D$154,MATCH($E41,Personnes!$B$5:$B$154,0))&amp;"","")</f>
        <v/>
      </c>
      <c r="H41" s="15"/>
      <c r="I41" s="15"/>
      <c r="J41" s="9"/>
      <c r="K41" s="9"/>
      <c r="L41" s="15"/>
      <c r="M41" s="10" t="str">
        <f>IF($L41="","",IFERROR(IF(ISNUMBER(FIND("[",$L41)),MID($L41,FIND("[",$L41)+1,FIND("]",$L41)-FIND("[",$L41)-1),IF(ISNUMBER($L41),INDEX(Personnes!$B$5:$B$154,MATCH($L41,Personnes!$A$5:$A$154,0)),IFERROR(INDEX(Personnes!$B$5:$B$154,MATCH($L41&amp;"*",Personnes!$C$5:$C$154,0)),INDEX(Personnes!$B$5:$B$154,MATCH($L41&amp;"*",Personnes!$D$5:$D$154,0))))),""))</f>
        <v/>
      </c>
      <c r="N41" s="10" t="str">
        <f>IFERROR(INDEX(Personnes!$C$5:$C$154,MATCH($M41,Personnes!$B$5:$B$154,0))&amp;"","")</f>
        <v/>
      </c>
      <c r="O41" s="10" t="str">
        <f>IFERROR(INDEX(Personnes!$D$5:$D$154,MATCH($M41,Personnes!$B$5:$B$154,0))&amp;"","")</f>
        <v/>
      </c>
      <c r="P41" s="10" t="str">
        <f t="shared" si="1"/>
        <v/>
      </c>
    </row>
    <row r="42" spans="1:16" x14ac:dyDescent="0.2">
      <c r="A42" s="7"/>
      <c r="B42" s="14"/>
      <c r="C42" s="15"/>
      <c r="D42" s="15"/>
      <c r="E42" s="10" t="str">
        <f>IF($D42="","",IFERROR(IF(ISNUMBER(FIND("[",$D42)),MID($D42,FIND("[",$D42)+1,FIND("]",$D42)-FIND("[",$D42)-1),IF(ISNUMBER($D42),INDEX(Personnes!$B$5:$B$154,MATCH($D42,Personnes!$A$5:$A$154,0)),IFERROR(INDEX(Personnes!$B$5:$B$154,MATCH($D42&amp;"*",Personnes!$C$5:$C$154,0)),INDEX(Personnes!$B$5:$B$154,MATCH($D42&amp;"*",Personnes!$D$5:$D$154,0))))),""))</f>
        <v/>
      </c>
      <c r="F42" s="10" t="str">
        <f>IFERROR(INDEX(Personnes!$C$5:$C$154,MATCH($E42,Personnes!$B$5:$B$154,0))&amp;"","")</f>
        <v/>
      </c>
      <c r="G42" s="10" t="str">
        <f>IFERROR(INDEX(Personnes!$D$5:$D$154,MATCH($E42,Personnes!$B$5:$B$154,0))&amp;"","")</f>
        <v/>
      </c>
      <c r="H42" s="15"/>
      <c r="I42" s="15"/>
      <c r="J42" s="9"/>
      <c r="K42" s="9"/>
      <c r="L42" s="15"/>
      <c r="M42" s="10" t="str">
        <f>IF($L42="","",IFERROR(IF(ISNUMBER(FIND("[",$L42)),MID($L42,FIND("[",$L42)+1,FIND("]",$L42)-FIND("[",$L42)-1),IF(ISNUMBER($L42),INDEX(Personnes!$B$5:$B$154,MATCH($L42,Personnes!$A$5:$A$154,0)),IFERROR(INDEX(Personnes!$B$5:$B$154,MATCH($L42&amp;"*",Personnes!$C$5:$C$154,0)),INDEX(Personnes!$B$5:$B$154,MATCH($L42&amp;"*",Personnes!$D$5:$D$154,0))))),""))</f>
        <v/>
      </c>
      <c r="N42" s="10" t="str">
        <f>IFERROR(INDEX(Personnes!$C$5:$C$154,MATCH($M42,Personnes!$B$5:$B$154,0))&amp;"","")</f>
        <v/>
      </c>
      <c r="O42" s="10" t="str">
        <f>IFERROR(INDEX(Personnes!$D$5:$D$154,MATCH($M42,Personnes!$B$5:$B$154,0))&amp;"","")</f>
        <v/>
      </c>
      <c r="P42" s="10" t="str">
        <f t="shared" si="1"/>
        <v/>
      </c>
    </row>
    <row r="43" spans="1:16" x14ac:dyDescent="0.2">
      <c r="A43" s="7"/>
      <c r="B43" s="14"/>
      <c r="C43" s="15"/>
      <c r="D43" s="15"/>
      <c r="E43" s="10" t="str">
        <f>IF($D43="","",IFERROR(IF(ISNUMBER(FIND("[",$D43)),MID($D43,FIND("[",$D43)+1,FIND("]",$D43)-FIND("[",$D43)-1),IF(ISNUMBER($D43),INDEX(Personnes!$B$5:$B$154,MATCH($D43,Personnes!$A$5:$A$154,0)),IFERROR(INDEX(Personnes!$B$5:$B$154,MATCH($D43&amp;"*",Personnes!$C$5:$C$154,0)),INDEX(Personnes!$B$5:$B$154,MATCH($D43&amp;"*",Personnes!$D$5:$D$154,0))))),""))</f>
        <v/>
      </c>
      <c r="F43" s="10" t="str">
        <f>IFERROR(INDEX(Personnes!$C$5:$C$154,MATCH($E43,Personnes!$B$5:$B$154,0))&amp;"","")</f>
        <v/>
      </c>
      <c r="G43" s="10" t="str">
        <f>IFERROR(INDEX(Personnes!$D$5:$D$154,MATCH($E43,Personnes!$B$5:$B$154,0))&amp;"","")</f>
        <v/>
      </c>
      <c r="H43" s="15"/>
      <c r="I43" s="15"/>
      <c r="J43" s="9"/>
      <c r="K43" s="9"/>
      <c r="L43" s="15"/>
      <c r="M43" s="10" t="str">
        <f>IF($L43="","",IFERROR(IF(ISNUMBER(FIND("[",$L43)),MID($L43,FIND("[",$L43)+1,FIND("]",$L43)-FIND("[",$L43)-1),IF(ISNUMBER($L43),INDEX(Personnes!$B$5:$B$154,MATCH($L43,Personnes!$A$5:$A$154,0)),IFERROR(INDEX(Personnes!$B$5:$B$154,MATCH($L43&amp;"*",Personnes!$C$5:$C$154,0)),INDEX(Personnes!$B$5:$B$154,MATCH($L43&amp;"*",Personnes!$D$5:$D$154,0))))),""))</f>
        <v/>
      </c>
      <c r="N43" s="10" t="str">
        <f>IFERROR(INDEX(Personnes!$C$5:$C$154,MATCH($M43,Personnes!$B$5:$B$154,0))&amp;"","")</f>
        <v/>
      </c>
      <c r="O43" s="10" t="str">
        <f>IFERROR(INDEX(Personnes!$D$5:$D$154,MATCH($M43,Personnes!$B$5:$B$154,0))&amp;"","")</f>
        <v/>
      </c>
      <c r="P43" s="10" t="str">
        <f t="shared" si="1"/>
        <v/>
      </c>
    </row>
    <row r="44" spans="1:16" x14ac:dyDescent="0.2">
      <c r="A44" s="7"/>
      <c r="B44" s="14"/>
      <c r="C44" s="15"/>
      <c r="D44" s="15"/>
      <c r="E44" s="10" t="str">
        <f>IF($D44="","",IFERROR(IF(ISNUMBER(FIND("[",$D44)),MID($D44,FIND("[",$D44)+1,FIND("]",$D44)-FIND("[",$D44)-1),IF(ISNUMBER($D44),INDEX(Personnes!$B$5:$B$154,MATCH($D44,Personnes!$A$5:$A$154,0)),IFERROR(INDEX(Personnes!$B$5:$B$154,MATCH($D44&amp;"*",Personnes!$C$5:$C$154,0)),INDEX(Personnes!$B$5:$B$154,MATCH($D44&amp;"*",Personnes!$D$5:$D$154,0))))),""))</f>
        <v/>
      </c>
      <c r="F44" s="10" t="str">
        <f>IFERROR(INDEX(Personnes!$C$5:$C$154,MATCH($E44,Personnes!$B$5:$B$154,0))&amp;"","")</f>
        <v/>
      </c>
      <c r="G44" s="10" t="str">
        <f>IFERROR(INDEX(Personnes!$D$5:$D$154,MATCH($E44,Personnes!$B$5:$B$154,0))&amp;"","")</f>
        <v/>
      </c>
      <c r="H44" s="15"/>
      <c r="I44" s="15"/>
      <c r="J44" s="9"/>
      <c r="K44" s="9"/>
      <c r="L44" s="15"/>
      <c r="M44" s="10" t="str">
        <f>IF($L44="","",IFERROR(IF(ISNUMBER(FIND("[",$L44)),MID($L44,FIND("[",$L44)+1,FIND("]",$L44)-FIND("[",$L44)-1),IF(ISNUMBER($L44),INDEX(Personnes!$B$5:$B$154,MATCH($L44,Personnes!$A$5:$A$154,0)),IFERROR(INDEX(Personnes!$B$5:$B$154,MATCH($L44&amp;"*",Personnes!$C$5:$C$154,0)),INDEX(Personnes!$B$5:$B$154,MATCH($L44&amp;"*",Personnes!$D$5:$D$154,0))))),""))</f>
        <v/>
      </c>
      <c r="N44" s="10" t="str">
        <f>IFERROR(INDEX(Personnes!$C$5:$C$154,MATCH($M44,Personnes!$B$5:$B$154,0))&amp;"","")</f>
        <v/>
      </c>
      <c r="O44" s="10" t="str">
        <f>IFERROR(INDEX(Personnes!$D$5:$D$154,MATCH($M44,Personnes!$B$5:$B$154,0))&amp;"","")</f>
        <v/>
      </c>
      <c r="P44" s="10" t="str">
        <f t="shared" si="1"/>
        <v/>
      </c>
    </row>
    <row r="45" spans="1:16" x14ac:dyDescent="0.2">
      <c r="A45" s="7"/>
      <c r="B45" s="14"/>
      <c r="C45" s="15"/>
      <c r="D45" s="15"/>
      <c r="E45" s="10" t="str">
        <f>IF($D45="","",IFERROR(IF(ISNUMBER(FIND("[",$D45)),MID($D45,FIND("[",$D45)+1,FIND("]",$D45)-FIND("[",$D45)-1),IF(ISNUMBER($D45),INDEX(Personnes!$B$5:$B$154,MATCH($D45,Personnes!$A$5:$A$154,0)),IFERROR(INDEX(Personnes!$B$5:$B$154,MATCH($D45&amp;"*",Personnes!$C$5:$C$154,0)),INDEX(Personnes!$B$5:$B$154,MATCH($D45&amp;"*",Personnes!$D$5:$D$154,0))))),""))</f>
        <v/>
      </c>
      <c r="F45" s="10" t="str">
        <f>IFERROR(INDEX(Personnes!$C$5:$C$154,MATCH($E45,Personnes!$B$5:$B$154,0))&amp;"","")</f>
        <v/>
      </c>
      <c r="G45" s="10" t="str">
        <f>IFERROR(INDEX(Personnes!$D$5:$D$154,MATCH($E45,Personnes!$B$5:$B$154,0))&amp;"","")</f>
        <v/>
      </c>
      <c r="H45" s="15"/>
      <c r="I45" s="15"/>
      <c r="J45" s="9"/>
      <c r="K45" s="9"/>
      <c r="L45" s="15"/>
      <c r="M45" s="10" t="str">
        <f>IF($L45="","",IFERROR(IF(ISNUMBER(FIND("[",$L45)),MID($L45,FIND("[",$L45)+1,FIND("]",$L45)-FIND("[",$L45)-1),IF(ISNUMBER($L45),INDEX(Personnes!$B$5:$B$154,MATCH($L45,Personnes!$A$5:$A$154,0)),IFERROR(INDEX(Personnes!$B$5:$B$154,MATCH($L45&amp;"*",Personnes!$C$5:$C$154,0)),INDEX(Personnes!$B$5:$B$154,MATCH($L45&amp;"*",Personnes!$D$5:$D$154,0))))),""))</f>
        <v/>
      </c>
      <c r="N45" s="10" t="str">
        <f>IFERROR(INDEX(Personnes!$C$5:$C$154,MATCH($M45,Personnes!$B$5:$B$154,0))&amp;"","")</f>
        <v/>
      </c>
      <c r="O45" s="10" t="str">
        <f>IFERROR(INDEX(Personnes!$D$5:$D$154,MATCH($M45,Personnes!$B$5:$B$154,0))&amp;"","")</f>
        <v/>
      </c>
      <c r="P45" s="10" t="str">
        <f t="shared" si="1"/>
        <v/>
      </c>
    </row>
    <row r="46" spans="1:16" x14ac:dyDescent="0.2">
      <c r="A46" s="7"/>
      <c r="B46" s="14"/>
      <c r="C46" s="15"/>
      <c r="D46" s="15"/>
      <c r="E46" s="10" t="str">
        <f>IF($D46="","",IFERROR(IF(ISNUMBER(FIND("[",$D46)),MID($D46,FIND("[",$D46)+1,FIND("]",$D46)-FIND("[",$D46)-1),IF(ISNUMBER($D46),INDEX(Personnes!$B$5:$B$154,MATCH($D46,Personnes!$A$5:$A$154,0)),IFERROR(INDEX(Personnes!$B$5:$B$154,MATCH($D46&amp;"*",Personnes!$C$5:$C$154,0)),INDEX(Personnes!$B$5:$B$154,MATCH($D46&amp;"*",Personnes!$D$5:$D$154,0))))),""))</f>
        <v/>
      </c>
      <c r="F46" s="10" t="str">
        <f>IFERROR(INDEX(Personnes!$C$5:$C$154,MATCH($E46,Personnes!$B$5:$B$154,0))&amp;"","")</f>
        <v/>
      </c>
      <c r="G46" s="10" t="str">
        <f>IFERROR(INDEX(Personnes!$D$5:$D$154,MATCH($E46,Personnes!$B$5:$B$154,0))&amp;"","")</f>
        <v/>
      </c>
      <c r="H46" s="15"/>
      <c r="I46" s="15"/>
      <c r="J46" s="9"/>
      <c r="K46" s="9"/>
      <c r="L46" s="15"/>
      <c r="M46" s="10" t="str">
        <f>IF($L46="","",IFERROR(IF(ISNUMBER(FIND("[",$L46)),MID($L46,FIND("[",$L46)+1,FIND("]",$L46)-FIND("[",$L46)-1),IF(ISNUMBER($L46),INDEX(Personnes!$B$5:$B$154,MATCH($L46,Personnes!$A$5:$A$154,0)),IFERROR(INDEX(Personnes!$B$5:$B$154,MATCH($L46&amp;"*",Personnes!$C$5:$C$154,0)),INDEX(Personnes!$B$5:$B$154,MATCH($L46&amp;"*",Personnes!$D$5:$D$154,0))))),""))</f>
        <v/>
      </c>
      <c r="N46" s="10" t="str">
        <f>IFERROR(INDEX(Personnes!$C$5:$C$154,MATCH($M46,Personnes!$B$5:$B$154,0))&amp;"","")</f>
        <v/>
      </c>
      <c r="O46" s="10" t="str">
        <f>IFERROR(INDEX(Personnes!$D$5:$D$154,MATCH($M46,Personnes!$B$5:$B$154,0))&amp;"","")</f>
        <v/>
      </c>
      <c r="P46" s="10" t="str">
        <f t="shared" si="1"/>
        <v/>
      </c>
    </row>
    <row r="47" spans="1:16" x14ac:dyDescent="0.2">
      <c r="A47" s="7"/>
      <c r="B47" s="14"/>
      <c r="C47" s="15"/>
      <c r="D47" s="15"/>
      <c r="E47" s="10" t="str">
        <f>IF($D47="","",IFERROR(IF(ISNUMBER(FIND("[",$D47)),MID($D47,FIND("[",$D47)+1,FIND("]",$D47)-FIND("[",$D47)-1),IF(ISNUMBER($D47),INDEX(Personnes!$B$5:$B$154,MATCH($D47,Personnes!$A$5:$A$154,0)),IFERROR(INDEX(Personnes!$B$5:$B$154,MATCH($D47&amp;"*",Personnes!$C$5:$C$154,0)),INDEX(Personnes!$B$5:$B$154,MATCH($D47&amp;"*",Personnes!$D$5:$D$154,0))))),""))</f>
        <v/>
      </c>
      <c r="F47" s="10" t="str">
        <f>IFERROR(INDEX(Personnes!$C$5:$C$154,MATCH($E47,Personnes!$B$5:$B$154,0))&amp;"","")</f>
        <v/>
      </c>
      <c r="G47" s="10" t="str">
        <f>IFERROR(INDEX(Personnes!$D$5:$D$154,MATCH($E47,Personnes!$B$5:$B$154,0))&amp;"","")</f>
        <v/>
      </c>
      <c r="H47" s="15"/>
      <c r="I47" s="15"/>
      <c r="J47" s="9"/>
      <c r="K47" s="9"/>
      <c r="L47" s="15"/>
      <c r="M47" s="10" t="str">
        <f>IF($L47="","",IFERROR(IF(ISNUMBER(FIND("[",$L47)),MID($L47,FIND("[",$L47)+1,FIND("]",$L47)-FIND("[",$L47)-1),IF(ISNUMBER($L47),INDEX(Personnes!$B$5:$B$154,MATCH($L47,Personnes!$A$5:$A$154,0)),IFERROR(INDEX(Personnes!$B$5:$B$154,MATCH($L47&amp;"*",Personnes!$C$5:$C$154,0)),INDEX(Personnes!$B$5:$B$154,MATCH($L47&amp;"*",Personnes!$D$5:$D$154,0))))),""))</f>
        <v/>
      </c>
      <c r="N47" s="10" t="str">
        <f>IFERROR(INDEX(Personnes!$C$5:$C$154,MATCH($M47,Personnes!$B$5:$B$154,0))&amp;"","")</f>
        <v/>
      </c>
      <c r="O47" s="10" t="str">
        <f>IFERROR(INDEX(Personnes!$D$5:$D$154,MATCH($M47,Personnes!$B$5:$B$154,0))&amp;"","")</f>
        <v/>
      </c>
      <c r="P47" s="10" t="str">
        <f t="shared" si="1"/>
        <v/>
      </c>
    </row>
    <row r="48" spans="1:16" x14ac:dyDescent="0.2">
      <c r="A48" s="7"/>
      <c r="B48" s="14"/>
      <c r="C48" s="15"/>
      <c r="D48" s="15"/>
      <c r="E48" s="10" t="str">
        <f>IF($D48="","",IFERROR(IF(ISNUMBER(FIND("[",$D48)),MID($D48,FIND("[",$D48)+1,FIND("]",$D48)-FIND("[",$D48)-1),IF(ISNUMBER($D48),INDEX(Personnes!$B$5:$B$154,MATCH($D48,Personnes!$A$5:$A$154,0)),IFERROR(INDEX(Personnes!$B$5:$B$154,MATCH($D48&amp;"*",Personnes!$C$5:$C$154,0)),INDEX(Personnes!$B$5:$B$154,MATCH($D48&amp;"*",Personnes!$D$5:$D$154,0))))),""))</f>
        <v/>
      </c>
      <c r="F48" s="10" t="str">
        <f>IFERROR(INDEX(Personnes!$C$5:$C$154,MATCH($E48,Personnes!$B$5:$B$154,0))&amp;"","")</f>
        <v/>
      </c>
      <c r="G48" s="10" t="str">
        <f>IFERROR(INDEX(Personnes!$D$5:$D$154,MATCH($E48,Personnes!$B$5:$B$154,0))&amp;"","")</f>
        <v/>
      </c>
      <c r="H48" s="15"/>
      <c r="I48" s="15"/>
      <c r="J48" s="9"/>
      <c r="K48" s="9"/>
      <c r="L48" s="15"/>
      <c r="M48" s="10" t="str">
        <f>IF($L48="","",IFERROR(IF(ISNUMBER(FIND("[",$L48)),MID($L48,FIND("[",$L48)+1,FIND("]",$L48)-FIND("[",$L48)-1),IF(ISNUMBER($L48),INDEX(Personnes!$B$5:$B$154,MATCH($L48,Personnes!$A$5:$A$154,0)),IFERROR(INDEX(Personnes!$B$5:$B$154,MATCH($L48&amp;"*",Personnes!$C$5:$C$154,0)),INDEX(Personnes!$B$5:$B$154,MATCH($L48&amp;"*",Personnes!$D$5:$D$154,0))))),""))</f>
        <v/>
      </c>
      <c r="N48" s="10" t="str">
        <f>IFERROR(INDEX(Personnes!$C$5:$C$154,MATCH($M48,Personnes!$B$5:$B$154,0))&amp;"","")</f>
        <v/>
      </c>
      <c r="O48" s="10" t="str">
        <f>IFERROR(INDEX(Personnes!$D$5:$D$154,MATCH($M48,Personnes!$B$5:$B$154,0))&amp;"","")</f>
        <v/>
      </c>
      <c r="P48" s="10" t="str">
        <f t="shared" si="1"/>
        <v/>
      </c>
    </row>
    <row r="49" spans="1:16" x14ac:dyDescent="0.2">
      <c r="A49" s="7"/>
      <c r="B49" s="14"/>
      <c r="C49" s="15"/>
      <c r="D49" s="15"/>
      <c r="E49" s="10" t="str">
        <f>IF($D49="","",IFERROR(IF(ISNUMBER(FIND("[",$D49)),MID($D49,FIND("[",$D49)+1,FIND("]",$D49)-FIND("[",$D49)-1),IF(ISNUMBER($D49),INDEX(Personnes!$B$5:$B$154,MATCH($D49,Personnes!$A$5:$A$154,0)),IFERROR(INDEX(Personnes!$B$5:$B$154,MATCH($D49&amp;"*",Personnes!$C$5:$C$154,0)),INDEX(Personnes!$B$5:$B$154,MATCH($D49&amp;"*",Personnes!$D$5:$D$154,0))))),""))</f>
        <v/>
      </c>
      <c r="F49" s="10" t="str">
        <f>IFERROR(INDEX(Personnes!$C$5:$C$154,MATCH($E49,Personnes!$B$5:$B$154,0))&amp;"","")</f>
        <v/>
      </c>
      <c r="G49" s="10" t="str">
        <f>IFERROR(INDEX(Personnes!$D$5:$D$154,MATCH($E49,Personnes!$B$5:$B$154,0))&amp;"","")</f>
        <v/>
      </c>
      <c r="H49" s="15"/>
      <c r="I49" s="15"/>
      <c r="J49" s="9"/>
      <c r="K49" s="9"/>
      <c r="L49" s="15"/>
      <c r="M49" s="10" t="str">
        <f>IF($L49="","",IFERROR(IF(ISNUMBER(FIND("[",$L49)),MID($L49,FIND("[",$L49)+1,FIND("]",$L49)-FIND("[",$L49)-1),IF(ISNUMBER($L49),INDEX(Personnes!$B$5:$B$154,MATCH($L49,Personnes!$A$5:$A$154,0)),IFERROR(INDEX(Personnes!$B$5:$B$154,MATCH($L49&amp;"*",Personnes!$C$5:$C$154,0)),INDEX(Personnes!$B$5:$B$154,MATCH($L49&amp;"*",Personnes!$D$5:$D$154,0))))),""))</f>
        <v/>
      </c>
      <c r="N49" s="10" t="str">
        <f>IFERROR(INDEX(Personnes!$C$5:$C$154,MATCH($M49,Personnes!$B$5:$B$154,0))&amp;"","")</f>
        <v/>
      </c>
      <c r="O49" s="10" t="str">
        <f>IFERROR(INDEX(Personnes!$D$5:$D$154,MATCH($M49,Personnes!$B$5:$B$154,0))&amp;"","")</f>
        <v/>
      </c>
      <c r="P49" s="10" t="str">
        <f t="shared" si="1"/>
        <v/>
      </c>
    </row>
    <row r="50" spans="1:16" x14ac:dyDescent="0.2">
      <c r="A50" s="7"/>
      <c r="B50" s="14"/>
      <c r="C50" s="15"/>
      <c r="D50" s="15"/>
      <c r="E50" s="10" t="str">
        <f>IF($D50="","",IFERROR(IF(ISNUMBER(FIND("[",$D50)),MID($D50,FIND("[",$D50)+1,FIND("]",$D50)-FIND("[",$D50)-1),IF(ISNUMBER($D50),INDEX(Personnes!$B$5:$B$154,MATCH($D50,Personnes!$A$5:$A$154,0)),IFERROR(INDEX(Personnes!$B$5:$B$154,MATCH($D50&amp;"*",Personnes!$C$5:$C$154,0)),INDEX(Personnes!$B$5:$B$154,MATCH($D50&amp;"*",Personnes!$D$5:$D$154,0))))),""))</f>
        <v/>
      </c>
      <c r="F50" s="10" t="str">
        <f>IFERROR(INDEX(Personnes!$C$5:$C$154,MATCH($E50,Personnes!$B$5:$B$154,0))&amp;"","")</f>
        <v/>
      </c>
      <c r="G50" s="10" t="str">
        <f>IFERROR(INDEX(Personnes!$D$5:$D$154,MATCH($E50,Personnes!$B$5:$B$154,0))&amp;"","")</f>
        <v/>
      </c>
      <c r="H50" s="15"/>
      <c r="I50" s="15"/>
      <c r="J50" s="9"/>
      <c r="K50" s="9"/>
      <c r="L50" s="15"/>
      <c r="M50" s="10" t="str">
        <f>IF($L50="","",IFERROR(IF(ISNUMBER(FIND("[",$L50)),MID($L50,FIND("[",$L50)+1,FIND("]",$L50)-FIND("[",$L50)-1),IF(ISNUMBER($L50),INDEX(Personnes!$B$5:$B$154,MATCH($L50,Personnes!$A$5:$A$154,0)),IFERROR(INDEX(Personnes!$B$5:$B$154,MATCH($L50&amp;"*",Personnes!$C$5:$C$154,0)),INDEX(Personnes!$B$5:$B$154,MATCH($L50&amp;"*",Personnes!$D$5:$D$154,0))))),""))</f>
        <v/>
      </c>
      <c r="N50" s="10" t="str">
        <f>IFERROR(INDEX(Personnes!$C$5:$C$154,MATCH($M50,Personnes!$B$5:$B$154,0))&amp;"","")</f>
        <v/>
      </c>
      <c r="O50" s="10" t="str">
        <f>IFERROR(INDEX(Personnes!$D$5:$D$154,MATCH($M50,Personnes!$B$5:$B$154,0))&amp;"","")</f>
        <v/>
      </c>
      <c r="P50" s="10" t="str">
        <f t="shared" si="1"/>
        <v/>
      </c>
    </row>
    <row r="51" spans="1:16" x14ac:dyDescent="0.2">
      <c r="A51" s="7"/>
      <c r="B51" s="14"/>
      <c r="C51" s="15"/>
      <c r="D51" s="15"/>
      <c r="E51" s="10" t="str">
        <f>IF($D51="","",IFERROR(IF(ISNUMBER(FIND("[",$D51)),MID($D51,FIND("[",$D51)+1,FIND("]",$D51)-FIND("[",$D51)-1),IF(ISNUMBER($D51),INDEX(Personnes!$B$5:$B$154,MATCH($D51,Personnes!$A$5:$A$154,0)),IFERROR(INDEX(Personnes!$B$5:$B$154,MATCH($D51&amp;"*",Personnes!$C$5:$C$154,0)),INDEX(Personnes!$B$5:$B$154,MATCH($D51&amp;"*",Personnes!$D$5:$D$154,0))))),""))</f>
        <v/>
      </c>
      <c r="F51" s="10" t="str">
        <f>IFERROR(INDEX(Personnes!$C$5:$C$154,MATCH($E51,Personnes!$B$5:$B$154,0))&amp;"","")</f>
        <v/>
      </c>
      <c r="G51" s="10" t="str">
        <f>IFERROR(INDEX(Personnes!$D$5:$D$154,MATCH($E51,Personnes!$B$5:$B$154,0))&amp;"","")</f>
        <v/>
      </c>
      <c r="H51" s="15"/>
      <c r="I51" s="15"/>
      <c r="J51" s="9"/>
      <c r="K51" s="9"/>
      <c r="L51" s="15"/>
      <c r="M51" s="10" t="str">
        <f>IF($L51="","",IFERROR(IF(ISNUMBER(FIND("[",$L51)),MID($L51,FIND("[",$L51)+1,FIND("]",$L51)-FIND("[",$L51)-1),IF(ISNUMBER($L51),INDEX(Personnes!$B$5:$B$154,MATCH($L51,Personnes!$A$5:$A$154,0)),IFERROR(INDEX(Personnes!$B$5:$B$154,MATCH($L51&amp;"*",Personnes!$C$5:$C$154,0)),INDEX(Personnes!$B$5:$B$154,MATCH($L51&amp;"*",Personnes!$D$5:$D$154,0))))),""))</f>
        <v/>
      </c>
      <c r="N51" s="10" t="str">
        <f>IFERROR(INDEX(Personnes!$C$5:$C$154,MATCH($M51,Personnes!$B$5:$B$154,0))&amp;"","")</f>
        <v/>
      </c>
      <c r="O51" s="10" t="str">
        <f>IFERROR(INDEX(Personnes!$D$5:$D$154,MATCH($M51,Personnes!$B$5:$B$154,0))&amp;"","")</f>
        <v/>
      </c>
      <c r="P51" s="10" t="str">
        <f t="shared" si="1"/>
        <v/>
      </c>
    </row>
    <row r="52" spans="1:16" x14ac:dyDescent="0.2">
      <c r="A52" s="7"/>
      <c r="B52" s="14"/>
      <c r="C52" s="15"/>
      <c r="D52" s="15"/>
      <c r="E52" s="10" t="str">
        <f>IF($D52="","",IFERROR(IF(ISNUMBER(FIND("[",$D52)),MID($D52,FIND("[",$D52)+1,FIND("]",$D52)-FIND("[",$D52)-1),IF(ISNUMBER($D52),INDEX(Personnes!$B$5:$B$154,MATCH($D52,Personnes!$A$5:$A$154,0)),IFERROR(INDEX(Personnes!$B$5:$B$154,MATCH($D52&amp;"*",Personnes!$C$5:$C$154,0)),INDEX(Personnes!$B$5:$B$154,MATCH($D52&amp;"*",Personnes!$D$5:$D$154,0))))),""))</f>
        <v/>
      </c>
      <c r="F52" s="10" t="str">
        <f>IFERROR(INDEX(Personnes!$C$5:$C$154,MATCH($E52,Personnes!$B$5:$B$154,0))&amp;"","")</f>
        <v/>
      </c>
      <c r="G52" s="10" t="str">
        <f>IFERROR(INDEX(Personnes!$D$5:$D$154,MATCH($E52,Personnes!$B$5:$B$154,0))&amp;"","")</f>
        <v/>
      </c>
      <c r="H52" s="15"/>
      <c r="I52" s="15"/>
      <c r="J52" s="9"/>
      <c r="K52" s="9"/>
      <c r="L52" s="15"/>
      <c r="M52" s="10" t="str">
        <f>IF($L52="","",IFERROR(IF(ISNUMBER(FIND("[",$L52)),MID($L52,FIND("[",$L52)+1,FIND("]",$L52)-FIND("[",$L52)-1),IF(ISNUMBER($L52),INDEX(Personnes!$B$5:$B$154,MATCH($L52,Personnes!$A$5:$A$154,0)),IFERROR(INDEX(Personnes!$B$5:$B$154,MATCH($L52&amp;"*",Personnes!$C$5:$C$154,0)),INDEX(Personnes!$B$5:$B$154,MATCH($L52&amp;"*",Personnes!$D$5:$D$154,0))))),""))</f>
        <v/>
      </c>
      <c r="N52" s="10" t="str">
        <f>IFERROR(INDEX(Personnes!$C$5:$C$154,MATCH($M52,Personnes!$B$5:$B$154,0))&amp;"","")</f>
        <v/>
      </c>
      <c r="O52" s="10" t="str">
        <f>IFERROR(INDEX(Personnes!$D$5:$D$154,MATCH($M52,Personnes!$B$5:$B$154,0))&amp;"","")</f>
        <v/>
      </c>
      <c r="P52" s="10" t="str">
        <f t="shared" si="1"/>
        <v/>
      </c>
    </row>
    <row r="53" spans="1:16" x14ac:dyDescent="0.2">
      <c r="A53" s="7"/>
      <c r="B53" s="14"/>
      <c r="C53" s="15"/>
      <c r="D53" s="15"/>
      <c r="E53" s="10" t="str">
        <f>IF($D53="","",IFERROR(IF(ISNUMBER(FIND("[",$D53)),MID($D53,FIND("[",$D53)+1,FIND("]",$D53)-FIND("[",$D53)-1),IF(ISNUMBER($D53),INDEX(Personnes!$B$5:$B$154,MATCH($D53,Personnes!$A$5:$A$154,0)),IFERROR(INDEX(Personnes!$B$5:$B$154,MATCH($D53&amp;"*",Personnes!$C$5:$C$154,0)),INDEX(Personnes!$B$5:$B$154,MATCH($D53&amp;"*",Personnes!$D$5:$D$154,0))))),""))</f>
        <v/>
      </c>
      <c r="F53" s="10" t="str">
        <f>IFERROR(INDEX(Personnes!$C$5:$C$154,MATCH($E53,Personnes!$B$5:$B$154,0))&amp;"","")</f>
        <v/>
      </c>
      <c r="G53" s="10" t="str">
        <f>IFERROR(INDEX(Personnes!$D$5:$D$154,MATCH($E53,Personnes!$B$5:$B$154,0))&amp;"","")</f>
        <v/>
      </c>
      <c r="H53" s="15"/>
      <c r="I53" s="15"/>
      <c r="J53" s="9"/>
      <c r="K53" s="9"/>
      <c r="L53" s="15"/>
      <c r="M53" s="10" t="str">
        <f>IF($L53="","",IFERROR(IF(ISNUMBER(FIND("[",$L53)),MID($L53,FIND("[",$L53)+1,FIND("]",$L53)-FIND("[",$L53)-1),IF(ISNUMBER($L53),INDEX(Personnes!$B$5:$B$154,MATCH($L53,Personnes!$A$5:$A$154,0)),IFERROR(INDEX(Personnes!$B$5:$B$154,MATCH($L53&amp;"*",Personnes!$C$5:$C$154,0)),INDEX(Personnes!$B$5:$B$154,MATCH($L53&amp;"*",Personnes!$D$5:$D$154,0))))),""))</f>
        <v/>
      </c>
      <c r="N53" s="10" t="str">
        <f>IFERROR(INDEX(Personnes!$C$5:$C$154,MATCH($M53,Personnes!$B$5:$B$154,0))&amp;"","")</f>
        <v/>
      </c>
      <c r="O53" s="10" t="str">
        <f>IFERROR(INDEX(Personnes!$D$5:$D$154,MATCH($M53,Personnes!$B$5:$B$154,0))&amp;"","")</f>
        <v/>
      </c>
      <c r="P53" s="10" t="str">
        <f t="shared" si="1"/>
        <v/>
      </c>
    </row>
    <row r="54" spans="1:16" x14ac:dyDescent="0.2">
      <c r="A54" s="7"/>
      <c r="B54" s="14"/>
      <c r="C54" s="15"/>
      <c r="D54" s="15"/>
      <c r="E54" s="10" t="str">
        <f>IF($D54="","",IFERROR(IF(ISNUMBER(FIND("[",$D54)),MID($D54,FIND("[",$D54)+1,FIND("]",$D54)-FIND("[",$D54)-1),IF(ISNUMBER($D54),INDEX(Personnes!$B$5:$B$154,MATCH($D54,Personnes!$A$5:$A$154,0)),IFERROR(INDEX(Personnes!$B$5:$B$154,MATCH($D54&amp;"*",Personnes!$C$5:$C$154,0)),INDEX(Personnes!$B$5:$B$154,MATCH($D54&amp;"*",Personnes!$D$5:$D$154,0))))),""))</f>
        <v/>
      </c>
      <c r="F54" s="10" t="str">
        <f>IFERROR(INDEX(Personnes!$C$5:$C$154,MATCH($E54,Personnes!$B$5:$B$154,0))&amp;"","")</f>
        <v/>
      </c>
      <c r="G54" s="10" t="str">
        <f>IFERROR(INDEX(Personnes!$D$5:$D$154,MATCH($E54,Personnes!$B$5:$B$154,0))&amp;"","")</f>
        <v/>
      </c>
      <c r="H54" s="15"/>
      <c r="I54" s="15"/>
      <c r="J54" s="9"/>
      <c r="K54" s="9"/>
      <c r="L54" s="15"/>
      <c r="M54" s="10" t="str">
        <f>IF($L54="","",IFERROR(IF(ISNUMBER(FIND("[",$L54)),MID($L54,FIND("[",$L54)+1,FIND("]",$L54)-FIND("[",$L54)-1),IF(ISNUMBER($L54),INDEX(Personnes!$B$5:$B$154,MATCH($L54,Personnes!$A$5:$A$154,0)),IFERROR(INDEX(Personnes!$B$5:$B$154,MATCH($L54&amp;"*",Personnes!$C$5:$C$154,0)),INDEX(Personnes!$B$5:$B$154,MATCH($L54&amp;"*",Personnes!$D$5:$D$154,0))))),""))</f>
        <v/>
      </c>
      <c r="N54" s="10" t="str">
        <f>IFERROR(INDEX(Personnes!$C$5:$C$154,MATCH($M54,Personnes!$B$5:$B$154,0))&amp;"","")</f>
        <v/>
      </c>
      <c r="O54" s="10" t="str">
        <f>IFERROR(INDEX(Personnes!$D$5:$D$154,MATCH($M54,Personnes!$B$5:$B$154,0))&amp;"","")</f>
        <v/>
      </c>
      <c r="P54" s="10" t="str">
        <f t="shared" si="1"/>
        <v/>
      </c>
    </row>
    <row r="55" spans="1:16" x14ac:dyDescent="0.2">
      <c r="A55" s="7"/>
      <c r="B55" s="14"/>
      <c r="C55" s="15"/>
      <c r="D55" s="15"/>
      <c r="E55" s="10" t="str">
        <f>IF($D55="","",IFERROR(IF(ISNUMBER(FIND("[",$D55)),MID($D55,FIND("[",$D55)+1,FIND("]",$D55)-FIND("[",$D55)-1),IF(ISNUMBER($D55),INDEX(Personnes!$B$5:$B$154,MATCH($D55,Personnes!$A$5:$A$154,0)),IFERROR(INDEX(Personnes!$B$5:$B$154,MATCH($D55&amp;"*",Personnes!$C$5:$C$154,0)),INDEX(Personnes!$B$5:$B$154,MATCH($D55&amp;"*",Personnes!$D$5:$D$154,0))))),""))</f>
        <v/>
      </c>
      <c r="F55" s="10" t="str">
        <f>IFERROR(INDEX(Personnes!$C$5:$C$154,MATCH($E55,Personnes!$B$5:$B$154,0))&amp;"","")</f>
        <v/>
      </c>
      <c r="G55" s="10" t="str">
        <f>IFERROR(INDEX(Personnes!$D$5:$D$154,MATCH($E55,Personnes!$B$5:$B$154,0))&amp;"","")</f>
        <v/>
      </c>
      <c r="H55" s="15"/>
      <c r="I55" s="15"/>
      <c r="J55" s="9"/>
      <c r="K55" s="9"/>
      <c r="L55" s="15"/>
      <c r="M55" s="10" t="str">
        <f>IF($L55="","",IFERROR(IF(ISNUMBER(FIND("[",$L55)),MID($L55,FIND("[",$L55)+1,FIND("]",$L55)-FIND("[",$L55)-1),IF(ISNUMBER($L55),INDEX(Personnes!$B$5:$B$154,MATCH($L55,Personnes!$A$5:$A$154,0)),IFERROR(INDEX(Personnes!$B$5:$B$154,MATCH($L55&amp;"*",Personnes!$C$5:$C$154,0)),INDEX(Personnes!$B$5:$B$154,MATCH($L55&amp;"*",Personnes!$D$5:$D$154,0))))),""))</f>
        <v/>
      </c>
      <c r="N55" s="10" t="str">
        <f>IFERROR(INDEX(Personnes!$C$5:$C$154,MATCH($M55,Personnes!$B$5:$B$154,0))&amp;"","")</f>
        <v/>
      </c>
      <c r="O55" s="10" t="str">
        <f>IFERROR(INDEX(Personnes!$D$5:$D$154,MATCH($M55,Personnes!$B$5:$B$154,0))&amp;"","")</f>
        <v/>
      </c>
      <c r="P55" s="10" t="str">
        <f t="shared" si="1"/>
        <v/>
      </c>
    </row>
    <row r="56" spans="1:16" x14ac:dyDescent="0.2">
      <c r="A56" s="7"/>
      <c r="B56" s="14"/>
      <c r="C56" s="15"/>
      <c r="D56" s="15"/>
      <c r="E56" s="10" t="str">
        <f>IF($D56="","",IFERROR(IF(ISNUMBER(FIND("[",$D56)),MID($D56,FIND("[",$D56)+1,FIND("]",$D56)-FIND("[",$D56)-1),IF(ISNUMBER($D56),INDEX(Personnes!$B$5:$B$154,MATCH($D56,Personnes!$A$5:$A$154,0)),IFERROR(INDEX(Personnes!$B$5:$B$154,MATCH($D56&amp;"*",Personnes!$C$5:$C$154,0)),INDEX(Personnes!$B$5:$B$154,MATCH($D56&amp;"*",Personnes!$D$5:$D$154,0))))),""))</f>
        <v/>
      </c>
      <c r="F56" s="10" t="str">
        <f>IFERROR(INDEX(Personnes!$C$5:$C$154,MATCH($E56,Personnes!$B$5:$B$154,0))&amp;"","")</f>
        <v/>
      </c>
      <c r="G56" s="10" t="str">
        <f>IFERROR(INDEX(Personnes!$D$5:$D$154,MATCH($E56,Personnes!$B$5:$B$154,0))&amp;"","")</f>
        <v/>
      </c>
      <c r="H56" s="15"/>
      <c r="I56" s="15"/>
      <c r="J56" s="9"/>
      <c r="K56" s="9"/>
      <c r="L56" s="15"/>
      <c r="M56" s="10" t="str">
        <f>IF($L56="","",IFERROR(IF(ISNUMBER(FIND("[",$L56)),MID($L56,FIND("[",$L56)+1,FIND("]",$L56)-FIND("[",$L56)-1),IF(ISNUMBER($L56),INDEX(Personnes!$B$5:$B$154,MATCH($L56,Personnes!$A$5:$A$154,0)),IFERROR(INDEX(Personnes!$B$5:$B$154,MATCH($L56&amp;"*",Personnes!$C$5:$C$154,0)),INDEX(Personnes!$B$5:$B$154,MATCH($L56&amp;"*",Personnes!$D$5:$D$154,0))))),""))</f>
        <v/>
      </c>
      <c r="N56" s="10" t="str">
        <f>IFERROR(INDEX(Personnes!$C$5:$C$154,MATCH($M56,Personnes!$B$5:$B$154,0))&amp;"","")</f>
        <v/>
      </c>
      <c r="O56" s="10" t="str">
        <f>IFERROR(INDEX(Personnes!$D$5:$D$154,MATCH($M56,Personnes!$B$5:$B$154,0))&amp;"","")</f>
        <v/>
      </c>
      <c r="P56" s="10" t="str">
        <f t="shared" si="1"/>
        <v/>
      </c>
    </row>
    <row r="57" spans="1:16" x14ac:dyDescent="0.2">
      <c r="A57" s="7"/>
      <c r="B57" s="14"/>
      <c r="C57" s="15"/>
      <c r="D57" s="15"/>
      <c r="E57" s="10" t="str">
        <f>IF($D57="","",IFERROR(IF(ISNUMBER(FIND("[",$D57)),MID($D57,FIND("[",$D57)+1,FIND("]",$D57)-FIND("[",$D57)-1),IF(ISNUMBER($D57),INDEX(Personnes!$B$5:$B$154,MATCH($D57,Personnes!$A$5:$A$154,0)),IFERROR(INDEX(Personnes!$B$5:$B$154,MATCH($D57&amp;"*",Personnes!$C$5:$C$154,0)),INDEX(Personnes!$B$5:$B$154,MATCH($D57&amp;"*",Personnes!$D$5:$D$154,0))))),""))</f>
        <v/>
      </c>
      <c r="F57" s="10" t="str">
        <f>IFERROR(INDEX(Personnes!$C$5:$C$154,MATCH($E57,Personnes!$B$5:$B$154,0))&amp;"","")</f>
        <v/>
      </c>
      <c r="G57" s="10" t="str">
        <f>IFERROR(INDEX(Personnes!$D$5:$D$154,MATCH($E57,Personnes!$B$5:$B$154,0))&amp;"","")</f>
        <v/>
      </c>
      <c r="H57" s="15"/>
      <c r="I57" s="15"/>
      <c r="J57" s="9"/>
      <c r="K57" s="9"/>
      <c r="L57" s="15"/>
      <c r="M57" s="10" t="str">
        <f>IF($L57="","",IFERROR(IF(ISNUMBER(FIND("[",$L57)),MID($L57,FIND("[",$L57)+1,FIND("]",$L57)-FIND("[",$L57)-1),IF(ISNUMBER($L57),INDEX(Personnes!$B$5:$B$154,MATCH($L57,Personnes!$A$5:$A$154,0)),IFERROR(INDEX(Personnes!$B$5:$B$154,MATCH($L57&amp;"*",Personnes!$C$5:$C$154,0)),INDEX(Personnes!$B$5:$B$154,MATCH($L57&amp;"*",Personnes!$D$5:$D$154,0))))),""))</f>
        <v/>
      </c>
      <c r="N57" s="10" t="str">
        <f>IFERROR(INDEX(Personnes!$C$5:$C$154,MATCH($M57,Personnes!$B$5:$B$154,0))&amp;"","")</f>
        <v/>
      </c>
      <c r="O57" s="10" t="str">
        <f>IFERROR(INDEX(Personnes!$D$5:$D$154,MATCH($M57,Personnes!$B$5:$B$154,0))&amp;"","")</f>
        <v/>
      </c>
      <c r="P57" s="10" t="str">
        <f t="shared" si="1"/>
        <v/>
      </c>
    </row>
    <row r="58" spans="1:16" x14ac:dyDescent="0.2">
      <c r="A58" s="7"/>
      <c r="B58" s="14"/>
      <c r="C58" s="15"/>
      <c r="D58" s="15"/>
      <c r="E58" s="10" t="str">
        <f>IF($D58="","",IFERROR(IF(ISNUMBER(FIND("[",$D58)),MID($D58,FIND("[",$D58)+1,FIND("]",$D58)-FIND("[",$D58)-1),IF(ISNUMBER($D58),INDEX(Personnes!$B$5:$B$154,MATCH($D58,Personnes!$A$5:$A$154,0)),IFERROR(INDEX(Personnes!$B$5:$B$154,MATCH($D58&amp;"*",Personnes!$C$5:$C$154,0)),INDEX(Personnes!$B$5:$B$154,MATCH($D58&amp;"*",Personnes!$D$5:$D$154,0))))),""))</f>
        <v/>
      </c>
      <c r="F58" s="10" t="str">
        <f>IFERROR(INDEX(Personnes!$C$5:$C$154,MATCH($E58,Personnes!$B$5:$B$154,0))&amp;"","")</f>
        <v/>
      </c>
      <c r="G58" s="10" t="str">
        <f>IFERROR(INDEX(Personnes!$D$5:$D$154,MATCH($E58,Personnes!$B$5:$B$154,0))&amp;"","")</f>
        <v/>
      </c>
      <c r="H58" s="15"/>
      <c r="I58" s="15"/>
      <c r="J58" s="9"/>
      <c r="K58" s="9"/>
      <c r="L58" s="15"/>
      <c r="M58" s="10" t="str">
        <f>IF($L58="","",IFERROR(IF(ISNUMBER(FIND("[",$L58)),MID($L58,FIND("[",$L58)+1,FIND("]",$L58)-FIND("[",$L58)-1),IF(ISNUMBER($L58),INDEX(Personnes!$B$5:$B$154,MATCH($L58,Personnes!$A$5:$A$154,0)),IFERROR(INDEX(Personnes!$B$5:$B$154,MATCH($L58&amp;"*",Personnes!$C$5:$C$154,0)),INDEX(Personnes!$B$5:$B$154,MATCH($L58&amp;"*",Personnes!$D$5:$D$154,0))))),""))</f>
        <v/>
      </c>
      <c r="N58" s="10" t="str">
        <f>IFERROR(INDEX(Personnes!$C$5:$C$154,MATCH($M58,Personnes!$B$5:$B$154,0))&amp;"","")</f>
        <v/>
      </c>
      <c r="O58" s="10" t="str">
        <f>IFERROR(INDEX(Personnes!$D$5:$D$154,MATCH($M58,Personnes!$B$5:$B$154,0))&amp;"","")</f>
        <v/>
      </c>
      <c r="P58" s="10" t="str">
        <f t="shared" si="1"/>
        <v/>
      </c>
    </row>
    <row r="59" spans="1:16" x14ac:dyDescent="0.2">
      <c r="A59" s="7"/>
      <c r="B59" s="14"/>
      <c r="C59" s="15"/>
      <c r="D59" s="15"/>
      <c r="E59" s="10" t="str">
        <f>IF($D59="","",IFERROR(IF(ISNUMBER(FIND("[",$D59)),MID($D59,FIND("[",$D59)+1,FIND("]",$D59)-FIND("[",$D59)-1),IF(ISNUMBER($D59),INDEX(Personnes!$B$5:$B$154,MATCH($D59,Personnes!$A$5:$A$154,0)),IFERROR(INDEX(Personnes!$B$5:$B$154,MATCH($D59&amp;"*",Personnes!$C$5:$C$154,0)),INDEX(Personnes!$B$5:$B$154,MATCH($D59&amp;"*",Personnes!$D$5:$D$154,0))))),""))</f>
        <v/>
      </c>
      <c r="F59" s="10" t="str">
        <f>IFERROR(INDEX(Personnes!$C$5:$C$154,MATCH($E59,Personnes!$B$5:$B$154,0))&amp;"","")</f>
        <v/>
      </c>
      <c r="G59" s="10" t="str">
        <f>IFERROR(INDEX(Personnes!$D$5:$D$154,MATCH($E59,Personnes!$B$5:$B$154,0))&amp;"","")</f>
        <v/>
      </c>
      <c r="H59" s="15"/>
      <c r="I59" s="15"/>
      <c r="J59" s="9"/>
      <c r="K59" s="9"/>
      <c r="L59" s="15"/>
      <c r="M59" s="10" t="str">
        <f>IF($L59="","",IFERROR(IF(ISNUMBER(FIND("[",$L59)),MID($L59,FIND("[",$L59)+1,FIND("]",$L59)-FIND("[",$L59)-1),IF(ISNUMBER($L59),INDEX(Personnes!$B$5:$B$154,MATCH($L59,Personnes!$A$5:$A$154,0)),IFERROR(INDEX(Personnes!$B$5:$B$154,MATCH($L59&amp;"*",Personnes!$C$5:$C$154,0)),INDEX(Personnes!$B$5:$B$154,MATCH($L59&amp;"*",Personnes!$D$5:$D$154,0))))),""))</f>
        <v/>
      </c>
      <c r="N59" s="10" t="str">
        <f>IFERROR(INDEX(Personnes!$C$5:$C$154,MATCH($M59,Personnes!$B$5:$B$154,0))&amp;"","")</f>
        <v/>
      </c>
      <c r="O59" s="10" t="str">
        <f>IFERROR(INDEX(Personnes!$D$5:$D$154,MATCH($M59,Personnes!$B$5:$B$154,0))&amp;"","")</f>
        <v/>
      </c>
      <c r="P59" s="10" t="str">
        <f t="shared" si="1"/>
        <v/>
      </c>
    </row>
    <row r="60" spans="1:16" x14ac:dyDescent="0.2">
      <c r="A60" s="7"/>
      <c r="B60" s="14"/>
      <c r="C60" s="15"/>
      <c r="D60" s="15"/>
      <c r="E60" s="10" t="str">
        <f>IF($D60="","",IFERROR(IF(ISNUMBER(FIND("[",$D60)),MID($D60,FIND("[",$D60)+1,FIND("]",$D60)-FIND("[",$D60)-1),IF(ISNUMBER($D60),INDEX(Personnes!$B$5:$B$154,MATCH($D60,Personnes!$A$5:$A$154,0)),IFERROR(INDEX(Personnes!$B$5:$B$154,MATCH($D60&amp;"*",Personnes!$C$5:$C$154,0)),INDEX(Personnes!$B$5:$B$154,MATCH($D60&amp;"*",Personnes!$D$5:$D$154,0))))),""))</f>
        <v/>
      </c>
      <c r="F60" s="10" t="str">
        <f>IFERROR(INDEX(Personnes!$C$5:$C$154,MATCH($E60,Personnes!$B$5:$B$154,0))&amp;"","")</f>
        <v/>
      </c>
      <c r="G60" s="10" t="str">
        <f>IFERROR(INDEX(Personnes!$D$5:$D$154,MATCH($E60,Personnes!$B$5:$B$154,0))&amp;"","")</f>
        <v/>
      </c>
      <c r="H60" s="15"/>
      <c r="I60" s="15"/>
      <c r="J60" s="9"/>
      <c r="K60" s="9"/>
      <c r="L60" s="15"/>
      <c r="M60" s="10" t="str">
        <f>IF($L60="","",IFERROR(IF(ISNUMBER(FIND("[",$L60)),MID($L60,FIND("[",$L60)+1,FIND("]",$L60)-FIND("[",$L60)-1),IF(ISNUMBER($L60),INDEX(Personnes!$B$5:$B$154,MATCH($L60,Personnes!$A$5:$A$154,0)),IFERROR(INDEX(Personnes!$B$5:$B$154,MATCH($L60&amp;"*",Personnes!$C$5:$C$154,0)),INDEX(Personnes!$B$5:$B$154,MATCH($L60&amp;"*",Personnes!$D$5:$D$154,0))))),""))</f>
        <v/>
      </c>
      <c r="N60" s="10" t="str">
        <f>IFERROR(INDEX(Personnes!$C$5:$C$154,MATCH($M60,Personnes!$B$5:$B$154,0))&amp;"","")</f>
        <v/>
      </c>
      <c r="O60" s="10" t="str">
        <f>IFERROR(INDEX(Personnes!$D$5:$D$154,MATCH($M60,Personnes!$B$5:$B$154,0))&amp;"","")</f>
        <v/>
      </c>
      <c r="P60" s="10" t="str">
        <f t="shared" si="1"/>
        <v/>
      </c>
    </row>
    <row r="61" spans="1:16" x14ac:dyDescent="0.2">
      <c r="A61" s="7"/>
      <c r="B61" s="14"/>
      <c r="C61" s="15"/>
      <c r="D61" s="15"/>
      <c r="E61" s="10" t="str">
        <f>IF($D61="","",IFERROR(IF(ISNUMBER(FIND("[",$D61)),MID($D61,FIND("[",$D61)+1,FIND("]",$D61)-FIND("[",$D61)-1),IF(ISNUMBER($D61),INDEX(Personnes!$B$5:$B$154,MATCH($D61,Personnes!$A$5:$A$154,0)),IFERROR(INDEX(Personnes!$B$5:$B$154,MATCH($D61&amp;"*",Personnes!$C$5:$C$154,0)),INDEX(Personnes!$B$5:$B$154,MATCH($D61&amp;"*",Personnes!$D$5:$D$154,0))))),""))</f>
        <v/>
      </c>
      <c r="F61" s="10" t="str">
        <f>IFERROR(INDEX(Personnes!$C$5:$C$154,MATCH($E61,Personnes!$B$5:$B$154,0))&amp;"","")</f>
        <v/>
      </c>
      <c r="G61" s="10" t="str">
        <f>IFERROR(INDEX(Personnes!$D$5:$D$154,MATCH($E61,Personnes!$B$5:$B$154,0))&amp;"","")</f>
        <v/>
      </c>
      <c r="H61" s="15"/>
      <c r="I61" s="15"/>
      <c r="J61" s="9"/>
      <c r="K61" s="9"/>
      <c r="L61" s="15"/>
      <c r="M61" s="10" t="str">
        <f>IF($L61="","",IFERROR(IF(ISNUMBER(FIND("[",$L61)),MID($L61,FIND("[",$L61)+1,FIND("]",$L61)-FIND("[",$L61)-1),IF(ISNUMBER($L61),INDEX(Personnes!$B$5:$B$154,MATCH($L61,Personnes!$A$5:$A$154,0)),IFERROR(INDEX(Personnes!$B$5:$B$154,MATCH($L61&amp;"*",Personnes!$C$5:$C$154,0)),INDEX(Personnes!$B$5:$B$154,MATCH($L61&amp;"*",Personnes!$D$5:$D$154,0))))),""))</f>
        <v/>
      </c>
      <c r="N61" s="10" t="str">
        <f>IFERROR(INDEX(Personnes!$C$5:$C$154,MATCH($M61,Personnes!$B$5:$B$154,0))&amp;"","")</f>
        <v/>
      </c>
      <c r="O61" s="10" t="str">
        <f>IFERROR(INDEX(Personnes!$D$5:$D$154,MATCH($M61,Personnes!$B$5:$B$154,0))&amp;"","")</f>
        <v/>
      </c>
      <c r="P61" s="10" t="str">
        <f t="shared" si="1"/>
        <v/>
      </c>
    </row>
    <row r="62" spans="1:16" x14ac:dyDescent="0.2">
      <c r="A62" s="7"/>
      <c r="B62" s="14"/>
      <c r="C62" s="15"/>
      <c r="D62" s="15"/>
      <c r="E62" s="10" t="str">
        <f>IF($D62="","",IFERROR(IF(ISNUMBER(FIND("[",$D62)),MID($D62,FIND("[",$D62)+1,FIND("]",$D62)-FIND("[",$D62)-1),IF(ISNUMBER($D62),INDEX(Personnes!$B$5:$B$154,MATCH($D62,Personnes!$A$5:$A$154,0)),IFERROR(INDEX(Personnes!$B$5:$B$154,MATCH($D62&amp;"*",Personnes!$C$5:$C$154,0)),INDEX(Personnes!$B$5:$B$154,MATCH($D62&amp;"*",Personnes!$D$5:$D$154,0))))),""))</f>
        <v/>
      </c>
      <c r="F62" s="10" t="str">
        <f>IFERROR(INDEX(Personnes!$C$5:$C$154,MATCH($E62,Personnes!$B$5:$B$154,0))&amp;"","")</f>
        <v/>
      </c>
      <c r="G62" s="10" t="str">
        <f>IFERROR(INDEX(Personnes!$D$5:$D$154,MATCH($E62,Personnes!$B$5:$B$154,0))&amp;"","")</f>
        <v/>
      </c>
      <c r="H62" s="15"/>
      <c r="I62" s="15"/>
      <c r="J62" s="9"/>
      <c r="K62" s="9"/>
      <c r="L62" s="15"/>
      <c r="M62" s="10" t="str">
        <f>IF($L62="","",IFERROR(IF(ISNUMBER(FIND("[",$L62)),MID($L62,FIND("[",$L62)+1,FIND("]",$L62)-FIND("[",$L62)-1),IF(ISNUMBER($L62),INDEX(Personnes!$B$5:$B$154,MATCH($L62,Personnes!$A$5:$A$154,0)),IFERROR(INDEX(Personnes!$B$5:$B$154,MATCH($L62&amp;"*",Personnes!$C$5:$C$154,0)),INDEX(Personnes!$B$5:$B$154,MATCH($L62&amp;"*",Personnes!$D$5:$D$154,0))))),""))</f>
        <v/>
      </c>
      <c r="N62" s="10" t="str">
        <f>IFERROR(INDEX(Personnes!$C$5:$C$154,MATCH($M62,Personnes!$B$5:$B$154,0))&amp;"","")</f>
        <v/>
      </c>
      <c r="O62" s="10" t="str">
        <f>IFERROR(INDEX(Personnes!$D$5:$D$154,MATCH($M62,Personnes!$B$5:$B$154,0))&amp;"","")</f>
        <v/>
      </c>
      <c r="P62" s="10" t="str">
        <f t="shared" si="1"/>
        <v/>
      </c>
    </row>
    <row r="63" spans="1:16" x14ac:dyDescent="0.2">
      <c r="A63" s="7"/>
      <c r="B63" s="14"/>
      <c r="C63" s="15"/>
      <c r="D63" s="15"/>
      <c r="E63" s="10" t="str">
        <f>IF($D63="","",IFERROR(IF(ISNUMBER(FIND("[",$D63)),MID($D63,FIND("[",$D63)+1,FIND("]",$D63)-FIND("[",$D63)-1),IF(ISNUMBER($D63),INDEX(Personnes!$B$5:$B$154,MATCH($D63,Personnes!$A$5:$A$154,0)),IFERROR(INDEX(Personnes!$B$5:$B$154,MATCH($D63&amp;"*",Personnes!$C$5:$C$154,0)),INDEX(Personnes!$B$5:$B$154,MATCH($D63&amp;"*",Personnes!$D$5:$D$154,0))))),""))</f>
        <v/>
      </c>
      <c r="F63" s="10" t="str">
        <f>IFERROR(INDEX(Personnes!$C$5:$C$154,MATCH($E63,Personnes!$B$5:$B$154,0))&amp;"","")</f>
        <v/>
      </c>
      <c r="G63" s="10" t="str">
        <f>IFERROR(INDEX(Personnes!$D$5:$D$154,MATCH($E63,Personnes!$B$5:$B$154,0))&amp;"","")</f>
        <v/>
      </c>
      <c r="H63" s="15"/>
      <c r="I63" s="15"/>
      <c r="J63" s="9"/>
      <c r="K63" s="9"/>
      <c r="L63" s="15"/>
      <c r="M63" s="10" t="str">
        <f>IF($L63="","",IFERROR(IF(ISNUMBER(FIND("[",$L63)),MID($L63,FIND("[",$L63)+1,FIND("]",$L63)-FIND("[",$L63)-1),IF(ISNUMBER($L63),INDEX(Personnes!$B$5:$B$154,MATCH($L63,Personnes!$A$5:$A$154,0)),IFERROR(INDEX(Personnes!$B$5:$B$154,MATCH($L63&amp;"*",Personnes!$C$5:$C$154,0)),INDEX(Personnes!$B$5:$B$154,MATCH($L63&amp;"*",Personnes!$D$5:$D$154,0))))),""))</f>
        <v/>
      </c>
      <c r="N63" s="10" t="str">
        <f>IFERROR(INDEX(Personnes!$C$5:$C$154,MATCH($M63,Personnes!$B$5:$B$154,0))&amp;"","")</f>
        <v/>
      </c>
      <c r="O63" s="10" t="str">
        <f>IFERROR(INDEX(Personnes!$D$5:$D$154,MATCH($M63,Personnes!$B$5:$B$154,0))&amp;"","")</f>
        <v/>
      </c>
      <c r="P63" s="10" t="str">
        <f t="shared" si="1"/>
        <v/>
      </c>
    </row>
    <row r="64" spans="1:16" x14ac:dyDescent="0.2">
      <c r="A64" s="7"/>
      <c r="B64" s="14"/>
      <c r="C64" s="15"/>
      <c r="D64" s="15"/>
      <c r="E64" s="10" t="str">
        <f>IF($D64="","",IFERROR(IF(ISNUMBER(FIND("[",$D64)),MID($D64,FIND("[",$D64)+1,FIND("]",$D64)-FIND("[",$D64)-1),IF(ISNUMBER($D64),INDEX(Personnes!$B$5:$B$154,MATCH($D64,Personnes!$A$5:$A$154,0)),IFERROR(INDEX(Personnes!$B$5:$B$154,MATCH($D64&amp;"*",Personnes!$C$5:$C$154,0)),INDEX(Personnes!$B$5:$B$154,MATCH($D64&amp;"*",Personnes!$D$5:$D$154,0))))),""))</f>
        <v/>
      </c>
      <c r="F64" s="10" t="str">
        <f>IFERROR(INDEX(Personnes!$C$5:$C$154,MATCH($E64,Personnes!$B$5:$B$154,0))&amp;"","")</f>
        <v/>
      </c>
      <c r="G64" s="10" t="str">
        <f>IFERROR(INDEX(Personnes!$D$5:$D$154,MATCH($E64,Personnes!$B$5:$B$154,0))&amp;"","")</f>
        <v/>
      </c>
      <c r="H64" s="15"/>
      <c r="I64" s="15"/>
      <c r="J64" s="9"/>
      <c r="K64" s="9"/>
      <c r="L64" s="15"/>
      <c r="M64" s="10" t="str">
        <f>IF($L64="","",IFERROR(IF(ISNUMBER(FIND("[",$L64)),MID($L64,FIND("[",$L64)+1,FIND("]",$L64)-FIND("[",$L64)-1),IF(ISNUMBER($L64),INDEX(Personnes!$B$5:$B$154,MATCH($L64,Personnes!$A$5:$A$154,0)),IFERROR(INDEX(Personnes!$B$5:$B$154,MATCH($L64&amp;"*",Personnes!$C$5:$C$154,0)),INDEX(Personnes!$B$5:$B$154,MATCH($L64&amp;"*",Personnes!$D$5:$D$154,0))))),""))</f>
        <v/>
      </c>
      <c r="N64" s="10" t="str">
        <f>IFERROR(INDEX(Personnes!$C$5:$C$154,MATCH($M64,Personnes!$B$5:$B$154,0))&amp;"","")</f>
        <v/>
      </c>
      <c r="O64" s="10" t="str">
        <f>IFERROR(INDEX(Personnes!$D$5:$D$154,MATCH($M64,Personnes!$B$5:$B$154,0))&amp;"","")</f>
        <v/>
      </c>
      <c r="P64" s="10" t="str">
        <f t="shared" si="1"/>
        <v/>
      </c>
    </row>
    <row r="65" spans="1:16" x14ac:dyDescent="0.2">
      <c r="A65" s="7"/>
      <c r="B65" s="14"/>
      <c r="C65" s="15"/>
      <c r="D65" s="15"/>
      <c r="E65" s="10" t="str">
        <f>IF($D65="","",IFERROR(IF(ISNUMBER(FIND("[",$D65)),MID($D65,FIND("[",$D65)+1,FIND("]",$D65)-FIND("[",$D65)-1),IF(ISNUMBER($D65),INDEX(Personnes!$B$5:$B$154,MATCH($D65,Personnes!$A$5:$A$154,0)),IFERROR(INDEX(Personnes!$B$5:$B$154,MATCH($D65&amp;"*",Personnes!$C$5:$C$154,0)),INDEX(Personnes!$B$5:$B$154,MATCH($D65&amp;"*",Personnes!$D$5:$D$154,0))))),""))</f>
        <v/>
      </c>
      <c r="F65" s="10" t="str">
        <f>IFERROR(INDEX(Personnes!$C$5:$C$154,MATCH($E65,Personnes!$B$5:$B$154,0))&amp;"","")</f>
        <v/>
      </c>
      <c r="G65" s="10" t="str">
        <f>IFERROR(INDEX(Personnes!$D$5:$D$154,MATCH($E65,Personnes!$B$5:$B$154,0))&amp;"","")</f>
        <v/>
      </c>
      <c r="H65" s="15"/>
      <c r="I65" s="15"/>
      <c r="J65" s="9"/>
      <c r="K65" s="9"/>
      <c r="L65" s="15"/>
      <c r="M65" s="10" t="str">
        <f>IF($L65="","",IFERROR(IF(ISNUMBER(FIND("[",$L65)),MID($L65,FIND("[",$L65)+1,FIND("]",$L65)-FIND("[",$L65)-1),IF(ISNUMBER($L65),INDEX(Personnes!$B$5:$B$154,MATCH($L65,Personnes!$A$5:$A$154,0)),IFERROR(INDEX(Personnes!$B$5:$B$154,MATCH($L65&amp;"*",Personnes!$C$5:$C$154,0)),INDEX(Personnes!$B$5:$B$154,MATCH($L65&amp;"*",Personnes!$D$5:$D$154,0))))),""))</f>
        <v/>
      </c>
      <c r="N65" s="10" t="str">
        <f>IFERROR(INDEX(Personnes!$C$5:$C$154,MATCH($M65,Personnes!$B$5:$B$154,0))&amp;"","")</f>
        <v/>
      </c>
      <c r="O65" s="10" t="str">
        <f>IFERROR(INDEX(Personnes!$D$5:$D$154,MATCH($M65,Personnes!$B$5:$B$154,0))&amp;"","")</f>
        <v/>
      </c>
      <c r="P65" s="10" t="str">
        <f t="shared" si="1"/>
        <v/>
      </c>
    </row>
    <row r="66" spans="1:16" x14ac:dyDescent="0.2">
      <c r="A66" s="7"/>
      <c r="B66" s="14"/>
      <c r="C66" s="15"/>
      <c r="D66" s="15"/>
      <c r="E66" s="10" t="str">
        <f>IF($D66="","",IFERROR(IF(ISNUMBER(FIND("[",$D66)),MID($D66,FIND("[",$D66)+1,FIND("]",$D66)-FIND("[",$D66)-1),IF(ISNUMBER($D66),INDEX(Personnes!$B$5:$B$154,MATCH($D66,Personnes!$A$5:$A$154,0)),IFERROR(INDEX(Personnes!$B$5:$B$154,MATCH($D66&amp;"*",Personnes!$C$5:$C$154,0)),INDEX(Personnes!$B$5:$B$154,MATCH($D66&amp;"*",Personnes!$D$5:$D$154,0))))),""))</f>
        <v/>
      </c>
      <c r="F66" s="10" t="str">
        <f>IFERROR(INDEX(Personnes!$C$5:$C$154,MATCH($E66,Personnes!$B$5:$B$154,0))&amp;"","")</f>
        <v/>
      </c>
      <c r="G66" s="10" t="str">
        <f>IFERROR(INDEX(Personnes!$D$5:$D$154,MATCH($E66,Personnes!$B$5:$B$154,0))&amp;"","")</f>
        <v/>
      </c>
      <c r="H66" s="15"/>
      <c r="I66" s="15"/>
      <c r="J66" s="9"/>
      <c r="K66" s="9"/>
      <c r="L66" s="15"/>
      <c r="M66" s="10" t="str">
        <f>IF($L66="","",IFERROR(IF(ISNUMBER(FIND("[",$L66)),MID($L66,FIND("[",$L66)+1,FIND("]",$L66)-FIND("[",$L66)-1),IF(ISNUMBER($L66),INDEX(Personnes!$B$5:$B$154,MATCH($L66,Personnes!$A$5:$A$154,0)),IFERROR(INDEX(Personnes!$B$5:$B$154,MATCH($L66&amp;"*",Personnes!$C$5:$C$154,0)),INDEX(Personnes!$B$5:$B$154,MATCH($L66&amp;"*",Personnes!$D$5:$D$154,0))))),""))</f>
        <v/>
      </c>
      <c r="N66" s="10" t="str">
        <f>IFERROR(INDEX(Personnes!$C$5:$C$154,MATCH($M66,Personnes!$B$5:$B$154,0))&amp;"","")</f>
        <v/>
      </c>
      <c r="O66" s="10" t="str">
        <f>IFERROR(INDEX(Personnes!$D$5:$D$154,MATCH($M66,Personnes!$B$5:$B$154,0))&amp;"","")</f>
        <v/>
      </c>
      <c r="P66" s="10" t="str">
        <f t="shared" si="1"/>
        <v/>
      </c>
    </row>
    <row r="67" spans="1:16" x14ac:dyDescent="0.2">
      <c r="A67" s="7"/>
      <c r="B67" s="14"/>
      <c r="C67" s="15"/>
      <c r="D67" s="15"/>
      <c r="E67" s="10" t="str">
        <f>IF($D67="","",IFERROR(IF(ISNUMBER(FIND("[",$D67)),MID($D67,FIND("[",$D67)+1,FIND("]",$D67)-FIND("[",$D67)-1),IF(ISNUMBER($D67),INDEX(Personnes!$B$5:$B$154,MATCH($D67,Personnes!$A$5:$A$154,0)),IFERROR(INDEX(Personnes!$B$5:$B$154,MATCH($D67&amp;"*",Personnes!$C$5:$C$154,0)),INDEX(Personnes!$B$5:$B$154,MATCH($D67&amp;"*",Personnes!$D$5:$D$154,0))))),""))</f>
        <v/>
      </c>
      <c r="F67" s="10" t="str">
        <f>IFERROR(INDEX(Personnes!$C$5:$C$154,MATCH($E67,Personnes!$B$5:$B$154,0))&amp;"","")</f>
        <v/>
      </c>
      <c r="G67" s="10" t="str">
        <f>IFERROR(INDEX(Personnes!$D$5:$D$154,MATCH($E67,Personnes!$B$5:$B$154,0))&amp;"","")</f>
        <v/>
      </c>
      <c r="H67" s="15"/>
      <c r="I67" s="15"/>
      <c r="J67" s="9"/>
      <c r="K67" s="9"/>
      <c r="L67" s="15"/>
      <c r="M67" s="10" t="str">
        <f>IF($L67="","",IFERROR(IF(ISNUMBER(FIND("[",$L67)),MID($L67,FIND("[",$L67)+1,FIND("]",$L67)-FIND("[",$L67)-1),IF(ISNUMBER($L67),INDEX(Personnes!$B$5:$B$154,MATCH($L67,Personnes!$A$5:$A$154,0)),IFERROR(INDEX(Personnes!$B$5:$B$154,MATCH($L67&amp;"*",Personnes!$C$5:$C$154,0)),INDEX(Personnes!$B$5:$B$154,MATCH($L67&amp;"*",Personnes!$D$5:$D$154,0))))),""))</f>
        <v/>
      </c>
      <c r="N67" s="10" t="str">
        <f>IFERROR(INDEX(Personnes!$C$5:$C$154,MATCH($M67,Personnes!$B$5:$B$154,0))&amp;"","")</f>
        <v/>
      </c>
      <c r="O67" s="10" t="str">
        <f>IFERROR(INDEX(Personnes!$D$5:$D$154,MATCH($M67,Personnes!$B$5:$B$154,0))&amp;"","")</f>
        <v/>
      </c>
      <c r="P67" s="10" t="str">
        <f t="shared" si="1"/>
        <v/>
      </c>
    </row>
    <row r="68" spans="1:16" x14ac:dyDescent="0.2">
      <c r="A68" s="7"/>
      <c r="B68" s="14"/>
      <c r="C68" s="15"/>
      <c r="D68" s="15"/>
      <c r="E68" s="10" t="str">
        <f>IF($D68="","",IFERROR(IF(ISNUMBER(FIND("[",$D68)),MID($D68,FIND("[",$D68)+1,FIND("]",$D68)-FIND("[",$D68)-1),IF(ISNUMBER($D68),INDEX(Personnes!$B$5:$B$154,MATCH($D68,Personnes!$A$5:$A$154,0)),IFERROR(INDEX(Personnes!$B$5:$B$154,MATCH($D68&amp;"*",Personnes!$C$5:$C$154,0)),INDEX(Personnes!$B$5:$B$154,MATCH($D68&amp;"*",Personnes!$D$5:$D$154,0))))),""))</f>
        <v/>
      </c>
      <c r="F68" s="10" t="str">
        <f>IFERROR(INDEX(Personnes!$C$5:$C$154,MATCH($E68,Personnes!$B$5:$B$154,0))&amp;"","")</f>
        <v/>
      </c>
      <c r="G68" s="10" t="str">
        <f>IFERROR(INDEX(Personnes!$D$5:$D$154,MATCH($E68,Personnes!$B$5:$B$154,0))&amp;"","")</f>
        <v/>
      </c>
      <c r="H68" s="15"/>
      <c r="I68" s="15"/>
      <c r="J68" s="9"/>
      <c r="K68" s="9"/>
      <c r="L68" s="15"/>
      <c r="M68" s="10" t="str">
        <f>IF($L68="","",IFERROR(IF(ISNUMBER(FIND("[",$L68)),MID($L68,FIND("[",$L68)+1,FIND("]",$L68)-FIND("[",$L68)-1),IF(ISNUMBER($L68),INDEX(Personnes!$B$5:$B$154,MATCH($L68,Personnes!$A$5:$A$154,0)),IFERROR(INDEX(Personnes!$B$5:$B$154,MATCH($L68&amp;"*",Personnes!$C$5:$C$154,0)),INDEX(Personnes!$B$5:$B$154,MATCH($L68&amp;"*",Personnes!$D$5:$D$154,0))))),""))</f>
        <v/>
      </c>
      <c r="N68" s="10" t="str">
        <f>IFERROR(INDEX(Personnes!$C$5:$C$154,MATCH($M68,Personnes!$B$5:$B$154,0))&amp;"","")</f>
        <v/>
      </c>
      <c r="O68" s="10" t="str">
        <f>IFERROR(INDEX(Personnes!$D$5:$D$154,MATCH($M68,Personnes!$B$5:$B$154,0))&amp;"","")</f>
        <v/>
      </c>
      <c r="P68" s="10" t="str">
        <f t="shared" si="1"/>
        <v/>
      </c>
    </row>
    <row r="69" spans="1:16" x14ac:dyDescent="0.2">
      <c r="A69" s="7"/>
      <c r="B69" s="14"/>
      <c r="C69" s="15"/>
      <c r="D69" s="15"/>
      <c r="E69" s="10" t="str">
        <f>IF($D69="","",IFERROR(IF(ISNUMBER(FIND("[",$D69)),MID($D69,FIND("[",$D69)+1,FIND("]",$D69)-FIND("[",$D69)-1),IF(ISNUMBER($D69),INDEX(Personnes!$B$5:$B$154,MATCH($D69,Personnes!$A$5:$A$154,0)),IFERROR(INDEX(Personnes!$B$5:$B$154,MATCH($D69&amp;"*",Personnes!$C$5:$C$154,0)),INDEX(Personnes!$B$5:$B$154,MATCH($D69&amp;"*",Personnes!$D$5:$D$154,0))))),""))</f>
        <v/>
      </c>
      <c r="F69" s="10" t="str">
        <f>IFERROR(INDEX(Personnes!$C$5:$C$154,MATCH($E69,Personnes!$B$5:$B$154,0))&amp;"","")</f>
        <v/>
      </c>
      <c r="G69" s="10" t="str">
        <f>IFERROR(INDEX(Personnes!$D$5:$D$154,MATCH($E69,Personnes!$B$5:$B$154,0))&amp;"","")</f>
        <v/>
      </c>
      <c r="H69" s="15"/>
      <c r="I69" s="15"/>
      <c r="J69" s="9"/>
      <c r="K69" s="9"/>
      <c r="L69" s="15"/>
      <c r="M69" s="10" t="str">
        <f>IF($L69="","",IFERROR(IF(ISNUMBER(FIND("[",$L69)),MID($L69,FIND("[",$L69)+1,FIND("]",$L69)-FIND("[",$L69)-1),IF(ISNUMBER($L69),INDEX(Personnes!$B$5:$B$154,MATCH($L69,Personnes!$A$5:$A$154,0)),IFERROR(INDEX(Personnes!$B$5:$B$154,MATCH($L69&amp;"*",Personnes!$C$5:$C$154,0)),INDEX(Personnes!$B$5:$B$154,MATCH($L69&amp;"*",Personnes!$D$5:$D$154,0))))),""))</f>
        <v/>
      </c>
      <c r="N69" s="10" t="str">
        <f>IFERROR(INDEX(Personnes!$C$5:$C$154,MATCH($M69,Personnes!$B$5:$B$154,0))&amp;"","")</f>
        <v/>
      </c>
      <c r="O69" s="10" t="str">
        <f>IFERROR(INDEX(Personnes!$D$5:$D$154,MATCH($M69,Personnes!$B$5:$B$154,0))&amp;"","")</f>
        <v/>
      </c>
      <c r="P69" s="10" t="str">
        <f t="shared" ref="P69:P104" si="2">IF($E69="","",COUNTIF($E$5:$E$104,$E69))</f>
        <v/>
      </c>
    </row>
    <row r="70" spans="1:16" x14ac:dyDescent="0.2">
      <c r="A70" s="7"/>
      <c r="B70" s="14"/>
      <c r="C70" s="15"/>
      <c r="D70" s="15"/>
      <c r="E70" s="10" t="str">
        <f>IF($D70="","",IFERROR(IF(ISNUMBER(FIND("[",$D70)),MID($D70,FIND("[",$D70)+1,FIND("]",$D70)-FIND("[",$D70)-1),IF(ISNUMBER($D70),INDEX(Personnes!$B$5:$B$154,MATCH($D70,Personnes!$A$5:$A$154,0)),IFERROR(INDEX(Personnes!$B$5:$B$154,MATCH($D70&amp;"*",Personnes!$C$5:$C$154,0)),INDEX(Personnes!$B$5:$B$154,MATCH($D70&amp;"*",Personnes!$D$5:$D$154,0))))),""))</f>
        <v/>
      </c>
      <c r="F70" s="10" t="str">
        <f>IFERROR(INDEX(Personnes!$C$5:$C$154,MATCH($E70,Personnes!$B$5:$B$154,0))&amp;"","")</f>
        <v/>
      </c>
      <c r="G70" s="10" t="str">
        <f>IFERROR(INDEX(Personnes!$D$5:$D$154,MATCH($E70,Personnes!$B$5:$B$154,0))&amp;"","")</f>
        <v/>
      </c>
      <c r="H70" s="15"/>
      <c r="I70" s="15"/>
      <c r="J70" s="9"/>
      <c r="K70" s="9"/>
      <c r="L70" s="15"/>
      <c r="M70" s="10" t="str">
        <f>IF($L70="","",IFERROR(IF(ISNUMBER(FIND("[",$L70)),MID($L70,FIND("[",$L70)+1,FIND("]",$L70)-FIND("[",$L70)-1),IF(ISNUMBER($L70),INDEX(Personnes!$B$5:$B$154,MATCH($L70,Personnes!$A$5:$A$154,0)),IFERROR(INDEX(Personnes!$B$5:$B$154,MATCH($L70&amp;"*",Personnes!$C$5:$C$154,0)),INDEX(Personnes!$B$5:$B$154,MATCH($L70&amp;"*",Personnes!$D$5:$D$154,0))))),""))</f>
        <v/>
      </c>
      <c r="N70" s="10" t="str">
        <f>IFERROR(INDEX(Personnes!$C$5:$C$154,MATCH($M70,Personnes!$B$5:$B$154,0))&amp;"","")</f>
        <v/>
      </c>
      <c r="O70" s="10" t="str">
        <f>IFERROR(INDEX(Personnes!$D$5:$D$154,MATCH($M70,Personnes!$B$5:$B$154,0))&amp;"","")</f>
        <v/>
      </c>
      <c r="P70" s="10" t="str">
        <f t="shared" si="2"/>
        <v/>
      </c>
    </row>
    <row r="71" spans="1:16" x14ac:dyDescent="0.2">
      <c r="A71" s="7"/>
      <c r="B71" s="14"/>
      <c r="C71" s="15"/>
      <c r="D71" s="15"/>
      <c r="E71" s="10" t="str">
        <f>IF($D71="","",IFERROR(IF(ISNUMBER(FIND("[",$D71)),MID($D71,FIND("[",$D71)+1,FIND("]",$D71)-FIND("[",$D71)-1),IF(ISNUMBER($D71),INDEX(Personnes!$B$5:$B$154,MATCH($D71,Personnes!$A$5:$A$154,0)),IFERROR(INDEX(Personnes!$B$5:$B$154,MATCH($D71&amp;"*",Personnes!$C$5:$C$154,0)),INDEX(Personnes!$B$5:$B$154,MATCH($D71&amp;"*",Personnes!$D$5:$D$154,0))))),""))</f>
        <v/>
      </c>
      <c r="F71" s="10" t="str">
        <f>IFERROR(INDEX(Personnes!$C$5:$C$154,MATCH($E71,Personnes!$B$5:$B$154,0))&amp;"","")</f>
        <v/>
      </c>
      <c r="G71" s="10" t="str">
        <f>IFERROR(INDEX(Personnes!$D$5:$D$154,MATCH($E71,Personnes!$B$5:$B$154,0))&amp;"","")</f>
        <v/>
      </c>
      <c r="H71" s="15"/>
      <c r="I71" s="15"/>
      <c r="J71" s="9"/>
      <c r="K71" s="9"/>
      <c r="L71" s="15"/>
      <c r="M71" s="10" t="str">
        <f>IF($L71="","",IFERROR(IF(ISNUMBER(FIND("[",$L71)),MID($L71,FIND("[",$L71)+1,FIND("]",$L71)-FIND("[",$L71)-1),IF(ISNUMBER($L71),INDEX(Personnes!$B$5:$B$154,MATCH($L71,Personnes!$A$5:$A$154,0)),IFERROR(INDEX(Personnes!$B$5:$B$154,MATCH($L71&amp;"*",Personnes!$C$5:$C$154,0)),INDEX(Personnes!$B$5:$B$154,MATCH($L71&amp;"*",Personnes!$D$5:$D$154,0))))),""))</f>
        <v/>
      </c>
      <c r="N71" s="10" t="str">
        <f>IFERROR(INDEX(Personnes!$C$5:$C$154,MATCH($M71,Personnes!$B$5:$B$154,0))&amp;"","")</f>
        <v/>
      </c>
      <c r="O71" s="10" t="str">
        <f>IFERROR(INDEX(Personnes!$D$5:$D$154,MATCH($M71,Personnes!$B$5:$B$154,0))&amp;"","")</f>
        <v/>
      </c>
      <c r="P71" s="10" t="str">
        <f t="shared" si="2"/>
        <v/>
      </c>
    </row>
    <row r="72" spans="1:16" x14ac:dyDescent="0.2">
      <c r="A72" s="7"/>
      <c r="B72" s="14"/>
      <c r="C72" s="15"/>
      <c r="D72" s="15"/>
      <c r="E72" s="10" t="str">
        <f>IF($D72="","",IFERROR(IF(ISNUMBER(FIND("[",$D72)),MID($D72,FIND("[",$D72)+1,FIND("]",$D72)-FIND("[",$D72)-1),IF(ISNUMBER($D72),INDEX(Personnes!$B$5:$B$154,MATCH($D72,Personnes!$A$5:$A$154,0)),IFERROR(INDEX(Personnes!$B$5:$B$154,MATCH($D72&amp;"*",Personnes!$C$5:$C$154,0)),INDEX(Personnes!$B$5:$B$154,MATCH($D72&amp;"*",Personnes!$D$5:$D$154,0))))),""))</f>
        <v/>
      </c>
      <c r="F72" s="10" t="str">
        <f>IFERROR(INDEX(Personnes!$C$5:$C$154,MATCH($E72,Personnes!$B$5:$B$154,0))&amp;"","")</f>
        <v/>
      </c>
      <c r="G72" s="10" t="str">
        <f>IFERROR(INDEX(Personnes!$D$5:$D$154,MATCH($E72,Personnes!$B$5:$B$154,0))&amp;"","")</f>
        <v/>
      </c>
      <c r="H72" s="15"/>
      <c r="I72" s="15"/>
      <c r="J72" s="9"/>
      <c r="K72" s="9"/>
      <c r="L72" s="15"/>
      <c r="M72" s="10" t="str">
        <f>IF($L72="","",IFERROR(IF(ISNUMBER(FIND("[",$L72)),MID($L72,FIND("[",$L72)+1,FIND("]",$L72)-FIND("[",$L72)-1),IF(ISNUMBER($L72),INDEX(Personnes!$B$5:$B$154,MATCH($L72,Personnes!$A$5:$A$154,0)),IFERROR(INDEX(Personnes!$B$5:$B$154,MATCH($L72&amp;"*",Personnes!$C$5:$C$154,0)),INDEX(Personnes!$B$5:$B$154,MATCH($L72&amp;"*",Personnes!$D$5:$D$154,0))))),""))</f>
        <v/>
      </c>
      <c r="N72" s="10" t="str">
        <f>IFERROR(INDEX(Personnes!$C$5:$C$154,MATCH($M72,Personnes!$B$5:$B$154,0))&amp;"","")</f>
        <v/>
      </c>
      <c r="O72" s="10" t="str">
        <f>IFERROR(INDEX(Personnes!$D$5:$D$154,MATCH($M72,Personnes!$B$5:$B$154,0))&amp;"","")</f>
        <v/>
      </c>
      <c r="P72" s="10" t="str">
        <f t="shared" si="2"/>
        <v/>
      </c>
    </row>
    <row r="73" spans="1:16" x14ac:dyDescent="0.2">
      <c r="A73" s="7"/>
      <c r="B73" s="14"/>
      <c r="C73" s="15"/>
      <c r="D73" s="15"/>
      <c r="E73" s="10" t="str">
        <f>IF($D73="","",IFERROR(IF(ISNUMBER(FIND("[",$D73)),MID($D73,FIND("[",$D73)+1,FIND("]",$D73)-FIND("[",$D73)-1),IF(ISNUMBER($D73),INDEX(Personnes!$B$5:$B$154,MATCH($D73,Personnes!$A$5:$A$154,0)),IFERROR(INDEX(Personnes!$B$5:$B$154,MATCH($D73&amp;"*",Personnes!$C$5:$C$154,0)),INDEX(Personnes!$B$5:$B$154,MATCH($D73&amp;"*",Personnes!$D$5:$D$154,0))))),""))</f>
        <v/>
      </c>
      <c r="F73" s="10" t="str">
        <f>IFERROR(INDEX(Personnes!$C$5:$C$154,MATCH($E73,Personnes!$B$5:$B$154,0))&amp;"","")</f>
        <v/>
      </c>
      <c r="G73" s="10" t="str">
        <f>IFERROR(INDEX(Personnes!$D$5:$D$154,MATCH($E73,Personnes!$B$5:$B$154,0))&amp;"","")</f>
        <v/>
      </c>
      <c r="H73" s="15"/>
      <c r="I73" s="15"/>
      <c r="J73" s="9"/>
      <c r="K73" s="9"/>
      <c r="L73" s="15"/>
      <c r="M73" s="10" t="str">
        <f>IF($L73="","",IFERROR(IF(ISNUMBER(FIND("[",$L73)),MID($L73,FIND("[",$L73)+1,FIND("]",$L73)-FIND("[",$L73)-1),IF(ISNUMBER($L73),INDEX(Personnes!$B$5:$B$154,MATCH($L73,Personnes!$A$5:$A$154,0)),IFERROR(INDEX(Personnes!$B$5:$B$154,MATCH($L73&amp;"*",Personnes!$C$5:$C$154,0)),INDEX(Personnes!$B$5:$B$154,MATCH($L73&amp;"*",Personnes!$D$5:$D$154,0))))),""))</f>
        <v/>
      </c>
      <c r="N73" s="10" t="str">
        <f>IFERROR(INDEX(Personnes!$C$5:$C$154,MATCH($M73,Personnes!$B$5:$B$154,0))&amp;"","")</f>
        <v/>
      </c>
      <c r="O73" s="10" t="str">
        <f>IFERROR(INDEX(Personnes!$D$5:$D$154,MATCH($M73,Personnes!$B$5:$B$154,0))&amp;"","")</f>
        <v/>
      </c>
      <c r="P73" s="10" t="str">
        <f t="shared" si="2"/>
        <v/>
      </c>
    </row>
    <row r="74" spans="1:16" x14ac:dyDescent="0.2">
      <c r="A74" s="7"/>
      <c r="B74" s="14"/>
      <c r="C74" s="15"/>
      <c r="D74" s="15"/>
      <c r="E74" s="10" t="str">
        <f>IF($D74="","",IFERROR(IF(ISNUMBER(FIND("[",$D74)),MID($D74,FIND("[",$D74)+1,FIND("]",$D74)-FIND("[",$D74)-1),IF(ISNUMBER($D74),INDEX(Personnes!$B$5:$B$154,MATCH($D74,Personnes!$A$5:$A$154,0)),IFERROR(INDEX(Personnes!$B$5:$B$154,MATCH($D74&amp;"*",Personnes!$C$5:$C$154,0)),INDEX(Personnes!$B$5:$B$154,MATCH($D74&amp;"*",Personnes!$D$5:$D$154,0))))),""))</f>
        <v/>
      </c>
      <c r="F74" s="10" t="str">
        <f>IFERROR(INDEX(Personnes!$C$5:$C$154,MATCH($E74,Personnes!$B$5:$B$154,0))&amp;"","")</f>
        <v/>
      </c>
      <c r="G74" s="10" t="str">
        <f>IFERROR(INDEX(Personnes!$D$5:$D$154,MATCH($E74,Personnes!$B$5:$B$154,0))&amp;"","")</f>
        <v/>
      </c>
      <c r="H74" s="15"/>
      <c r="I74" s="15"/>
      <c r="J74" s="9"/>
      <c r="K74" s="9"/>
      <c r="L74" s="15"/>
      <c r="M74" s="10" t="str">
        <f>IF($L74="","",IFERROR(IF(ISNUMBER(FIND("[",$L74)),MID($L74,FIND("[",$L74)+1,FIND("]",$L74)-FIND("[",$L74)-1),IF(ISNUMBER($L74),INDEX(Personnes!$B$5:$B$154,MATCH($L74,Personnes!$A$5:$A$154,0)),IFERROR(INDEX(Personnes!$B$5:$B$154,MATCH($L74&amp;"*",Personnes!$C$5:$C$154,0)),INDEX(Personnes!$B$5:$B$154,MATCH($L74&amp;"*",Personnes!$D$5:$D$154,0))))),""))</f>
        <v/>
      </c>
      <c r="N74" s="10" t="str">
        <f>IFERROR(INDEX(Personnes!$C$5:$C$154,MATCH($M74,Personnes!$B$5:$B$154,0))&amp;"","")</f>
        <v/>
      </c>
      <c r="O74" s="10" t="str">
        <f>IFERROR(INDEX(Personnes!$D$5:$D$154,MATCH($M74,Personnes!$B$5:$B$154,0))&amp;"","")</f>
        <v/>
      </c>
      <c r="P74" s="10" t="str">
        <f t="shared" si="2"/>
        <v/>
      </c>
    </row>
    <row r="75" spans="1:16" x14ac:dyDescent="0.2">
      <c r="A75" s="7"/>
      <c r="B75" s="14"/>
      <c r="C75" s="15"/>
      <c r="D75" s="15"/>
      <c r="E75" s="10" t="str">
        <f>IF($D75="","",IFERROR(IF(ISNUMBER(FIND("[",$D75)),MID($D75,FIND("[",$D75)+1,FIND("]",$D75)-FIND("[",$D75)-1),IF(ISNUMBER($D75),INDEX(Personnes!$B$5:$B$154,MATCH($D75,Personnes!$A$5:$A$154,0)),IFERROR(INDEX(Personnes!$B$5:$B$154,MATCH($D75&amp;"*",Personnes!$C$5:$C$154,0)),INDEX(Personnes!$B$5:$B$154,MATCH($D75&amp;"*",Personnes!$D$5:$D$154,0))))),""))</f>
        <v/>
      </c>
      <c r="F75" s="10" t="str">
        <f>IFERROR(INDEX(Personnes!$C$5:$C$154,MATCH($E75,Personnes!$B$5:$B$154,0))&amp;"","")</f>
        <v/>
      </c>
      <c r="G75" s="10" t="str">
        <f>IFERROR(INDEX(Personnes!$D$5:$D$154,MATCH($E75,Personnes!$B$5:$B$154,0))&amp;"","")</f>
        <v/>
      </c>
      <c r="H75" s="15"/>
      <c r="I75" s="15"/>
      <c r="J75" s="9"/>
      <c r="K75" s="9"/>
      <c r="L75" s="15"/>
      <c r="M75" s="10" t="str">
        <f>IF($L75="","",IFERROR(IF(ISNUMBER(FIND("[",$L75)),MID($L75,FIND("[",$L75)+1,FIND("]",$L75)-FIND("[",$L75)-1),IF(ISNUMBER($L75),INDEX(Personnes!$B$5:$B$154,MATCH($L75,Personnes!$A$5:$A$154,0)),IFERROR(INDEX(Personnes!$B$5:$B$154,MATCH($L75&amp;"*",Personnes!$C$5:$C$154,0)),INDEX(Personnes!$B$5:$B$154,MATCH($L75&amp;"*",Personnes!$D$5:$D$154,0))))),""))</f>
        <v/>
      </c>
      <c r="N75" s="10" t="str">
        <f>IFERROR(INDEX(Personnes!$C$5:$C$154,MATCH($M75,Personnes!$B$5:$B$154,0))&amp;"","")</f>
        <v/>
      </c>
      <c r="O75" s="10" t="str">
        <f>IFERROR(INDEX(Personnes!$D$5:$D$154,MATCH($M75,Personnes!$B$5:$B$154,0))&amp;"","")</f>
        <v/>
      </c>
      <c r="P75" s="10" t="str">
        <f t="shared" si="2"/>
        <v/>
      </c>
    </row>
    <row r="76" spans="1:16" x14ac:dyDescent="0.2">
      <c r="A76" s="7"/>
      <c r="B76" s="14"/>
      <c r="C76" s="15"/>
      <c r="D76" s="15"/>
      <c r="E76" s="10" t="str">
        <f>IF($D76="","",IFERROR(IF(ISNUMBER(FIND("[",$D76)),MID($D76,FIND("[",$D76)+1,FIND("]",$D76)-FIND("[",$D76)-1),IF(ISNUMBER($D76),INDEX(Personnes!$B$5:$B$154,MATCH($D76,Personnes!$A$5:$A$154,0)),IFERROR(INDEX(Personnes!$B$5:$B$154,MATCH($D76&amp;"*",Personnes!$C$5:$C$154,0)),INDEX(Personnes!$B$5:$B$154,MATCH($D76&amp;"*",Personnes!$D$5:$D$154,0))))),""))</f>
        <v/>
      </c>
      <c r="F76" s="10" t="str">
        <f>IFERROR(INDEX(Personnes!$C$5:$C$154,MATCH($E76,Personnes!$B$5:$B$154,0))&amp;"","")</f>
        <v/>
      </c>
      <c r="G76" s="10" t="str">
        <f>IFERROR(INDEX(Personnes!$D$5:$D$154,MATCH($E76,Personnes!$B$5:$B$154,0))&amp;"","")</f>
        <v/>
      </c>
      <c r="H76" s="15"/>
      <c r="I76" s="15"/>
      <c r="J76" s="9"/>
      <c r="K76" s="9"/>
      <c r="L76" s="15"/>
      <c r="M76" s="10" t="str">
        <f>IF($L76="","",IFERROR(IF(ISNUMBER(FIND("[",$L76)),MID($L76,FIND("[",$L76)+1,FIND("]",$L76)-FIND("[",$L76)-1),IF(ISNUMBER($L76),INDEX(Personnes!$B$5:$B$154,MATCH($L76,Personnes!$A$5:$A$154,0)),IFERROR(INDEX(Personnes!$B$5:$B$154,MATCH($L76&amp;"*",Personnes!$C$5:$C$154,0)),INDEX(Personnes!$B$5:$B$154,MATCH($L76&amp;"*",Personnes!$D$5:$D$154,0))))),""))</f>
        <v/>
      </c>
      <c r="N76" s="10" t="str">
        <f>IFERROR(INDEX(Personnes!$C$5:$C$154,MATCH($M76,Personnes!$B$5:$B$154,0))&amp;"","")</f>
        <v/>
      </c>
      <c r="O76" s="10" t="str">
        <f>IFERROR(INDEX(Personnes!$D$5:$D$154,MATCH($M76,Personnes!$B$5:$B$154,0))&amp;"","")</f>
        <v/>
      </c>
      <c r="P76" s="10" t="str">
        <f t="shared" si="2"/>
        <v/>
      </c>
    </row>
    <row r="77" spans="1:16" x14ac:dyDescent="0.2">
      <c r="A77" s="7"/>
      <c r="B77" s="14"/>
      <c r="C77" s="15"/>
      <c r="D77" s="15"/>
      <c r="E77" s="10" t="str">
        <f>IF($D77="","",IFERROR(IF(ISNUMBER(FIND("[",$D77)),MID($D77,FIND("[",$D77)+1,FIND("]",$D77)-FIND("[",$D77)-1),IF(ISNUMBER($D77),INDEX(Personnes!$B$5:$B$154,MATCH($D77,Personnes!$A$5:$A$154,0)),IFERROR(INDEX(Personnes!$B$5:$B$154,MATCH($D77&amp;"*",Personnes!$C$5:$C$154,0)),INDEX(Personnes!$B$5:$B$154,MATCH($D77&amp;"*",Personnes!$D$5:$D$154,0))))),""))</f>
        <v/>
      </c>
      <c r="F77" s="10" t="str">
        <f>IFERROR(INDEX(Personnes!$C$5:$C$154,MATCH($E77,Personnes!$B$5:$B$154,0))&amp;"","")</f>
        <v/>
      </c>
      <c r="G77" s="10" t="str">
        <f>IFERROR(INDEX(Personnes!$D$5:$D$154,MATCH($E77,Personnes!$B$5:$B$154,0))&amp;"","")</f>
        <v/>
      </c>
      <c r="H77" s="15"/>
      <c r="I77" s="15"/>
      <c r="J77" s="9"/>
      <c r="K77" s="9"/>
      <c r="L77" s="15"/>
      <c r="M77" s="10" t="str">
        <f>IF($L77="","",IFERROR(IF(ISNUMBER(FIND("[",$L77)),MID($L77,FIND("[",$L77)+1,FIND("]",$L77)-FIND("[",$L77)-1),IF(ISNUMBER($L77),INDEX(Personnes!$B$5:$B$154,MATCH($L77,Personnes!$A$5:$A$154,0)),IFERROR(INDEX(Personnes!$B$5:$B$154,MATCH($L77&amp;"*",Personnes!$C$5:$C$154,0)),INDEX(Personnes!$B$5:$B$154,MATCH($L77&amp;"*",Personnes!$D$5:$D$154,0))))),""))</f>
        <v/>
      </c>
      <c r="N77" s="10" t="str">
        <f>IFERROR(INDEX(Personnes!$C$5:$C$154,MATCH($M77,Personnes!$B$5:$B$154,0))&amp;"","")</f>
        <v/>
      </c>
      <c r="O77" s="10" t="str">
        <f>IFERROR(INDEX(Personnes!$D$5:$D$154,MATCH($M77,Personnes!$B$5:$B$154,0))&amp;"","")</f>
        <v/>
      </c>
      <c r="P77" s="10" t="str">
        <f t="shared" si="2"/>
        <v/>
      </c>
    </row>
    <row r="78" spans="1:16" x14ac:dyDescent="0.2">
      <c r="A78" s="7"/>
      <c r="B78" s="14"/>
      <c r="C78" s="15"/>
      <c r="D78" s="15"/>
      <c r="E78" s="10" t="str">
        <f>IF($D78="","",IFERROR(IF(ISNUMBER(FIND("[",$D78)),MID($D78,FIND("[",$D78)+1,FIND("]",$D78)-FIND("[",$D78)-1),IF(ISNUMBER($D78),INDEX(Personnes!$B$5:$B$154,MATCH($D78,Personnes!$A$5:$A$154,0)),IFERROR(INDEX(Personnes!$B$5:$B$154,MATCH($D78&amp;"*",Personnes!$C$5:$C$154,0)),INDEX(Personnes!$B$5:$B$154,MATCH($D78&amp;"*",Personnes!$D$5:$D$154,0))))),""))</f>
        <v/>
      </c>
      <c r="F78" s="10" t="str">
        <f>IFERROR(INDEX(Personnes!$C$5:$C$154,MATCH($E78,Personnes!$B$5:$B$154,0))&amp;"","")</f>
        <v/>
      </c>
      <c r="G78" s="10" t="str">
        <f>IFERROR(INDEX(Personnes!$D$5:$D$154,MATCH($E78,Personnes!$B$5:$B$154,0))&amp;"","")</f>
        <v/>
      </c>
      <c r="H78" s="15"/>
      <c r="I78" s="15"/>
      <c r="J78" s="9"/>
      <c r="K78" s="9"/>
      <c r="L78" s="15"/>
      <c r="M78" s="10" t="str">
        <f>IF($L78="","",IFERROR(IF(ISNUMBER(FIND("[",$L78)),MID($L78,FIND("[",$L78)+1,FIND("]",$L78)-FIND("[",$L78)-1),IF(ISNUMBER($L78),INDEX(Personnes!$B$5:$B$154,MATCH($L78,Personnes!$A$5:$A$154,0)),IFERROR(INDEX(Personnes!$B$5:$B$154,MATCH($L78&amp;"*",Personnes!$C$5:$C$154,0)),INDEX(Personnes!$B$5:$B$154,MATCH($L78&amp;"*",Personnes!$D$5:$D$154,0))))),""))</f>
        <v/>
      </c>
      <c r="N78" s="10" t="str">
        <f>IFERROR(INDEX(Personnes!$C$5:$C$154,MATCH($M78,Personnes!$B$5:$B$154,0))&amp;"","")</f>
        <v/>
      </c>
      <c r="O78" s="10" t="str">
        <f>IFERROR(INDEX(Personnes!$D$5:$D$154,MATCH($M78,Personnes!$B$5:$B$154,0))&amp;"","")</f>
        <v/>
      </c>
      <c r="P78" s="10" t="str">
        <f t="shared" si="2"/>
        <v/>
      </c>
    </row>
    <row r="79" spans="1:16" x14ac:dyDescent="0.2">
      <c r="A79" s="7"/>
      <c r="B79" s="14"/>
      <c r="C79" s="15"/>
      <c r="D79" s="15"/>
      <c r="E79" s="10" t="str">
        <f>IF($D79="","",IFERROR(IF(ISNUMBER(FIND("[",$D79)),MID($D79,FIND("[",$D79)+1,FIND("]",$D79)-FIND("[",$D79)-1),IF(ISNUMBER($D79),INDEX(Personnes!$B$5:$B$154,MATCH($D79,Personnes!$A$5:$A$154,0)),IFERROR(INDEX(Personnes!$B$5:$B$154,MATCH($D79&amp;"*",Personnes!$C$5:$C$154,0)),INDEX(Personnes!$B$5:$B$154,MATCH($D79&amp;"*",Personnes!$D$5:$D$154,0))))),""))</f>
        <v/>
      </c>
      <c r="F79" s="10" t="str">
        <f>IFERROR(INDEX(Personnes!$C$5:$C$154,MATCH($E79,Personnes!$B$5:$B$154,0))&amp;"","")</f>
        <v/>
      </c>
      <c r="G79" s="10" t="str">
        <f>IFERROR(INDEX(Personnes!$D$5:$D$154,MATCH($E79,Personnes!$B$5:$B$154,0))&amp;"","")</f>
        <v/>
      </c>
      <c r="H79" s="15"/>
      <c r="I79" s="15"/>
      <c r="J79" s="9"/>
      <c r="K79" s="9"/>
      <c r="L79" s="15"/>
      <c r="M79" s="10" t="str">
        <f>IF($L79="","",IFERROR(IF(ISNUMBER(FIND("[",$L79)),MID($L79,FIND("[",$L79)+1,FIND("]",$L79)-FIND("[",$L79)-1),IF(ISNUMBER($L79),INDEX(Personnes!$B$5:$B$154,MATCH($L79,Personnes!$A$5:$A$154,0)),IFERROR(INDEX(Personnes!$B$5:$B$154,MATCH($L79&amp;"*",Personnes!$C$5:$C$154,0)),INDEX(Personnes!$B$5:$B$154,MATCH($L79&amp;"*",Personnes!$D$5:$D$154,0))))),""))</f>
        <v/>
      </c>
      <c r="N79" s="10" t="str">
        <f>IFERROR(INDEX(Personnes!$C$5:$C$154,MATCH($M79,Personnes!$B$5:$B$154,0))&amp;"","")</f>
        <v/>
      </c>
      <c r="O79" s="10" t="str">
        <f>IFERROR(INDEX(Personnes!$D$5:$D$154,MATCH($M79,Personnes!$B$5:$B$154,0))&amp;"","")</f>
        <v/>
      </c>
      <c r="P79" s="10" t="str">
        <f t="shared" si="2"/>
        <v/>
      </c>
    </row>
    <row r="80" spans="1:16" x14ac:dyDescent="0.2">
      <c r="A80" s="7"/>
      <c r="B80" s="14"/>
      <c r="C80" s="15"/>
      <c r="D80" s="15"/>
      <c r="E80" s="10" t="str">
        <f>IF($D80="","",IFERROR(IF(ISNUMBER(FIND("[",$D80)),MID($D80,FIND("[",$D80)+1,FIND("]",$D80)-FIND("[",$D80)-1),IF(ISNUMBER($D80),INDEX(Personnes!$B$5:$B$154,MATCH($D80,Personnes!$A$5:$A$154,0)),IFERROR(INDEX(Personnes!$B$5:$B$154,MATCH($D80&amp;"*",Personnes!$C$5:$C$154,0)),INDEX(Personnes!$B$5:$B$154,MATCH($D80&amp;"*",Personnes!$D$5:$D$154,0))))),""))</f>
        <v/>
      </c>
      <c r="F80" s="10" t="str">
        <f>IFERROR(INDEX(Personnes!$C$5:$C$154,MATCH($E80,Personnes!$B$5:$B$154,0))&amp;"","")</f>
        <v/>
      </c>
      <c r="G80" s="10" t="str">
        <f>IFERROR(INDEX(Personnes!$D$5:$D$154,MATCH($E80,Personnes!$B$5:$B$154,0))&amp;"","")</f>
        <v/>
      </c>
      <c r="H80" s="15"/>
      <c r="I80" s="15"/>
      <c r="J80" s="9"/>
      <c r="K80" s="9"/>
      <c r="L80" s="15"/>
      <c r="M80" s="10" t="str">
        <f>IF($L80="","",IFERROR(IF(ISNUMBER(FIND("[",$L80)),MID($L80,FIND("[",$L80)+1,FIND("]",$L80)-FIND("[",$L80)-1),IF(ISNUMBER($L80),INDEX(Personnes!$B$5:$B$154,MATCH($L80,Personnes!$A$5:$A$154,0)),IFERROR(INDEX(Personnes!$B$5:$B$154,MATCH($L80&amp;"*",Personnes!$C$5:$C$154,0)),INDEX(Personnes!$B$5:$B$154,MATCH($L80&amp;"*",Personnes!$D$5:$D$154,0))))),""))</f>
        <v/>
      </c>
      <c r="N80" s="10" t="str">
        <f>IFERROR(INDEX(Personnes!$C$5:$C$154,MATCH($M80,Personnes!$B$5:$B$154,0))&amp;"","")</f>
        <v/>
      </c>
      <c r="O80" s="10" t="str">
        <f>IFERROR(INDEX(Personnes!$D$5:$D$154,MATCH($M80,Personnes!$B$5:$B$154,0))&amp;"","")</f>
        <v/>
      </c>
      <c r="P80" s="10" t="str">
        <f t="shared" si="2"/>
        <v/>
      </c>
    </row>
    <row r="81" spans="1:16" x14ac:dyDescent="0.2">
      <c r="A81" s="7"/>
      <c r="B81" s="14"/>
      <c r="C81" s="15"/>
      <c r="D81" s="15"/>
      <c r="E81" s="10" t="str">
        <f>IF($D81="","",IFERROR(IF(ISNUMBER(FIND("[",$D81)),MID($D81,FIND("[",$D81)+1,FIND("]",$D81)-FIND("[",$D81)-1),IF(ISNUMBER($D81),INDEX(Personnes!$B$5:$B$154,MATCH($D81,Personnes!$A$5:$A$154,0)),IFERROR(INDEX(Personnes!$B$5:$B$154,MATCH($D81&amp;"*",Personnes!$C$5:$C$154,0)),INDEX(Personnes!$B$5:$B$154,MATCH($D81&amp;"*",Personnes!$D$5:$D$154,0))))),""))</f>
        <v/>
      </c>
      <c r="F81" s="10" t="str">
        <f>IFERROR(INDEX(Personnes!$C$5:$C$154,MATCH($E81,Personnes!$B$5:$B$154,0))&amp;"","")</f>
        <v/>
      </c>
      <c r="G81" s="10" t="str">
        <f>IFERROR(INDEX(Personnes!$D$5:$D$154,MATCH($E81,Personnes!$B$5:$B$154,0))&amp;"","")</f>
        <v/>
      </c>
      <c r="H81" s="15"/>
      <c r="I81" s="15"/>
      <c r="J81" s="9"/>
      <c r="K81" s="9"/>
      <c r="L81" s="15"/>
      <c r="M81" s="10" t="str">
        <f>IF($L81="","",IFERROR(IF(ISNUMBER(FIND("[",$L81)),MID($L81,FIND("[",$L81)+1,FIND("]",$L81)-FIND("[",$L81)-1),IF(ISNUMBER($L81),INDEX(Personnes!$B$5:$B$154,MATCH($L81,Personnes!$A$5:$A$154,0)),IFERROR(INDEX(Personnes!$B$5:$B$154,MATCH($L81&amp;"*",Personnes!$C$5:$C$154,0)),INDEX(Personnes!$B$5:$B$154,MATCH($L81&amp;"*",Personnes!$D$5:$D$154,0))))),""))</f>
        <v/>
      </c>
      <c r="N81" s="10" t="str">
        <f>IFERROR(INDEX(Personnes!$C$5:$C$154,MATCH($M81,Personnes!$B$5:$B$154,0))&amp;"","")</f>
        <v/>
      </c>
      <c r="O81" s="10" t="str">
        <f>IFERROR(INDEX(Personnes!$D$5:$D$154,MATCH($M81,Personnes!$B$5:$B$154,0))&amp;"","")</f>
        <v/>
      </c>
      <c r="P81" s="10" t="str">
        <f t="shared" si="2"/>
        <v/>
      </c>
    </row>
    <row r="82" spans="1:16" x14ac:dyDescent="0.2">
      <c r="A82" s="7"/>
      <c r="B82" s="14"/>
      <c r="C82" s="15"/>
      <c r="D82" s="15"/>
      <c r="E82" s="10" t="str">
        <f>IF($D82="","",IFERROR(IF(ISNUMBER(FIND("[",$D82)),MID($D82,FIND("[",$D82)+1,FIND("]",$D82)-FIND("[",$D82)-1),IF(ISNUMBER($D82),INDEX(Personnes!$B$5:$B$154,MATCH($D82,Personnes!$A$5:$A$154,0)),IFERROR(INDEX(Personnes!$B$5:$B$154,MATCH($D82&amp;"*",Personnes!$C$5:$C$154,0)),INDEX(Personnes!$B$5:$B$154,MATCH($D82&amp;"*",Personnes!$D$5:$D$154,0))))),""))</f>
        <v/>
      </c>
      <c r="F82" s="10" t="str">
        <f>IFERROR(INDEX(Personnes!$C$5:$C$154,MATCH($E82,Personnes!$B$5:$B$154,0))&amp;"","")</f>
        <v/>
      </c>
      <c r="G82" s="10" t="str">
        <f>IFERROR(INDEX(Personnes!$D$5:$D$154,MATCH($E82,Personnes!$B$5:$B$154,0))&amp;"","")</f>
        <v/>
      </c>
      <c r="H82" s="15"/>
      <c r="I82" s="15"/>
      <c r="J82" s="9"/>
      <c r="K82" s="9"/>
      <c r="L82" s="15"/>
      <c r="M82" s="10" t="str">
        <f>IF($L82="","",IFERROR(IF(ISNUMBER(FIND("[",$L82)),MID($L82,FIND("[",$L82)+1,FIND("]",$L82)-FIND("[",$L82)-1),IF(ISNUMBER($L82),INDEX(Personnes!$B$5:$B$154,MATCH($L82,Personnes!$A$5:$A$154,0)),IFERROR(INDEX(Personnes!$B$5:$B$154,MATCH($L82&amp;"*",Personnes!$C$5:$C$154,0)),INDEX(Personnes!$B$5:$B$154,MATCH($L82&amp;"*",Personnes!$D$5:$D$154,0))))),""))</f>
        <v/>
      </c>
      <c r="N82" s="10" t="str">
        <f>IFERROR(INDEX(Personnes!$C$5:$C$154,MATCH($M82,Personnes!$B$5:$B$154,0))&amp;"","")</f>
        <v/>
      </c>
      <c r="O82" s="10" t="str">
        <f>IFERROR(INDEX(Personnes!$D$5:$D$154,MATCH($M82,Personnes!$B$5:$B$154,0))&amp;"","")</f>
        <v/>
      </c>
      <c r="P82" s="10" t="str">
        <f t="shared" si="2"/>
        <v/>
      </c>
    </row>
    <row r="83" spans="1:16" x14ac:dyDescent="0.2">
      <c r="A83" s="7"/>
      <c r="B83" s="14"/>
      <c r="C83" s="15"/>
      <c r="D83" s="15"/>
      <c r="E83" s="10" t="str">
        <f>IF($D83="","",IFERROR(IF(ISNUMBER(FIND("[",$D83)),MID($D83,FIND("[",$D83)+1,FIND("]",$D83)-FIND("[",$D83)-1),IF(ISNUMBER($D83),INDEX(Personnes!$B$5:$B$154,MATCH($D83,Personnes!$A$5:$A$154,0)),IFERROR(INDEX(Personnes!$B$5:$B$154,MATCH($D83&amp;"*",Personnes!$C$5:$C$154,0)),INDEX(Personnes!$B$5:$B$154,MATCH($D83&amp;"*",Personnes!$D$5:$D$154,0))))),""))</f>
        <v/>
      </c>
      <c r="F83" s="10" t="str">
        <f>IFERROR(INDEX(Personnes!$C$5:$C$154,MATCH($E83,Personnes!$B$5:$B$154,0))&amp;"","")</f>
        <v/>
      </c>
      <c r="G83" s="10" t="str">
        <f>IFERROR(INDEX(Personnes!$D$5:$D$154,MATCH($E83,Personnes!$B$5:$B$154,0))&amp;"","")</f>
        <v/>
      </c>
      <c r="H83" s="15"/>
      <c r="I83" s="15"/>
      <c r="J83" s="9"/>
      <c r="K83" s="9"/>
      <c r="L83" s="15"/>
      <c r="M83" s="10" t="str">
        <f>IF($L83="","",IFERROR(IF(ISNUMBER(FIND("[",$L83)),MID($L83,FIND("[",$L83)+1,FIND("]",$L83)-FIND("[",$L83)-1),IF(ISNUMBER($L83),INDEX(Personnes!$B$5:$B$154,MATCH($L83,Personnes!$A$5:$A$154,0)),IFERROR(INDEX(Personnes!$B$5:$B$154,MATCH($L83&amp;"*",Personnes!$C$5:$C$154,0)),INDEX(Personnes!$B$5:$B$154,MATCH($L83&amp;"*",Personnes!$D$5:$D$154,0))))),""))</f>
        <v/>
      </c>
      <c r="N83" s="10" t="str">
        <f>IFERROR(INDEX(Personnes!$C$5:$C$154,MATCH($M83,Personnes!$B$5:$B$154,0))&amp;"","")</f>
        <v/>
      </c>
      <c r="O83" s="10" t="str">
        <f>IFERROR(INDEX(Personnes!$D$5:$D$154,MATCH($M83,Personnes!$B$5:$B$154,0))&amp;"","")</f>
        <v/>
      </c>
      <c r="P83" s="10" t="str">
        <f t="shared" si="2"/>
        <v/>
      </c>
    </row>
    <row r="84" spans="1:16" x14ac:dyDescent="0.2">
      <c r="A84" s="7"/>
      <c r="B84" s="14"/>
      <c r="C84" s="15"/>
      <c r="D84" s="15"/>
      <c r="E84" s="10" t="str">
        <f>IF($D84="","",IFERROR(IF(ISNUMBER(FIND("[",$D84)),MID($D84,FIND("[",$D84)+1,FIND("]",$D84)-FIND("[",$D84)-1),IF(ISNUMBER($D84),INDEX(Personnes!$B$5:$B$154,MATCH($D84,Personnes!$A$5:$A$154,0)),IFERROR(INDEX(Personnes!$B$5:$B$154,MATCH($D84&amp;"*",Personnes!$C$5:$C$154,0)),INDEX(Personnes!$B$5:$B$154,MATCH($D84&amp;"*",Personnes!$D$5:$D$154,0))))),""))</f>
        <v/>
      </c>
      <c r="F84" s="10" t="str">
        <f>IFERROR(INDEX(Personnes!$C$5:$C$154,MATCH($E84,Personnes!$B$5:$B$154,0))&amp;"","")</f>
        <v/>
      </c>
      <c r="G84" s="10" t="str">
        <f>IFERROR(INDEX(Personnes!$D$5:$D$154,MATCH($E84,Personnes!$B$5:$B$154,0))&amp;"","")</f>
        <v/>
      </c>
      <c r="H84" s="15"/>
      <c r="I84" s="15"/>
      <c r="J84" s="9"/>
      <c r="K84" s="9"/>
      <c r="L84" s="15"/>
      <c r="M84" s="10" t="str">
        <f>IF($L84="","",IFERROR(IF(ISNUMBER(FIND("[",$L84)),MID($L84,FIND("[",$L84)+1,FIND("]",$L84)-FIND("[",$L84)-1),IF(ISNUMBER($L84),INDEX(Personnes!$B$5:$B$154,MATCH($L84,Personnes!$A$5:$A$154,0)),IFERROR(INDEX(Personnes!$B$5:$B$154,MATCH($L84&amp;"*",Personnes!$C$5:$C$154,0)),INDEX(Personnes!$B$5:$B$154,MATCH($L84&amp;"*",Personnes!$D$5:$D$154,0))))),""))</f>
        <v/>
      </c>
      <c r="N84" s="10" t="str">
        <f>IFERROR(INDEX(Personnes!$C$5:$C$154,MATCH($M84,Personnes!$B$5:$B$154,0))&amp;"","")</f>
        <v/>
      </c>
      <c r="O84" s="10" t="str">
        <f>IFERROR(INDEX(Personnes!$D$5:$D$154,MATCH($M84,Personnes!$B$5:$B$154,0))&amp;"","")</f>
        <v/>
      </c>
      <c r="P84" s="10" t="str">
        <f t="shared" si="2"/>
        <v/>
      </c>
    </row>
    <row r="85" spans="1:16" x14ac:dyDescent="0.2">
      <c r="A85" s="7"/>
      <c r="B85" s="14"/>
      <c r="C85" s="15"/>
      <c r="D85" s="15"/>
      <c r="E85" s="10" t="str">
        <f>IF($D85="","",IFERROR(IF(ISNUMBER(FIND("[",$D85)),MID($D85,FIND("[",$D85)+1,FIND("]",$D85)-FIND("[",$D85)-1),IF(ISNUMBER($D85),INDEX(Personnes!$B$5:$B$154,MATCH($D85,Personnes!$A$5:$A$154,0)),IFERROR(INDEX(Personnes!$B$5:$B$154,MATCH($D85&amp;"*",Personnes!$C$5:$C$154,0)),INDEX(Personnes!$B$5:$B$154,MATCH($D85&amp;"*",Personnes!$D$5:$D$154,0))))),""))</f>
        <v/>
      </c>
      <c r="F85" s="10" t="str">
        <f>IFERROR(INDEX(Personnes!$C$5:$C$154,MATCH($E85,Personnes!$B$5:$B$154,0))&amp;"","")</f>
        <v/>
      </c>
      <c r="G85" s="10" t="str">
        <f>IFERROR(INDEX(Personnes!$D$5:$D$154,MATCH($E85,Personnes!$B$5:$B$154,0))&amp;"","")</f>
        <v/>
      </c>
      <c r="H85" s="15"/>
      <c r="I85" s="15"/>
      <c r="J85" s="9"/>
      <c r="K85" s="9"/>
      <c r="L85" s="15"/>
      <c r="M85" s="10" t="str">
        <f>IF($L85="","",IFERROR(IF(ISNUMBER(FIND("[",$L85)),MID($L85,FIND("[",$L85)+1,FIND("]",$L85)-FIND("[",$L85)-1),IF(ISNUMBER($L85),INDEX(Personnes!$B$5:$B$154,MATCH($L85,Personnes!$A$5:$A$154,0)),IFERROR(INDEX(Personnes!$B$5:$B$154,MATCH($L85&amp;"*",Personnes!$C$5:$C$154,0)),INDEX(Personnes!$B$5:$B$154,MATCH($L85&amp;"*",Personnes!$D$5:$D$154,0))))),""))</f>
        <v/>
      </c>
      <c r="N85" s="10" t="str">
        <f>IFERROR(INDEX(Personnes!$C$5:$C$154,MATCH($M85,Personnes!$B$5:$B$154,0))&amp;"","")</f>
        <v/>
      </c>
      <c r="O85" s="10" t="str">
        <f>IFERROR(INDEX(Personnes!$D$5:$D$154,MATCH($M85,Personnes!$B$5:$B$154,0))&amp;"","")</f>
        <v/>
      </c>
      <c r="P85" s="10" t="str">
        <f t="shared" si="2"/>
        <v/>
      </c>
    </row>
    <row r="86" spans="1:16" x14ac:dyDescent="0.2">
      <c r="A86" s="7"/>
      <c r="B86" s="14"/>
      <c r="C86" s="15"/>
      <c r="D86" s="15"/>
      <c r="E86" s="10" t="str">
        <f>IF($D86="","",IFERROR(IF(ISNUMBER(FIND("[",$D86)),MID($D86,FIND("[",$D86)+1,FIND("]",$D86)-FIND("[",$D86)-1),IF(ISNUMBER($D86),INDEX(Personnes!$B$5:$B$154,MATCH($D86,Personnes!$A$5:$A$154,0)),IFERROR(INDEX(Personnes!$B$5:$B$154,MATCH($D86&amp;"*",Personnes!$C$5:$C$154,0)),INDEX(Personnes!$B$5:$B$154,MATCH($D86&amp;"*",Personnes!$D$5:$D$154,0))))),""))</f>
        <v/>
      </c>
      <c r="F86" s="10" t="str">
        <f>IFERROR(INDEX(Personnes!$C$5:$C$154,MATCH($E86,Personnes!$B$5:$B$154,0))&amp;"","")</f>
        <v/>
      </c>
      <c r="G86" s="10" t="str">
        <f>IFERROR(INDEX(Personnes!$D$5:$D$154,MATCH($E86,Personnes!$B$5:$B$154,0))&amp;"","")</f>
        <v/>
      </c>
      <c r="H86" s="15"/>
      <c r="I86" s="15"/>
      <c r="J86" s="9"/>
      <c r="K86" s="9"/>
      <c r="L86" s="15"/>
      <c r="M86" s="10" t="str">
        <f>IF($L86="","",IFERROR(IF(ISNUMBER(FIND("[",$L86)),MID($L86,FIND("[",$L86)+1,FIND("]",$L86)-FIND("[",$L86)-1),IF(ISNUMBER($L86),INDEX(Personnes!$B$5:$B$154,MATCH($L86,Personnes!$A$5:$A$154,0)),IFERROR(INDEX(Personnes!$B$5:$B$154,MATCH($L86&amp;"*",Personnes!$C$5:$C$154,0)),INDEX(Personnes!$B$5:$B$154,MATCH($L86&amp;"*",Personnes!$D$5:$D$154,0))))),""))</f>
        <v/>
      </c>
      <c r="N86" s="10" t="str">
        <f>IFERROR(INDEX(Personnes!$C$5:$C$154,MATCH($M86,Personnes!$B$5:$B$154,0))&amp;"","")</f>
        <v/>
      </c>
      <c r="O86" s="10" t="str">
        <f>IFERROR(INDEX(Personnes!$D$5:$D$154,MATCH($M86,Personnes!$B$5:$B$154,0))&amp;"","")</f>
        <v/>
      </c>
      <c r="P86" s="10" t="str">
        <f t="shared" si="2"/>
        <v/>
      </c>
    </row>
    <row r="87" spans="1:16" x14ac:dyDescent="0.2">
      <c r="A87" s="7"/>
      <c r="B87" s="14"/>
      <c r="C87" s="15"/>
      <c r="D87" s="15"/>
      <c r="E87" s="10" t="str">
        <f>IF($D87="","",IFERROR(IF(ISNUMBER(FIND("[",$D87)),MID($D87,FIND("[",$D87)+1,FIND("]",$D87)-FIND("[",$D87)-1),IF(ISNUMBER($D87),INDEX(Personnes!$B$5:$B$154,MATCH($D87,Personnes!$A$5:$A$154,0)),IFERROR(INDEX(Personnes!$B$5:$B$154,MATCH($D87&amp;"*",Personnes!$C$5:$C$154,0)),INDEX(Personnes!$B$5:$B$154,MATCH($D87&amp;"*",Personnes!$D$5:$D$154,0))))),""))</f>
        <v/>
      </c>
      <c r="F87" s="10" t="str">
        <f>IFERROR(INDEX(Personnes!$C$5:$C$154,MATCH($E87,Personnes!$B$5:$B$154,0))&amp;"","")</f>
        <v/>
      </c>
      <c r="G87" s="10" t="str">
        <f>IFERROR(INDEX(Personnes!$D$5:$D$154,MATCH($E87,Personnes!$B$5:$B$154,0))&amp;"","")</f>
        <v/>
      </c>
      <c r="H87" s="15"/>
      <c r="I87" s="15"/>
      <c r="J87" s="9"/>
      <c r="K87" s="9"/>
      <c r="L87" s="15"/>
      <c r="M87" s="10" t="str">
        <f>IF($L87="","",IFERROR(IF(ISNUMBER(FIND("[",$L87)),MID($L87,FIND("[",$L87)+1,FIND("]",$L87)-FIND("[",$L87)-1),IF(ISNUMBER($L87),INDEX(Personnes!$B$5:$B$154,MATCH($L87,Personnes!$A$5:$A$154,0)),IFERROR(INDEX(Personnes!$B$5:$B$154,MATCH($L87&amp;"*",Personnes!$C$5:$C$154,0)),INDEX(Personnes!$B$5:$B$154,MATCH($L87&amp;"*",Personnes!$D$5:$D$154,0))))),""))</f>
        <v/>
      </c>
      <c r="N87" s="10" t="str">
        <f>IFERROR(INDEX(Personnes!$C$5:$C$154,MATCH($M87,Personnes!$B$5:$B$154,0))&amp;"","")</f>
        <v/>
      </c>
      <c r="O87" s="10" t="str">
        <f>IFERROR(INDEX(Personnes!$D$5:$D$154,MATCH($M87,Personnes!$B$5:$B$154,0))&amp;"","")</f>
        <v/>
      </c>
      <c r="P87" s="10" t="str">
        <f t="shared" si="2"/>
        <v/>
      </c>
    </row>
    <row r="88" spans="1:16" x14ac:dyDescent="0.2">
      <c r="A88" s="7"/>
      <c r="B88" s="14"/>
      <c r="C88" s="15"/>
      <c r="D88" s="15"/>
      <c r="E88" s="10" t="str">
        <f>IF($D88="","",IFERROR(IF(ISNUMBER(FIND("[",$D88)),MID($D88,FIND("[",$D88)+1,FIND("]",$D88)-FIND("[",$D88)-1),IF(ISNUMBER($D88),INDEX(Personnes!$B$5:$B$154,MATCH($D88,Personnes!$A$5:$A$154,0)),IFERROR(INDEX(Personnes!$B$5:$B$154,MATCH($D88&amp;"*",Personnes!$C$5:$C$154,0)),INDEX(Personnes!$B$5:$B$154,MATCH($D88&amp;"*",Personnes!$D$5:$D$154,0))))),""))</f>
        <v/>
      </c>
      <c r="F88" s="10" t="str">
        <f>IFERROR(INDEX(Personnes!$C$5:$C$154,MATCH($E88,Personnes!$B$5:$B$154,0))&amp;"","")</f>
        <v/>
      </c>
      <c r="G88" s="10" t="str">
        <f>IFERROR(INDEX(Personnes!$D$5:$D$154,MATCH($E88,Personnes!$B$5:$B$154,0))&amp;"","")</f>
        <v/>
      </c>
      <c r="H88" s="15"/>
      <c r="I88" s="15"/>
      <c r="J88" s="9"/>
      <c r="K88" s="9"/>
      <c r="L88" s="15"/>
      <c r="M88" s="10" t="str">
        <f>IF($L88="","",IFERROR(IF(ISNUMBER(FIND("[",$L88)),MID($L88,FIND("[",$L88)+1,FIND("]",$L88)-FIND("[",$L88)-1),IF(ISNUMBER($L88),INDEX(Personnes!$B$5:$B$154,MATCH($L88,Personnes!$A$5:$A$154,0)),IFERROR(INDEX(Personnes!$B$5:$B$154,MATCH($L88&amp;"*",Personnes!$C$5:$C$154,0)),INDEX(Personnes!$B$5:$B$154,MATCH($L88&amp;"*",Personnes!$D$5:$D$154,0))))),""))</f>
        <v/>
      </c>
      <c r="N88" s="10" t="str">
        <f>IFERROR(INDEX(Personnes!$C$5:$C$154,MATCH($M88,Personnes!$B$5:$B$154,0))&amp;"","")</f>
        <v/>
      </c>
      <c r="O88" s="10" t="str">
        <f>IFERROR(INDEX(Personnes!$D$5:$D$154,MATCH($M88,Personnes!$B$5:$B$154,0))&amp;"","")</f>
        <v/>
      </c>
      <c r="P88" s="10" t="str">
        <f t="shared" si="2"/>
        <v/>
      </c>
    </row>
    <row r="89" spans="1:16" x14ac:dyDescent="0.2">
      <c r="A89" s="7"/>
      <c r="B89" s="14"/>
      <c r="C89" s="15"/>
      <c r="D89" s="15"/>
      <c r="E89" s="10" t="str">
        <f>IF($D89="","",IFERROR(IF(ISNUMBER(FIND("[",$D89)),MID($D89,FIND("[",$D89)+1,FIND("]",$D89)-FIND("[",$D89)-1),IF(ISNUMBER($D89),INDEX(Personnes!$B$5:$B$154,MATCH($D89,Personnes!$A$5:$A$154,0)),IFERROR(INDEX(Personnes!$B$5:$B$154,MATCH($D89&amp;"*",Personnes!$C$5:$C$154,0)),INDEX(Personnes!$B$5:$B$154,MATCH($D89&amp;"*",Personnes!$D$5:$D$154,0))))),""))</f>
        <v/>
      </c>
      <c r="F89" s="10" t="str">
        <f>IFERROR(INDEX(Personnes!$C$5:$C$154,MATCH($E89,Personnes!$B$5:$B$154,0))&amp;"","")</f>
        <v/>
      </c>
      <c r="G89" s="10" t="str">
        <f>IFERROR(INDEX(Personnes!$D$5:$D$154,MATCH($E89,Personnes!$B$5:$B$154,0))&amp;"","")</f>
        <v/>
      </c>
      <c r="H89" s="15"/>
      <c r="I89" s="15"/>
      <c r="J89" s="9"/>
      <c r="K89" s="9"/>
      <c r="L89" s="15"/>
      <c r="M89" s="10" t="str">
        <f>IF($L89="","",IFERROR(IF(ISNUMBER(FIND("[",$L89)),MID($L89,FIND("[",$L89)+1,FIND("]",$L89)-FIND("[",$L89)-1),IF(ISNUMBER($L89),INDEX(Personnes!$B$5:$B$154,MATCH($L89,Personnes!$A$5:$A$154,0)),IFERROR(INDEX(Personnes!$B$5:$B$154,MATCH($L89&amp;"*",Personnes!$C$5:$C$154,0)),INDEX(Personnes!$B$5:$B$154,MATCH($L89&amp;"*",Personnes!$D$5:$D$154,0))))),""))</f>
        <v/>
      </c>
      <c r="N89" s="10" t="str">
        <f>IFERROR(INDEX(Personnes!$C$5:$C$154,MATCH($M89,Personnes!$B$5:$B$154,0))&amp;"","")</f>
        <v/>
      </c>
      <c r="O89" s="10" t="str">
        <f>IFERROR(INDEX(Personnes!$D$5:$D$154,MATCH($M89,Personnes!$B$5:$B$154,0))&amp;"","")</f>
        <v/>
      </c>
      <c r="P89" s="10" t="str">
        <f t="shared" si="2"/>
        <v/>
      </c>
    </row>
    <row r="90" spans="1:16" x14ac:dyDescent="0.2">
      <c r="A90" s="7"/>
      <c r="B90" s="14"/>
      <c r="C90" s="15"/>
      <c r="D90" s="15"/>
      <c r="E90" s="10" t="str">
        <f>IF($D90="","",IFERROR(IF(ISNUMBER(FIND("[",$D90)),MID($D90,FIND("[",$D90)+1,FIND("]",$D90)-FIND("[",$D90)-1),IF(ISNUMBER($D90),INDEX(Personnes!$B$5:$B$154,MATCH($D90,Personnes!$A$5:$A$154,0)),IFERROR(INDEX(Personnes!$B$5:$B$154,MATCH($D90&amp;"*",Personnes!$C$5:$C$154,0)),INDEX(Personnes!$B$5:$B$154,MATCH($D90&amp;"*",Personnes!$D$5:$D$154,0))))),""))</f>
        <v/>
      </c>
      <c r="F90" s="10" t="str">
        <f>IFERROR(INDEX(Personnes!$C$5:$C$154,MATCH($E90,Personnes!$B$5:$B$154,0))&amp;"","")</f>
        <v/>
      </c>
      <c r="G90" s="10" t="str">
        <f>IFERROR(INDEX(Personnes!$D$5:$D$154,MATCH($E90,Personnes!$B$5:$B$154,0))&amp;"","")</f>
        <v/>
      </c>
      <c r="H90" s="15"/>
      <c r="I90" s="15"/>
      <c r="J90" s="9"/>
      <c r="K90" s="9"/>
      <c r="L90" s="15"/>
      <c r="M90" s="10" t="str">
        <f>IF($L90="","",IFERROR(IF(ISNUMBER(FIND("[",$L90)),MID($L90,FIND("[",$L90)+1,FIND("]",$L90)-FIND("[",$L90)-1),IF(ISNUMBER($L90),INDEX(Personnes!$B$5:$B$154,MATCH($L90,Personnes!$A$5:$A$154,0)),IFERROR(INDEX(Personnes!$B$5:$B$154,MATCH($L90&amp;"*",Personnes!$C$5:$C$154,0)),INDEX(Personnes!$B$5:$B$154,MATCH($L90&amp;"*",Personnes!$D$5:$D$154,0))))),""))</f>
        <v/>
      </c>
      <c r="N90" s="10" t="str">
        <f>IFERROR(INDEX(Personnes!$C$5:$C$154,MATCH($M90,Personnes!$B$5:$B$154,0))&amp;"","")</f>
        <v/>
      </c>
      <c r="O90" s="10" t="str">
        <f>IFERROR(INDEX(Personnes!$D$5:$D$154,MATCH($M90,Personnes!$B$5:$B$154,0))&amp;"","")</f>
        <v/>
      </c>
      <c r="P90" s="10" t="str">
        <f t="shared" si="2"/>
        <v/>
      </c>
    </row>
    <row r="91" spans="1:16" x14ac:dyDescent="0.2">
      <c r="A91" s="7"/>
      <c r="B91" s="14"/>
      <c r="C91" s="15"/>
      <c r="D91" s="15"/>
      <c r="E91" s="10" t="str">
        <f>IF($D91="","",IFERROR(IF(ISNUMBER(FIND("[",$D91)),MID($D91,FIND("[",$D91)+1,FIND("]",$D91)-FIND("[",$D91)-1),IF(ISNUMBER($D91),INDEX(Personnes!$B$5:$B$154,MATCH($D91,Personnes!$A$5:$A$154,0)),IFERROR(INDEX(Personnes!$B$5:$B$154,MATCH($D91&amp;"*",Personnes!$C$5:$C$154,0)),INDEX(Personnes!$B$5:$B$154,MATCH($D91&amp;"*",Personnes!$D$5:$D$154,0))))),""))</f>
        <v/>
      </c>
      <c r="F91" s="10" t="str">
        <f>IFERROR(INDEX(Personnes!$C$5:$C$154,MATCH($E91,Personnes!$B$5:$B$154,0))&amp;"","")</f>
        <v/>
      </c>
      <c r="G91" s="10" t="str">
        <f>IFERROR(INDEX(Personnes!$D$5:$D$154,MATCH($E91,Personnes!$B$5:$B$154,0))&amp;"","")</f>
        <v/>
      </c>
      <c r="H91" s="15"/>
      <c r="I91" s="15"/>
      <c r="J91" s="9"/>
      <c r="K91" s="9"/>
      <c r="L91" s="15"/>
      <c r="M91" s="10" t="str">
        <f>IF($L91="","",IFERROR(IF(ISNUMBER(FIND("[",$L91)),MID($L91,FIND("[",$L91)+1,FIND("]",$L91)-FIND("[",$L91)-1),IF(ISNUMBER($L91),INDEX(Personnes!$B$5:$B$154,MATCH($L91,Personnes!$A$5:$A$154,0)),IFERROR(INDEX(Personnes!$B$5:$B$154,MATCH($L91&amp;"*",Personnes!$C$5:$C$154,0)),INDEX(Personnes!$B$5:$B$154,MATCH($L91&amp;"*",Personnes!$D$5:$D$154,0))))),""))</f>
        <v/>
      </c>
      <c r="N91" s="10" t="str">
        <f>IFERROR(INDEX(Personnes!$C$5:$C$154,MATCH($M91,Personnes!$B$5:$B$154,0))&amp;"","")</f>
        <v/>
      </c>
      <c r="O91" s="10" t="str">
        <f>IFERROR(INDEX(Personnes!$D$5:$D$154,MATCH($M91,Personnes!$B$5:$B$154,0))&amp;"","")</f>
        <v/>
      </c>
      <c r="P91" s="10" t="str">
        <f t="shared" si="2"/>
        <v/>
      </c>
    </row>
    <row r="92" spans="1:16" x14ac:dyDescent="0.2">
      <c r="A92" s="7"/>
      <c r="B92" s="14"/>
      <c r="C92" s="15"/>
      <c r="D92" s="15"/>
      <c r="E92" s="10" t="str">
        <f>IF($D92="","",IFERROR(IF(ISNUMBER(FIND("[",$D92)),MID($D92,FIND("[",$D92)+1,FIND("]",$D92)-FIND("[",$D92)-1),IF(ISNUMBER($D92),INDEX(Personnes!$B$5:$B$154,MATCH($D92,Personnes!$A$5:$A$154,0)),IFERROR(INDEX(Personnes!$B$5:$B$154,MATCH($D92&amp;"*",Personnes!$C$5:$C$154,0)),INDEX(Personnes!$B$5:$B$154,MATCH($D92&amp;"*",Personnes!$D$5:$D$154,0))))),""))</f>
        <v/>
      </c>
      <c r="F92" s="10" t="str">
        <f>IFERROR(INDEX(Personnes!$C$5:$C$154,MATCH($E92,Personnes!$B$5:$B$154,0))&amp;"","")</f>
        <v/>
      </c>
      <c r="G92" s="10" t="str">
        <f>IFERROR(INDEX(Personnes!$D$5:$D$154,MATCH($E92,Personnes!$B$5:$B$154,0))&amp;"","")</f>
        <v/>
      </c>
      <c r="H92" s="15"/>
      <c r="I92" s="15"/>
      <c r="J92" s="9"/>
      <c r="K92" s="9"/>
      <c r="L92" s="15"/>
      <c r="M92" s="10" t="str">
        <f>IF($L92="","",IFERROR(IF(ISNUMBER(FIND("[",$L92)),MID($L92,FIND("[",$L92)+1,FIND("]",$L92)-FIND("[",$L92)-1),IF(ISNUMBER($L92),INDEX(Personnes!$B$5:$B$154,MATCH($L92,Personnes!$A$5:$A$154,0)),IFERROR(INDEX(Personnes!$B$5:$B$154,MATCH($L92&amp;"*",Personnes!$C$5:$C$154,0)),INDEX(Personnes!$B$5:$B$154,MATCH($L92&amp;"*",Personnes!$D$5:$D$154,0))))),""))</f>
        <v/>
      </c>
      <c r="N92" s="10" t="str">
        <f>IFERROR(INDEX(Personnes!$C$5:$C$154,MATCH($M92,Personnes!$B$5:$B$154,0))&amp;"","")</f>
        <v/>
      </c>
      <c r="O92" s="10" t="str">
        <f>IFERROR(INDEX(Personnes!$D$5:$D$154,MATCH($M92,Personnes!$B$5:$B$154,0))&amp;"","")</f>
        <v/>
      </c>
      <c r="P92" s="10" t="str">
        <f t="shared" si="2"/>
        <v/>
      </c>
    </row>
    <row r="93" spans="1:16" x14ac:dyDescent="0.2">
      <c r="A93" s="7"/>
      <c r="B93" s="14"/>
      <c r="C93" s="15"/>
      <c r="D93" s="15"/>
      <c r="E93" s="10" t="str">
        <f>IF($D93="","",IFERROR(IF(ISNUMBER(FIND("[",$D93)),MID($D93,FIND("[",$D93)+1,FIND("]",$D93)-FIND("[",$D93)-1),IF(ISNUMBER($D93),INDEX(Personnes!$B$5:$B$154,MATCH($D93,Personnes!$A$5:$A$154,0)),IFERROR(INDEX(Personnes!$B$5:$B$154,MATCH($D93&amp;"*",Personnes!$C$5:$C$154,0)),INDEX(Personnes!$B$5:$B$154,MATCH($D93&amp;"*",Personnes!$D$5:$D$154,0))))),""))</f>
        <v/>
      </c>
      <c r="F93" s="10" t="str">
        <f>IFERROR(INDEX(Personnes!$C$5:$C$154,MATCH($E93,Personnes!$B$5:$B$154,0))&amp;"","")</f>
        <v/>
      </c>
      <c r="G93" s="10" t="str">
        <f>IFERROR(INDEX(Personnes!$D$5:$D$154,MATCH($E93,Personnes!$B$5:$B$154,0))&amp;"","")</f>
        <v/>
      </c>
      <c r="H93" s="15"/>
      <c r="I93" s="15"/>
      <c r="J93" s="9"/>
      <c r="K93" s="9"/>
      <c r="L93" s="15"/>
      <c r="M93" s="10" t="str">
        <f>IF($L93="","",IFERROR(IF(ISNUMBER(FIND("[",$L93)),MID($L93,FIND("[",$L93)+1,FIND("]",$L93)-FIND("[",$L93)-1),IF(ISNUMBER($L93),INDEX(Personnes!$B$5:$B$154,MATCH($L93,Personnes!$A$5:$A$154,0)),IFERROR(INDEX(Personnes!$B$5:$B$154,MATCH($L93&amp;"*",Personnes!$C$5:$C$154,0)),INDEX(Personnes!$B$5:$B$154,MATCH($L93&amp;"*",Personnes!$D$5:$D$154,0))))),""))</f>
        <v/>
      </c>
      <c r="N93" s="10" t="str">
        <f>IFERROR(INDEX(Personnes!$C$5:$C$154,MATCH($M93,Personnes!$B$5:$B$154,0))&amp;"","")</f>
        <v/>
      </c>
      <c r="O93" s="10" t="str">
        <f>IFERROR(INDEX(Personnes!$D$5:$D$154,MATCH($M93,Personnes!$B$5:$B$154,0))&amp;"","")</f>
        <v/>
      </c>
      <c r="P93" s="10" t="str">
        <f t="shared" si="2"/>
        <v/>
      </c>
    </row>
    <row r="94" spans="1:16" x14ac:dyDescent="0.2">
      <c r="A94" s="7"/>
      <c r="B94" s="14"/>
      <c r="C94" s="15"/>
      <c r="D94" s="15"/>
      <c r="E94" s="10" t="str">
        <f>IF($D94="","",IFERROR(IF(ISNUMBER(FIND("[",$D94)),MID($D94,FIND("[",$D94)+1,FIND("]",$D94)-FIND("[",$D94)-1),IF(ISNUMBER($D94),INDEX(Personnes!$B$5:$B$154,MATCH($D94,Personnes!$A$5:$A$154,0)),IFERROR(INDEX(Personnes!$B$5:$B$154,MATCH($D94&amp;"*",Personnes!$C$5:$C$154,0)),INDEX(Personnes!$B$5:$B$154,MATCH($D94&amp;"*",Personnes!$D$5:$D$154,0))))),""))</f>
        <v/>
      </c>
      <c r="F94" s="10" t="str">
        <f>IFERROR(INDEX(Personnes!$C$5:$C$154,MATCH($E94,Personnes!$B$5:$B$154,0))&amp;"","")</f>
        <v/>
      </c>
      <c r="G94" s="10" t="str">
        <f>IFERROR(INDEX(Personnes!$D$5:$D$154,MATCH($E94,Personnes!$B$5:$B$154,0))&amp;"","")</f>
        <v/>
      </c>
      <c r="H94" s="15"/>
      <c r="I94" s="15"/>
      <c r="J94" s="9"/>
      <c r="K94" s="9"/>
      <c r="L94" s="15"/>
      <c r="M94" s="10" t="str">
        <f>IF($L94="","",IFERROR(IF(ISNUMBER(FIND("[",$L94)),MID($L94,FIND("[",$L94)+1,FIND("]",$L94)-FIND("[",$L94)-1),IF(ISNUMBER($L94),INDEX(Personnes!$B$5:$B$154,MATCH($L94,Personnes!$A$5:$A$154,0)),IFERROR(INDEX(Personnes!$B$5:$B$154,MATCH($L94&amp;"*",Personnes!$C$5:$C$154,0)),INDEX(Personnes!$B$5:$B$154,MATCH($L94&amp;"*",Personnes!$D$5:$D$154,0))))),""))</f>
        <v/>
      </c>
      <c r="N94" s="10" t="str">
        <f>IFERROR(INDEX(Personnes!$C$5:$C$154,MATCH($M94,Personnes!$B$5:$B$154,0))&amp;"","")</f>
        <v/>
      </c>
      <c r="O94" s="10" t="str">
        <f>IFERROR(INDEX(Personnes!$D$5:$D$154,MATCH($M94,Personnes!$B$5:$B$154,0))&amp;"","")</f>
        <v/>
      </c>
      <c r="P94" s="10" t="str">
        <f t="shared" si="2"/>
        <v/>
      </c>
    </row>
    <row r="95" spans="1:16" x14ac:dyDescent="0.2">
      <c r="A95" s="7"/>
      <c r="B95" s="14"/>
      <c r="C95" s="15"/>
      <c r="D95" s="15"/>
      <c r="E95" s="10" t="str">
        <f>IF($D95="","",IFERROR(IF(ISNUMBER(FIND("[",$D95)),MID($D95,FIND("[",$D95)+1,FIND("]",$D95)-FIND("[",$D95)-1),IF(ISNUMBER($D95),INDEX(Personnes!$B$5:$B$154,MATCH($D95,Personnes!$A$5:$A$154,0)),IFERROR(INDEX(Personnes!$B$5:$B$154,MATCH($D95&amp;"*",Personnes!$C$5:$C$154,0)),INDEX(Personnes!$B$5:$B$154,MATCH($D95&amp;"*",Personnes!$D$5:$D$154,0))))),""))</f>
        <v/>
      </c>
      <c r="F95" s="10" t="str">
        <f>IFERROR(INDEX(Personnes!$C$5:$C$154,MATCH($E95,Personnes!$B$5:$B$154,0))&amp;"","")</f>
        <v/>
      </c>
      <c r="G95" s="10" t="str">
        <f>IFERROR(INDEX(Personnes!$D$5:$D$154,MATCH($E95,Personnes!$B$5:$B$154,0))&amp;"","")</f>
        <v/>
      </c>
      <c r="H95" s="15"/>
      <c r="I95" s="15"/>
      <c r="J95" s="9"/>
      <c r="K95" s="9"/>
      <c r="L95" s="15"/>
      <c r="M95" s="10" t="str">
        <f>IF($L95="","",IFERROR(IF(ISNUMBER(FIND("[",$L95)),MID($L95,FIND("[",$L95)+1,FIND("]",$L95)-FIND("[",$L95)-1),IF(ISNUMBER($L95),INDEX(Personnes!$B$5:$B$154,MATCH($L95,Personnes!$A$5:$A$154,0)),IFERROR(INDEX(Personnes!$B$5:$B$154,MATCH($L95&amp;"*",Personnes!$C$5:$C$154,0)),INDEX(Personnes!$B$5:$B$154,MATCH($L95&amp;"*",Personnes!$D$5:$D$154,0))))),""))</f>
        <v/>
      </c>
      <c r="N95" s="10" t="str">
        <f>IFERROR(INDEX(Personnes!$C$5:$C$154,MATCH($M95,Personnes!$B$5:$B$154,0))&amp;"","")</f>
        <v/>
      </c>
      <c r="O95" s="10" t="str">
        <f>IFERROR(INDEX(Personnes!$D$5:$D$154,MATCH($M95,Personnes!$B$5:$B$154,0))&amp;"","")</f>
        <v/>
      </c>
      <c r="P95" s="10" t="str">
        <f t="shared" si="2"/>
        <v/>
      </c>
    </row>
    <row r="96" spans="1:16" x14ac:dyDescent="0.2">
      <c r="A96" s="7"/>
      <c r="B96" s="14"/>
      <c r="C96" s="15"/>
      <c r="D96" s="15"/>
      <c r="E96" s="10" t="str">
        <f>IF($D96="","",IFERROR(IF(ISNUMBER(FIND("[",$D96)),MID($D96,FIND("[",$D96)+1,FIND("]",$D96)-FIND("[",$D96)-1),IF(ISNUMBER($D96),INDEX(Personnes!$B$5:$B$154,MATCH($D96,Personnes!$A$5:$A$154,0)),IFERROR(INDEX(Personnes!$B$5:$B$154,MATCH($D96&amp;"*",Personnes!$C$5:$C$154,0)),INDEX(Personnes!$B$5:$B$154,MATCH($D96&amp;"*",Personnes!$D$5:$D$154,0))))),""))</f>
        <v/>
      </c>
      <c r="F96" s="10" t="str">
        <f>IFERROR(INDEX(Personnes!$C$5:$C$154,MATCH($E96,Personnes!$B$5:$B$154,0))&amp;"","")</f>
        <v/>
      </c>
      <c r="G96" s="10" t="str">
        <f>IFERROR(INDEX(Personnes!$D$5:$D$154,MATCH($E96,Personnes!$B$5:$B$154,0))&amp;"","")</f>
        <v/>
      </c>
      <c r="H96" s="15"/>
      <c r="I96" s="15"/>
      <c r="J96" s="9"/>
      <c r="K96" s="9"/>
      <c r="L96" s="15"/>
      <c r="M96" s="10" t="str">
        <f>IF($L96="","",IFERROR(IF(ISNUMBER(FIND("[",$L96)),MID($L96,FIND("[",$L96)+1,FIND("]",$L96)-FIND("[",$L96)-1),IF(ISNUMBER($L96),INDEX(Personnes!$B$5:$B$154,MATCH($L96,Personnes!$A$5:$A$154,0)),IFERROR(INDEX(Personnes!$B$5:$B$154,MATCH($L96&amp;"*",Personnes!$C$5:$C$154,0)),INDEX(Personnes!$B$5:$B$154,MATCH($L96&amp;"*",Personnes!$D$5:$D$154,0))))),""))</f>
        <v/>
      </c>
      <c r="N96" s="10" t="str">
        <f>IFERROR(INDEX(Personnes!$C$5:$C$154,MATCH($M96,Personnes!$B$5:$B$154,0))&amp;"","")</f>
        <v/>
      </c>
      <c r="O96" s="10" t="str">
        <f>IFERROR(INDEX(Personnes!$D$5:$D$154,MATCH($M96,Personnes!$B$5:$B$154,0))&amp;"","")</f>
        <v/>
      </c>
      <c r="P96" s="10" t="str">
        <f t="shared" si="2"/>
        <v/>
      </c>
    </row>
    <row r="97" spans="1:16" x14ac:dyDescent="0.2">
      <c r="A97" s="7"/>
      <c r="B97" s="14"/>
      <c r="C97" s="15"/>
      <c r="D97" s="15"/>
      <c r="E97" s="10" t="str">
        <f>IF($D97="","",IFERROR(IF(ISNUMBER(FIND("[",$D97)),MID($D97,FIND("[",$D97)+1,FIND("]",$D97)-FIND("[",$D97)-1),IF(ISNUMBER($D97),INDEX(Personnes!$B$5:$B$154,MATCH($D97,Personnes!$A$5:$A$154,0)),IFERROR(INDEX(Personnes!$B$5:$B$154,MATCH($D97&amp;"*",Personnes!$C$5:$C$154,0)),INDEX(Personnes!$B$5:$B$154,MATCH($D97&amp;"*",Personnes!$D$5:$D$154,0))))),""))</f>
        <v/>
      </c>
      <c r="F97" s="10" t="str">
        <f>IFERROR(INDEX(Personnes!$C$5:$C$154,MATCH($E97,Personnes!$B$5:$B$154,0))&amp;"","")</f>
        <v/>
      </c>
      <c r="G97" s="10" t="str">
        <f>IFERROR(INDEX(Personnes!$D$5:$D$154,MATCH($E97,Personnes!$B$5:$B$154,0))&amp;"","")</f>
        <v/>
      </c>
      <c r="H97" s="15"/>
      <c r="I97" s="15"/>
      <c r="J97" s="9"/>
      <c r="K97" s="9"/>
      <c r="L97" s="15"/>
      <c r="M97" s="10" t="str">
        <f>IF($L97="","",IFERROR(IF(ISNUMBER(FIND("[",$L97)),MID($L97,FIND("[",$L97)+1,FIND("]",$L97)-FIND("[",$L97)-1),IF(ISNUMBER($L97),INDEX(Personnes!$B$5:$B$154,MATCH($L97,Personnes!$A$5:$A$154,0)),IFERROR(INDEX(Personnes!$B$5:$B$154,MATCH($L97&amp;"*",Personnes!$C$5:$C$154,0)),INDEX(Personnes!$B$5:$B$154,MATCH($L97&amp;"*",Personnes!$D$5:$D$154,0))))),""))</f>
        <v/>
      </c>
      <c r="N97" s="10" t="str">
        <f>IFERROR(INDEX(Personnes!$C$5:$C$154,MATCH($M97,Personnes!$B$5:$B$154,0))&amp;"","")</f>
        <v/>
      </c>
      <c r="O97" s="10" t="str">
        <f>IFERROR(INDEX(Personnes!$D$5:$D$154,MATCH($M97,Personnes!$B$5:$B$154,0))&amp;"","")</f>
        <v/>
      </c>
      <c r="P97" s="10" t="str">
        <f t="shared" si="2"/>
        <v/>
      </c>
    </row>
    <row r="98" spans="1:16" x14ac:dyDescent="0.2">
      <c r="A98" s="7"/>
      <c r="B98" s="14"/>
      <c r="C98" s="15"/>
      <c r="D98" s="15"/>
      <c r="E98" s="10" t="str">
        <f>IF($D98="","",IFERROR(IF(ISNUMBER(FIND("[",$D98)),MID($D98,FIND("[",$D98)+1,FIND("]",$D98)-FIND("[",$D98)-1),IF(ISNUMBER($D98),INDEX(Personnes!$B$5:$B$154,MATCH($D98,Personnes!$A$5:$A$154,0)),IFERROR(INDEX(Personnes!$B$5:$B$154,MATCH($D98&amp;"*",Personnes!$C$5:$C$154,0)),INDEX(Personnes!$B$5:$B$154,MATCH($D98&amp;"*",Personnes!$D$5:$D$154,0))))),""))</f>
        <v/>
      </c>
      <c r="F98" s="10" t="str">
        <f>IFERROR(INDEX(Personnes!$C$5:$C$154,MATCH($E98,Personnes!$B$5:$B$154,0))&amp;"","")</f>
        <v/>
      </c>
      <c r="G98" s="10" t="str">
        <f>IFERROR(INDEX(Personnes!$D$5:$D$154,MATCH($E98,Personnes!$B$5:$B$154,0))&amp;"","")</f>
        <v/>
      </c>
      <c r="H98" s="15"/>
      <c r="I98" s="15"/>
      <c r="J98" s="9"/>
      <c r="K98" s="9"/>
      <c r="L98" s="15"/>
      <c r="M98" s="10" t="str">
        <f>IF($L98="","",IFERROR(IF(ISNUMBER(FIND("[",$L98)),MID($L98,FIND("[",$L98)+1,FIND("]",$L98)-FIND("[",$L98)-1),IF(ISNUMBER($L98),INDEX(Personnes!$B$5:$B$154,MATCH($L98,Personnes!$A$5:$A$154,0)),IFERROR(INDEX(Personnes!$B$5:$B$154,MATCH($L98&amp;"*",Personnes!$C$5:$C$154,0)),INDEX(Personnes!$B$5:$B$154,MATCH($L98&amp;"*",Personnes!$D$5:$D$154,0))))),""))</f>
        <v/>
      </c>
      <c r="N98" s="10" t="str">
        <f>IFERROR(INDEX(Personnes!$C$5:$C$154,MATCH($M98,Personnes!$B$5:$B$154,0))&amp;"","")</f>
        <v/>
      </c>
      <c r="O98" s="10" t="str">
        <f>IFERROR(INDEX(Personnes!$D$5:$D$154,MATCH($M98,Personnes!$B$5:$B$154,0))&amp;"","")</f>
        <v/>
      </c>
      <c r="P98" s="10" t="str">
        <f t="shared" si="2"/>
        <v/>
      </c>
    </row>
    <row r="99" spans="1:16" x14ac:dyDescent="0.2">
      <c r="A99" s="7"/>
      <c r="B99" s="14"/>
      <c r="C99" s="15"/>
      <c r="D99" s="15"/>
      <c r="E99" s="10" t="str">
        <f>IF($D99="","",IFERROR(IF(ISNUMBER(FIND("[",$D99)),MID($D99,FIND("[",$D99)+1,FIND("]",$D99)-FIND("[",$D99)-1),IF(ISNUMBER($D99),INDEX(Personnes!$B$5:$B$154,MATCH($D99,Personnes!$A$5:$A$154,0)),IFERROR(INDEX(Personnes!$B$5:$B$154,MATCH($D99&amp;"*",Personnes!$C$5:$C$154,0)),INDEX(Personnes!$B$5:$B$154,MATCH($D99&amp;"*",Personnes!$D$5:$D$154,0))))),""))</f>
        <v/>
      </c>
      <c r="F99" s="10" t="str">
        <f>IFERROR(INDEX(Personnes!$C$5:$C$154,MATCH($E99,Personnes!$B$5:$B$154,0))&amp;"","")</f>
        <v/>
      </c>
      <c r="G99" s="10" t="str">
        <f>IFERROR(INDEX(Personnes!$D$5:$D$154,MATCH($E99,Personnes!$B$5:$B$154,0))&amp;"","")</f>
        <v/>
      </c>
      <c r="H99" s="15"/>
      <c r="I99" s="15"/>
      <c r="J99" s="9"/>
      <c r="K99" s="9"/>
      <c r="L99" s="15"/>
      <c r="M99" s="10" t="str">
        <f>IF($L99="","",IFERROR(IF(ISNUMBER(FIND("[",$L99)),MID($L99,FIND("[",$L99)+1,FIND("]",$L99)-FIND("[",$L99)-1),IF(ISNUMBER($L99),INDEX(Personnes!$B$5:$B$154,MATCH($L99,Personnes!$A$5:$A$154,0)),IFERROR(INDEX(Personnes!$B$5:$B$154,MATCH($L99&amp;"*",Personnes!$C$5:$C$154,0)),INDEX(Personnes!$B$5:$B$154,MATCH($L99&amp;"*",Personnes!$D$5:$D$154,0))))),""))</f>
        <v/>
      </c>
      <c r="N99" s="10" t="str">
        <f>IFERROR(INDEX(Personnes!$C$5:$C$154,MATCH($M99,Personnes!$B$5:$B$154,0))&amp;"","")</f>
        <v/>
      </c>
      <c r="O99" s="10" t="str">
        <f>IFERROR(INDEX(Personnes!$D$5:$D$154,MATCH($M99,Personnes!$B$5:$B$154,0))&amp;"","")</f>
        <v/>
      </c>
      <c r="P99" s="10" t="str">
        <f t="shared" si="2"/>
        <v/>
      </c>
    </row>
    <row r="100" spans="1:16" x14ac:dyDescent="0.2">
      <c r="A100" s="7"/>
      <c r="B100" s="14"/>
      <c r="C100" s="15"/>
      <c r="D100" s="15"/>
      <c r="E100" s="10" t="str">
        <f>IF($D100="","",IFERROR(IF(ISNUMBER(FIND("[",$D100)),MID($D100,FIND("[",$D100)+1,FIND("]",$D100)-FIND("[",$D100)-1),IF(ISNUMBER($D100),INDEX(Personnes!$B$5:$B$154,MATCH($D100,Personnes!$A$5:$A$154,0)),IFERROR(INDEX(Personnes!$B$5:$B$154,MATCH($D100&amp;"*",Personnes!$C$5:$C$154,0)),INDEX(Personnes!$B$5:$B$154,MATCH($D100&amp;"*",Personnes!$D$5:$D$154,0))))),""))</f>
        <v/>
      </c>
      <c r="F100" s="10" t="str">
        <f>IFERROR(INDEX(Personnes!$C$5:$C$154,MATCH($E100,Personnes!$B$5:$B$154,0))&amp;"","")</f>
        <v/>
      </c>
      <c r="G100" s="10" t="str">
        <f>IFERROR(INDEX(Personnes!$D$5:$D$154,MATCH($E100,Personnes!$B$5:$B$154,0))&amp;"","")</f>
        <v/>
      </c>
      <c r="H100" s="15"/>
      <c r="I100" s="15"/>
      <c r="J100" s="9"/>
      <c r="K100" s="9"/>
      <c r="L100" s="15"/>
      <c r="M100" s="10" t="str">
        <f>IF($L100="","",IFERROR(IF(ISNUMBER(FIND("[",$L100)),MID($L100,FIND("[",$L100)+1,FIND("]",$L100)-FIND("[",$L100)-1),IF(ISNUMBER($L100),INDEX(Personnes!$B$5:$B$154,MATCH($L100,Personnes!$A$5:$A$154,0)),IFERROR(INDEX(Personnes!$B$5:$B$154,MATCH($L100&amp;"*",Personnes!$C$5:$C$154,0)),INDEX(Personnes!$B$5:$B$154,MATCH($L100&amp;"*",Personnes!$D$5:$D$154,0))))),""))</f>
        <v/>
      </c>
      <c r="N100" s="10" t="str">
        <f>IFERROR(INDEX(Personnes!$C$5:$C$154,MATCH($M100,Personnes!$B$5:$B$154,0))&amp;"","")</f>
        <v/>
      </c>
      <c r="O100" s="10" t="str">
        <f>IFERROR(INDEX(Personnes!$D$5:$D$154,MATCH($M100,Personnes!$B$5:$B$154,0))&amp;"","")</f>
        <v/>
      </c>
      <c r="P100" s="10" t="str">
        <f t="shared" si="2"/>
        <v/>
      </c>
    </row>
    <row r="101" spans="1:16" x14ac:dyDescent="0.2">
      <c r="A101" s="7"/>
      <c r="B101" s="14"/>
      <c r="C101" s="15"/>
      <c r="D101" s="15"/>
      <c r="E101" s="10" t="str">
        <f>IF($D101="","",IFERROR(IF(ISNUMBER(FIND("[",$D101)),MID($D101,FIND("[",$D101)+1,FIND("]",$D101)-FIND("[",$D101)-1),IF(ISNUMBER($D101),INDEX(Personnes!$B$5:$B$154,MATCH($D101,Personnes!$A$5:$A$154,0)),IFERROR(INDEX(Personnes!$B$5:$B$154,MATCH($D101&amp;"*",Personnes!$C$5:$C$154,0)),INDEX(Personnes!$B$5:$B$154,MATCH($D101&amp;"*",Personnes!$D$5:$D$154,0))))),""))</f>
        <v/>
      </c>
      <c r="F101" s="10" t="str">
        <f>IFERROR(INDEX(Personnes!$C$5:$C$154,MATCH($E101,Personnes!$B$5:$B$154,0))&amp;"","")</f>
        <v/>
      </c>
      <c r="G101" s="10" t="str">
        <f>IFERROR(INDEX(Personnes!$D$5:$D$154,MATCH($E101,Personnes!$B$5:$B$154,0))&amp;"","")</f>
        <v/>
      </c>
      <c r="H101" s="15"/>
      <c r="I101" s="15"/>
      <c r="J101" s="9"/>
      <c r="K101" s="9"/>
      <c r="L101" s="15"/>
      <c r="M101" s="10" t="str">
        <f>IF($L101="","",IFERROR(IF(ISNUMBER(FIND("[",$L101)),MID($L101,FIND("[",$L101)+1,FIND("]",$L101)-FIND("[",$L101)-1),IF(ISNUMBER($L101),INDEX(Personnes!$B$5:$B$154,MATCH($L101,Personnes!$A$5:$A$154,0)),IFERROR(INDEX(Personnes!$B$5:$B$154,MATCH($L101&amp;"*",Personnes!$C$5:$C$154,0)),INDEX(Personnes!$B$5:$B$154,MATCH($L101&amp;"*",Personnes!$D$5:$D$154,0))))),""))</f>
        <v/>
      </c>
      <c r="N101" s="10" t="str">
        <f>IFERROR(INDEX(Personnes!$C$5:$C$154,MATCH($M101,Personnes!$B$5:$B$154,0))&amp;"","")</f>
        <v/>
      </c>
      <c r="O101" s="10" t="str">
        <f>IFERROR(INDEX(Personnes!$D$5:$D$154,MATCH($M101,Personnes!$B$5:$B$154,0))&amp;"","")</f>
        <v/>
      </c>
      <c r="P101" s="10" t="str">
        <f t="shared" si="2"/>
        <v/>
      </c>
    </row>
    <row r="102" spans="1:16" x14ac:dyDescent="0.2">
      <c r="A102" s="7"/>
      <c r="B102" s="14"/>
      <c r="C102" s="15"/>
      <c r="D102" s="15"/>
      <c r="E102" s="10" t="str">
        <f>IF($D102="","",IFERROR(IF(ISNUMBER(FIND("[",$D102)),MID($D102,FIND("[",$D102)+1,FIND("]",$D102)-FIND("[",$D102)-1),IF(ISNUMBER($D102),INDEX(Personnes!$B$5:$B$154,MATCH($D102,Personnes!$A$5:$A$154,0)),IFERROR(INDEX(Personnes!$B$5:$B$154,MATCH($D102&amp;"*",Personnes!$C$5:$C$154,0)),INDEX(Personnes!$B$5:$B$154,MATCH($D102&amp;"*",Personnes!$D$5:$D$154,0))))),""))</f>
        <v/>
      </c>
      <c r="F102" s="10" t="str">
        <f>IFERROR(INDEX(Personnes!$C$5:$C$154,MATCH($E102,Personnes!$B$5:$B$154,0))&amp;"","")</f>
        <v/>
      </c>
      <c r="G102" s="10" t="str">
        <f>IFERROR(INDEX(Personnes!$D$5:$D$154,MATCH($E102,Personnes!$B$5:$B$154,0))&amp;"","")</f>
        <v/>
      </c>
      <c r="H102" s="15"/>
      <c r="I102" s="15"/>
      <c r="J102" s="9"/>
      <c r="K102" s="9"/>
      <c r="L102" s="15"/>
      <c r="M102" s="10" t="str">
        <f>IF($L102="","",IFERROR(IF(ISNUMBER(FIND("[",$L102)),MID($L102,FIND("[",$L102)+1,FIND("]",$L102)-FIND("[",$L102)-1),IF(ISNUMBER($L102),INDEX(Personnes!$B$5:$B$154,MATCH($L102,Personnes!$A$5:$A$154,0)),IFERROR(INDEX(Personnes!$B$5:$B$154,MATCH($L102&amp;"*",Personnes!$C$5:$C$154,0)),INDEX(Personnes!$B$5:$B$154,MATCH($L102&amp;"*",Personnes!$D$5:$D$154,0))))),""))</f>
        <v/>
      </c>
      <c r="N102" s="10" t="str">
        <f>IFERROR(INDEX(Personnes!$C$5:$C$154,MATCH($M102,Personnes!$B$5:$B$154,0))&amp;"","")</f>
        <v/>
      </c>
      <c r="O102" s="10" t="str">
        <f>IFERROR(INDEX(Personnes!$D$5:$D$154,MATCH($M102,Personnes!$B$5:$B$154,0))&amp;"","")</f>
        <v/>
      </c>
      <c r="P102" s="10" t="str">
        <f t="shared" si="2"/>
        <v/>
      </c>
    </row>
    <row r="103" spans="1:16" x14ac:dyDescent="0.2">
      <c r="A103" s="7"/>
      <c r="B103" s="14"/>
      <c r="C103" s="15"/>
      <c r="D103" s="15"/>
      <c r="E103" s="10" t="str">
        <f>IF($D103="","",IFERROR(IF(ISNUMBER(FIND("[",$D103)),MID($D103,FIND("[",$D103)+1,FIND("]",$D103)-FIND("[",$D103)-1),IF(ISNUMBER($D103),INDEX(Personnes!$B$5:$B$154,MATCH($D103,Personnes!$A$5:$A$154,0)),IFERROR(INDEX(Personnes!$B$5:$B$154,MATCH($D103&amp;"*",Personnes!$C$5:$C$154,0)),INDEX(Personnes!$B$5:$B$154,MATCH($D103&amp;"*",Personnes!$D$5:$D$154,0))))),""))</f>
        <v/>
      </c>
      <c r="F103" s="10" t="str">
        <f>IFERROR(INDEX(Personnes!$C$5:$C$154,MATCH($E103,Personnes!$B$5:$B$154,0))&amp;"","")</f>
        <v/>
      </c>
      <c r="G103" s="10" t="str">
        <f>IFERROR(INDEX(Personnes!$D$5:$D$154,MATCH($E103,Personnes!$B$5:$B$154,0))&amp;"","")</f>
        <v/>
      </c>
      <c r="H103" s="15"/>
      <c r="I103" s="15"/>
      <c r="J103" s="9"/>
      <c r="K103" s="9"/>
      <c r="L103" s="15"/>
      <c r="M103" s="10" t="str">
        <f>IF($L103="","",IFERROR(IF(ISNUMBER(FIND("[",$L103)),MID($L103,FIND("[",$L103)+1,FIND("]",$L103)-FIND("[",$L103)-1),IF(ISNUMBER($L103),INDEX(Personnes!$B$5:$B$154,MATCH($L103,Personnes!$A$5:$A$154,0)),IFERROR(INDEX(Personnes!$B$5:$B$154,MATCH($L103&amp;"*",Personnes!$C$5:$C$154,0)),INDEX(Personnes!$B$5:$B$154,MATCH($L103&amp;"*",Personnes!$D$5:$D$154,0))))),""))</f>
        <v/>
      </c>
      <c r="N103" s="10" t="str">
        <f>IFERROR(INDEX(Personnes!$C$5:$C$154,MATCH($M103,Personnes!$B$5:$B$154,0))&amp;"","")</f>
        <v/>
      </c>
      <c r="O103" s="10" t="str">
        <f>IFERROR(INDEX(Personnes!$D$5:$D$154,MATCH($M103,Personnes!$B$5:$B$154,0))&amp;"","")</f>
        <v/>
      </c>
      <c r="P103" s="10" t="str">
        <f t="shared" si="2"/>
        <v/>
      </c>
    </row>
    <row r="104" spans="1:16" x14ac:dyDescent="0.2">
      <c r="A104" s="7"/>
      <c r="B104" s="14"/>
      <c r="C104" s="15"/>
      <c r="D104" s="15"/>
      <c r="E104" s="10" t="str">
        <f>IF($D104="","",IFERROR(IF(ISNUMBER(FIND("[",$D104)),MID($D104,FIND("[",$D104)+1,FIND("]",$D104)-FIND("[",$D104)-1),IF(ISNUMBER($D104),INDEX(Personnes!$B$5:$B$154,MATCH($D104,Personnes!$A$5:$A$154,0)),IFERROR(INDEX(Personnes!$B$5:$B$154,MATCH($D104&amp;"*",Personnes!$C$5:$C$154,0)),INDEX(Personnes!$B$5:$B$154,MATCH($D104&amp;"*",Personnes!$D$5:$D$154,0))))),""))</f>
        <v/>
      </c>
      <c r="F104" s="10" t="str">
        <f>IFERROR(INDEX(Personnes!$C$5:$C$154,MATCH($E104,Personnes!$B$5:$B$154,0))&amp;"","")</f>
        <v/>
      </c>
      <c r="G104" s="10" t="str">
        <f>IFERROR(INDEX(Personnes!$D$5:$D$154,MATCH($E104,Personnes!$B$5:$B$154,0))&amp;"","")</f>
        <v/>
      </c>
      <c r="H104" s="15"/>
      <c r="I104" s="15"/>
      <c r="J104" s="9"/>
      <c r="K104" s="9"/>
      <c r="L104" s="15"/>
      <c r="M104" s="10" t="str">
        <f>IF($L104="","",IFERROR(IF(ISNUMBER(FIND("[",$L104)),MID($L104,FIND("[",$L104)+1,FIND("]",$L104)-FIND("[",$L104)-1),IF(ISNUMBER($L104),INDEX(Personnes!$B$5:$B$154,MATCH($L104,Personnes!$A$5:$A$154,0)),IFERROR(INDEX(Personnes!$B$5:$B$154,MATCH($L104&amp;"*",Personnes!$C$5:$C$154,0)),INDEX(Personnes!$B$5:$B$154,MATCH($L104&amp;"*",Personnes!$D$5:$D$154,0))))),""))</f>
        <v/>
      </c>
      <c r="N104" s="10" t="str">
        <f>IFERROR(INDEX(Personnes!$C$5:$C$154,MATCH($M104,Personnes!$B$5:$B$154,0))&amp;"","")</f>
        <v/>
      </c>
      <c r="O104" s="10" t="str">
        <f>IFERROR(INDEX(Personnes!$D$5:$D$154,MATCH($M104,Personnes!$B$5:$B$154,0))&amp;"","")</f>
        <v/>
      </c>
      <c r="P104" s="10" t="str">
        <f t="shared" si="2"/>
        <v/>
      </c>
    </row>
  </sheetData>
  <dataValidations count="2">
    <dataValidation type="list" allowBlank="1" sqref="H5:H104" xr:uid="{00000000-0002-0000-0900-000002000000}">
      <formula1>"perte de contrôle moteur (PCM),samba,syncope,arrêt de séance,malaise,barotraumatisme,autre"</formula1>
    </dataValidation>
    <dataValidation type="list" allowBlank="1" sqref="I5:I104" xr:uid="{00000000-0002-0000-0900-000003000000}">
      <formula1>"mineur,significatif,grave"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900-000000000000}">
          <x14:formula1>
            <xm:f>Selection!$A$2:$A$151</xm:f>
          </x14:formula1>
          <xm:sqref>D5:D104 L5:L104</xm:sqref>
        </x14:dataValidation>
        <x14:dataValidation type="list" allowBlank="1" xr:uid="{00000000-0002-0000-0900-000004000000}">
          <x14:formula1>
            <xm:f>'Calendrier'!$A$5:$A$48</xm:f>
          </x14:formula1>
          <xm:sqref>C5:C104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5F"/>
  </sheetPr>
  <dimension ref="A1:N5"/>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2" customWidth="1"/>
    <col min="3" max="3" width="20" customWidth="1"/>
    <col min="4" max="4" width="14" customWidth="1"/>
    <col min="5" max="9" width="12" customWidth="1"/>
    <col min="10" max="10" width="18" customWidth="1"/>
    <col min="11" max="11" width="12" customWidth="1"/>
    <col min="12" max="12" width="18" customWidth="1"/>
    <col min="13" max="13" width="14" customWidth="1"/>
    <col min="14" max="14" width="40" customWidth="1"/>
  </cols>
  <sheetData>
    <row r="1" spans="1:14" ht="18" x14ac:dyDescent="0.2">
      <c r="A1" s="4" t="s">
        <v>566</v>
      </c>
    </row>
    <row r="2" spans="1:14" x14ac:dyDescent="0.2">
      <c r="A2" s="5" t="s">
        <v>567</v>
      </c>
    </row>
    <row r="4" spans="1:14" ht="32" customHeight="1" x14ac:dyDescent="0.2">
      <c r="A4" s="6" t="s">
        <v>514</v>
      </c>
      <c r="B4" s="6" t="s">
        <v>515</v>
      </c>
      <c r="C4" s="6" t="s">
        <v>150</v>
      </c>
      <c r="D4" s="6" t="s">
        <v>151</v>
      </c>
      <c r="E4" s="6" t="s">
        <v>493</v>
      </c>
      <c r="F4" s="6" t="s">
        <v>568</v>
      </c>
      <c r="G4" s="6" t="s">
        <v>569</v>
      </c>
      <c r="H4" s="6" t="s">
        <v>570</v>
      </c>
      <c r="I4" s="6" t="s">
        <v>571</v>
      </c>
      <c r="J4" s="6" t="s">
        <v>572</v>
      </c>
      <c r="K4" s="6" t="s">
        <v>573</v>
      </c>
      <c r="L4" s="6" t="s">
        <v>574</v>
      </c>
      <c r="M4" s="6" t="s">
        <v>575</v>
      </c>
      <c r="N4" s="6" t="s">
        <v>152</v>
      </c>
    </row>
    <row r="5" spans="1:14" x14ac:dyDescent="0.2">
      <c r="A5" s="15"/>
      <c r="B5" s="10" t="str">
        <f>IF($A5="","",IFERROR(IF(ISNUMBER(FIND("[",$A5)),MID($A5,FIND("[",$A5)+1,FIND("]",$A5)-FIND("[",$A5)-1),IF(ISNUMBER($A5),INDEX(Personnes!$B$5:$B$154,MATCH($A5,Personnes!$A$5:$A$154,0)),IFERROR(INDEX(Personnes!$B$5:$B$154,MATCH($A5&amp;"*",Personnes!$C$5:$C$154,0)),INDEX(Personnes!$B$5:$B$154,MATCH($A5&amp;"*",Personnes!$D$5:$D$154,0))))),""))</f>
        <v/>
      </c>
      <c r="C5" s="10" t="str">
        <f>IFERROR(INDEX(Personnes!$C$5:$C$154,MATCH($B5,Personnes!$B$5:$B$154,0))&amp;"","")</f>
        <v/>
      </c>
      <c r="D5" s="10" t="str">
        <f>IFERROR(INDEX(Personnes!$D$5:$D$154,MATCH($B5,Personnes!$B$5:$B$154,0))&amp;"","")</f>
        <v/>
      </c>
      <c r="E5" s="14"/>
      <c r="F5" s="7"/>
      <c r="G5" s="7"/>
      <c r="H5" s="7"/>
      <c r="I5" s="7"/>
      <c r="J5" s="15"/>
      <c r="K5" s="10" t="str">
        <f>IF($J5="","",IFERROR(IF(ISNUMBER(FIND("[",$J5)),MID($J5,FIND("[",$J5)+1,FIND("]",$J5)-FIND("[",$J5)-1),IF(ISNUMBER($J5),INDEX(Personnes!$B$5:$B$154,MATCH($J5,Personnes!$A$5:$A$154,0)),IFERROR(INDEX(Personnes!$B$5:$B$154,MATCH($J5&amp;"*",Personnes!$C$5:$C$154,0)),INDEX(Personnes!$B$5:$B$154,MATCH($J5&amp;"*",Personnes!$D$5:$D$154,0))))),""))</f>
        <v/>
      </c>
      <c r="L5" s="10" t="str">
        <f>IFERROR(INDEX(Personnes!$C$5:$C$154,MATCH($K5,Personnes!$B$5:$B$154,0))&amp;"","")</f>
        <v/>
      </c>
      <c r="M5" s="10" t="str">
        <f>IFERROR(INDEX(Personnes!$D$5:$D$154,MATCH($K5,Personnes!$B$5:$B$154,0))&amp;"","")</f>
        <v/>
      </c>
      <c r="N5" s="9"/>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A00-000000000000}">
          <x14:formula1>
            <xm:f>Selection!$A$2:$A$151</xm:f>
          </x14:formula1>
          <xm:sqref>A5 J5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5F"/>
  </sheetPr>
  <dimension ref="A1:D37"/>
  <sheetViews>
    <sheetView workbookViewId="0"/>
  </sheetViews>
  <sheetFormatPr baseColWidth="10" defaultColWidth="8.83203125" defaultRowHeight="15" x14ac:dyDescent="0.2"/>
  <cols>
    <col min="1" max="1" width="46" customWidth="1"/>
    <col min="2" max="4" width="15" customWidth="1"/>
  </cols>
  <sheetData>
    <row r="1" spans="1:4" ht="18" x14ac:dyDescent="0.2">
      <c r="A1" s="4" t="s">
        <v>576</v>
      </c>
    </row>
    <row r="2" spans="1:4" x14ac:dyDescent="0.2">
      <c r="A2" s="5" t="s">
        <v>577</v>
      </c>
    </row>
    <row r="4" spans="1:4" ht="32" customHeight="1" x14ac:dyDescent="0.2">
      <c r="A4" s="6" t="s">
        <v>578</v>
      </c>
      <c r="B4" s="6" t="s">
        <v>33</v>
      </c>
      <c r="C4" s="6"/>
      <c r="D4" s="6"/>
    </row>
    <row r="5" spans="1:4" x14ac:dyDescent="0.2">
      <c r="A5" s="9" t="s">
        <v>161</v>
      </c>
      <c r="B5" s="10">
        <f>COUNTIF('Calendrier'!$I$5:$I$5,"tenue")</f>
        <v>0</v>
      </c>
    </row>
    <row r="6" spans="1:4" x14ac:dyDescent="0.2">
      <c r="A6" s="9" t="s">
        <v>579</v>
      </c>
      <c r="B6" s="10">
        <f>COUNTIF('Calendrier'!$I$5:$I$5,"planifiée")</f>
        <v>1</v>
      </c>
    </row>
    <row r="7" spans="1:4" x14ac:dyDescent="0.2">
      <c r="A7" s="9" t="s">
        <v>580</v>
      </c>
      <c r="B7" s="10">
        <f>COUNTIF('Calendrier'!$I$5:$I$5,"annulée")+COUNTIF('Calendrier'!$I$5:$I$5,"fermée")</f>
        <v>0</v>
      </c>
    </row>
    <row r="8" spans="1:4" x14ac:dyDescent="0.2">
      <c r="A8" s="9" t="s">
        <v>581</v>
      </c>
      <c r="B8" s="10">
        <f>COUNTIF('Calendrier'!$U$5:$U$5,"couverture incomplète")</f>
        <v>0</v>
      </c>
    </row>
    <row r="9" spans="1:4" x14ac:dyDescent="0.2">
      <c r="A9" s="9" t="s">
        <v>582</v>
      </c>
      <c r="B9" s="23" t="str">
        <f>IFERROR(AVERAGEIFS('Calendrier'!$T$5:$T$5,'Calendrier'!$I$5:$I$5,"tenue"),"")</f>
        <v/>
      </c>
    </row>
    <row r="10" spans="1:4" x14ac:dyDescent="0.2">
      <c r="A10" s="9" t="s">
        <v>583</v>
      </c>
      <c r="B10" s="23">
        <f>IFERROR(_xlfn.MINIFS('Calendrier'!$T$5:$T$5,'Calendrier'!$I$5:$I$5,"tenue"),"")</f>
        <v>0</v>
      </c>
    </row>
    <row r="11" spans="1:4" x14ac:dyDescent="0.2">
      <c r="A11" s="9" t="s">
        <v>584</v>
      </c>
      <c r="B11" s="23">
        <f>IFERROR(_xlfn.MAXIFS('Calendrier'!$T$5:$T$5,'Calendrier'!$I$5:$I$5,"tenue"),"")</f>
        <v>0</v>
      </c>
    </row>
    <row r="13" spans="1:4" ht="16" x14ac:dyDescent="0.2">
      <c r="A13" s="2" t="s">
        <v>585</v>
      </c>
    </row>
    <row r="14" spans="1:4" x14ac:dyDescent="0.2">
      <c r="A14" s="24" t="s">
        <v>130</v>
      </c>
      <c r="B14" s="24" t="s">
        <v>161</v>
      </c>
      <c r="C14" s="24" t="s">
        <v>586</v>
      </c>
    </row>
    <row r="15" spans="1:4" x14ac:dyDescent="0.2">
      <c r="A15" s="7" t="s">
        <v>587</v>
      </c>
      <c r="B15" s="10">
        <f>COUNTIFS('Calendrier'!$C$5:$C$5,$A15,'Calendrier'!$I$5:$I$5,"tenue")</f>
        <v>0</v>
      </c>
      <c r="C15" s="23" t="str">
        <f>IFERROR(AVERAGEIFS('Calendrier'!$T$5:$T$5,'Calendrier'!$C$5:$C$5,$A15,'Calendrier'!$I$5:$I$5,"tenue"),"")</f>
        <v/>
      </c>
    </row>
    <row r="16" spans="1:4" x14ac:dyDescent="0.2">
      <c r="A16" s="7" t="s">
        <v>588</v>
      </c>
      <c r="B16" s="10">
        <f>COUNTIFS('Calendrier'!$C$5:$C$5,$A16,'Calendrier'!$I$5:$I$5,"tenue")</f>
        <v>0</v>
      </c>
      <c r="C16" s="23" t="str">
        <f>IFERROR(AVERAGEIFS('Calendrier'!$T$5:$T$5,'Calendrier'!$C$5:$C$5,$A16,'Calendrier'!$I$5:$I$5,"tenue"),"")</f>
        <v/>
      </c>
    </row>
    <row r="17" spans="1:4" x14ac:dyDescent="0.2">
      <c r="A17" s="7" t="s">
        <v>589</v>
      </c>
      <c r="B17" s="10">
        <f>COUNTIFS('Calendrier'!$C$5:$C$5,$A17,'Calendrier'!$I$5:$I$5,"tenue")</f>
        <v>0</v>
      </c>
      <c r="C17" s="23" t="str">
        <f>IFERROR(AVERAGEIFS('Calendrier'!$T$5:$T$5,'Calendrier'!$C$5:$C$5,$A17,'Calendrier'!$I$5:$I$5,"tenue"),"")</f>
        <v/>
      </c>
    </row>
    <row r="18" spans="1:4" x14ac:dyDescent="0.2">
      <c r="A18" s="7" t="s">
        <v>590</v>
      </c>
      <c r="B18" s="10">
        <f>COUNTIFS('Calendrier'!$C$5:$C$5,$A18,'Calendrier'!$I$5:$I$5,"tenue")</f>
        <v>0</v>
      </c>
      <c r="C18" s="23" t="str">
        <f>IFERROR(AVERAGEIFS('Calendrier'!$T$5:$T$5,'Calendrier'!$C$5:$C$5,$A18,'Calendrier'!$I$5:$I$5,"tenue"),"")</f>
        <v/>
      </c>
    </row>
    <row r="19" spans="1:4" x14ac:dyDescent="0.2">
      <c r="A19" s="7" t="s">
        <v>591</v>
      </c>
      <c r="B19" s="10">
        <f>COUNTIFS('Calendrier'!$C$5:$C$5,$A19,'Calendrier'!$I$5:$I$5,"tenue")</f>
        <v>0</v>
      </c>
      <c r="C19" s="23" t="str">
        <f>IFERROR(AVERAGEIFS('Calendrier'!$T$5:$T$5,'Calendrier'!$C$5:$C$5,$A19,'Calendrier'!$I$5:$I$5,"tenue"),"")</f>
        <v/>
      </c>
    </row>
    <row r="20" spans="1:4" x14ac:dyDescent="0.2">
      <c r="A20" s="7" t="s">
        <v>140</v>
      </c>
      <c r="B20" s="10">
        <f>COUNTIFS('Calendrier'!$C$5:$C$5,$A20,'Calendrier'!$I$5:$I$5,"tenue")</f>
        <v>0</v>
      </c>
      <c r="C20" s="23" t="str">
        <f>IFERROR(AVERAGEIFS('Calendrier'!$T$5:$T$5,'Calendrier'!$C$5:$C$5,$A20,'Calendrier'!$I$5:$I$5,"tenue"),"")</f>
        <v/>
      </c>
    </row>
    <row r="21" spans="1:4" x14ac:dyDescent="0.2">
      <c r="A21" s="7" t="s">
        <v>592</v>
      </c>
      <c r="B21" s="10">
        <f>COUNTIFS('Calendrier'!$C$5:$C$5,$A21,'Calendrier'!$I$5:$I$5,"tenue")</f>
        <v>0</v>
      </c>
      <c r="C21" s="23" t="str">
        <f>IFERROR(AVERAGEIFS('Calendrier'!$T$5:$T$5,'Calendrier'!$C$5:$C$5,$A21,'Calendrier'!$I$5:$I$5,"tenue"),"")</f>
        <v/>
      </c>
    </row>
    <row r="23" spans="1:4" ht="16" x14ac:dyDescent="0.2">
      <c r="A23" s="2" t="s">
        <v>593</v>
      </c>
    </row>
    <row r="24" spans="1:4" ht="28" x14ac:dyDescent="0.2">
      <c r="A24" s="6" t="s">
        <v>594</v>
      </c>
      <c r="B24" s="6" t="s">
        <v>595</v>
      </c>
      <c r="C24" s="6" t="s">
        <v>596</v>
      </c>
      <c r="D24" s="6" t="s">
        <v>597</v>
      </c>
    </row>
    <row r="25" spans="1:4" x14ac:dyDescent="0.2">
      <c r="A25" s="9" t="s">
        <v>73</v>
      </c>
      <c r="B25" s="10">
        <f>COUNTIF(Suivi_Objectifs!$F$8:$F$107,1)</f>
        <v>0</v>
      </c>
      <c r="C25" s="10">
        <f>COUNTIFS(Suivi_Objectifs!$F$8:$F$107,"&gt;0",Suivi_Objectifs!$F$8:$F$107,"&lt;1")</f>
        <v>0</v>
      </c>
      <c r="D25" s="13">
        <f>IFERROR($B25/COUNTIF(Personnes!$H$5:$H$154,"oui"),"")</f>
        <v>0</v>
      </c>
    </row>
    <row r="26" spans="1:4" x14ac:dyDescent="0.2">
      <c r="A26" s="9" t="s">
        <v>77</v>
      </c>
      <c r="B26" s="10">
        <f>COUNTIF(Suivi_Objectifs!$H$8:$H$107,1)</f>
        <v>0</v>
      </c>
      <c r="C26" s="10">
        <f>COUNTIFS(Suivi_Objectifs!$H$8:$H$107,"&gt;0",Suivi_Objectifs!$H$8:$H$107,"&lt;1")</f>
        <v>0</v>
      </c>
      <c r="D26" s="13">
        <f>IFERROR($B26/COUNTIF(Personnes!$H$5:$H$154,"oui"),"")</f>
        <v>0</v>
      </c>
    </row>
    <row r="27" spans="1:4" x14ac:dyDescent="0.2">
      <c r="A27" s="9" t="s">
        <v>80</v>
      </c>
      <c r="B27" s="10">
        <f>COUNTIF(Suivi_Objectifs!$J$8:$J$107,1)</f>
        <v>0</v>
      </c>
      <c r="C27" s="10">
        <f>COUNTIFS(Suivi_Objectifs!$J$8:$J$107,"&gt;0",Suivi_Objectifs!$J$8:$J$107,"&lt;1")</f>
        <v>0</v>
      </c>
      <c r="D27" s="13">
        <f>IFERROR($B27/COUNTIF(Personnes!$H$5:$H$154,"oui"),"")</f>
        <v>0</v>
      </c>
    </row>
    <row r="28" spans="1:4" x14ac:dyDescent="0.2">
      <c r="A28" s="9" t="s">
        <v>83</v>
      </c>
      <c r="B28" s="10">
        <f>COUNTIF(Suivi_Objectifs!$L$8:$L$107,1)</f>
        <v>0</v>
      </c>
      <c r="C28" s="10">
        <f>COUNTIFS(Suivi_Objectifs!$L$8:$L$107,"&gt;0",Suivi_Objectifs!$L$8:$L$107,"&lt;1")</f>
        <v>0</v>
      </c>
      <c r="D28" s="13">
        <f>IFERROR($B28/COUNTIF(Personnes!$H$5:$H$154,"oui"),"")</f>
        <v>0</v>
      </c>
    </row>
    <row r="29" spans="1:4" x14ac:dyDescent="0.2">
      <c r="A29" s="9" t="s">
        <v>86</v>
      </c>
      <c r="B29" s="10">
        <f>COUNTIF(Suivi_Objectifs!$N$8:$N$107,1)</f>
        <v>0</v>
      </c>
      <c r="C29" s="10">
        <f>COUNTIFS(Suivi_Objectifs!$N$8:$N$107,"&gt;0",Suivi_Objectifs!$N$8:$N$107,"&lt;1")</f>
        <v>0</v>
      </c>
      <c r="D29" s="13">
        <f>IFERROR($B29/COUNTIF(Personnes!$H$5:$H$154,"oui"),"")</f>
        <v>0</v>
      </c>
    </row>
    <row r="31" spans="1:4" ht="16" x14ac:dyDescent="0.2">
      <c r="A31" s="2" t="s">
        <v>598</v>
      </c>
    </row>
    <row r="32" spans="1:4" x14ac:dyDescent="0.2">
      <c r="A32" s="9" t="s">
        <v>599</v>
      </c>
      <c r="B32" s="10">
        <f>COUNTIF(Personnes!$H$5:$H$154,"oui")</f>
        <v>13</v>
      </c>
    </row>
    <row r="33" spans="1:2" x14ac:dyDescent="0.2">
      <c r="A33" s="9" t="s">
        <v>600</v>
      </c>
      <c r="B33" s="10">
        <f>SUMPRODUCT(--(Presences!$C$5:$C$504&lt;&gt;""))</f>
        <v>0</v>
      </c>
    </row>
    <row r="34" spans="1:2" x14ac:dyDescent="0.2">
      <c r="A34" s="9" t="s">
        <v>601</v>
      </c>
      <c r="B34" s="10">
        <f>SUMPRODUCT((Presences!$C$5:$C$504&lt;&gt;"")*(Presences!$H$5:$H$504&lt;&gt;"ok"))</f>
        <v>0</v>
      </c>
    </row>
    <row r="35" spans="1:2" x14ac:dyDescent="0.2">
      <c r="A35" s="9" t="s">
        <v>602</v>
      </c>
      <c r="B35" s="10">
        <f>COUNTIF(Presences!$H$5:$H$504,"invité (hors ligne)")</f>
        <v>0</v>
      </c>
    </row>
    <row r="36" spans="1:2" x14ac:dyDescent="0.2">
      <c r="A36" s="9" t="s">
        <v>603</v>
      </c>
      <c r="B36" s="10">
        <f>SUMPRODUCT(--(Evenements_Securite!$E$5:$E$104&lt;&gt;""))</f>
        <v>0</v>
      </c>
    </row>
    <row r="37" spans="1:2" x14ac:dyDescent="0.2">
      <c r="A37" s="9" t="s">
        <v>604</v>
      </c>
      <c r="B37" s="10">
        <f>COUNTIF(Evenements_Securite!$I$5:$I$104,"grave")</f>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6A6A6"/>
  </sheetPr>
  <dimension ref="A1:A151"/>
  <sheetViews>
    <sheetView workbookViewId="0">
      <pane ySplit="1" topLeftCell="A2" activePane="bottomLeft" state="frozen"/>
      <selection pane="bottomLeft"/>
    </sheetView>
  </sheetViews>
  <sheetFormatPr baseColWidth="10" defaultColWidth="8.83203125" defaultRowHeight="15" x14ac:dyDescent="0.2"/>
  <cols>
    <col min="1" max="1" width="40" customWidth="1"/>
  </cols>
  <sheetData>
    <row r="1" spans="1:1" x14ac:dyDescent="0.2">
      <c r="A1" s="24" t="s">
        <v>605</v>
      </c>
    </row>
    <row r="2" spans="1:1" x14ac:dyDescent="0.2">
      <c r="A2" s="10" t="str">
        <f>IFERROR(INDEX(Personnes!$N$5:$N$154,MATCH(1,Personnes!$O$5:$O$154,0)),"")</f>
        <v>Achour BACHA [P053]</v>
      </c>
    </row>
    <row r="3" spans="1:1" x14ac:dyDescent="0.2">
      <c r="A3" s="10" t="str">
        <f>IFERROR(INDEX(Personnes!$N$5:$N$154,MATCH(2,Personnes!$O$5:$O$154,0)),"")</f>
        <v>Agnieszka FIHEL [P072]</v>
      </c>
    </row>
    <row r="4" spans="1:1" x14ac:dyDescent="0.2">
      <c r="A4" s="10" t="str">
        <f>IFERROR(INDEX(Personnes!$N$5:$N$154,MATCH(3,Personnes!$O$5:$O$154,0)),"")</f>
        <v>Alain PASCAL [P044]</v>
      </c>
    </row>
    <row r="5" spans="1:1" x14ac:dyDescent="0.2">
      <c r="A5" s="10" t="str">
        <f>IFERROR(INDEX(Personnes!$N$5:$N$154,MATCH(4,Personnes!$O$5:$O$154,0)),"")</f>
        <v>Alain DEPRETZ [P086]</v>
      </c>
    </row>
    <row r="6" spans="1:1" x14ac:dyDescent="0.2">
      <c r="A6" s="10" t="str">
        <f>IFERROR(INDEX(Personnes!$N$5:$N$154,MATCH(5,Personnes!$O$5:$O$154,0)),"")</f>
        <v>Alain FIOR [P088]</v>
      </c>
    </row>
    <row r="7" spans="1:1" x14ac:dyDescent="0.2">
      <c r="A7" s="10" t="str">
        <f>IFERROR(INDEX(Personnes!$N$5:$N$154,MATCH(6,Personnes!$O$5:$O$154,0)),"")</f>
        <v>Alain GUEVEL [P001]</v>
      </c>
    </row>
    <row r="8" spans="1:1" x14ac:dyDescent="0.2">
      <c r="A8" s="10" t="str">
        <f>IFERROR(INDEX(Personnes!$N$5:$N$154,MATCH(7,Personnes!$O$5:$O$154,0)),"")</f>
        <v>Anthony GUGLIELMO [P040]</v>
      </c>
    </row>
    <row r="9" spans="1:1" x14ac:dyDescent="0.2">
      <c r="A9" s="10" t="str">
        <f>IFERROR(INDEX(Personnes!$N$5:$N$154,MATCH(8,Personnes!$O$5:$O$154,0)),"")</f>
        <v>Antoine COLIN DE VERDIERE [P057]</v>
      </c>
    </row>
    <row r="10" spans="1:1" x14ac:dyDescent="0.2">
      <c r="A10" s="10" t="str">
        <f>IFERROR(INDEX(Personnes!$N$5:$N$154,MATCH(9,Personnes!$O$5:$O$154,0)),"")</f>
        <v>Antonin DESMERGES [P002]</v>
      </c>
    </row>
    <row r="11" spans="1:1" x14ac:dyDescent="0.2">
      <c r="A11" s="10" t="str">
        <f>IFERROR(INDEX(Personnes!$N$5:$N$154,MATCH(10,Personnes!$O$5:$O$154,0)),"")</f>
        <v>Arnaud DE LA BRETESCHE [P085]</v>
      </c>
    </row>
    <row r="12" spans="1:1" x14ac:dyDescent="0.2">
      <c r="A12" s="10" t="str">
        <f>IFERROR(INDEX(Personnes!$N$5:$N$154,MATCH(11,Personnes!$O$5:$O$154,0)),"")</f>
        <v>Aude GUIBOURT [P073]</v>
      </c>
    </row>
    <row r="13" spans="1:1" x14ac:dyDescent="0.2">
      <c r="A13" s="10" t="str">
        <f>IFERROR(INDEX(Personnes!$N$5:$N$154,MATCH(12,Personnes!$O$5:$O$154,0)),"")</f>
        <v>Aurelien BARBIER [P003]</v>
      </c>
    </row>
    <row r="14" spans="1:1" x14ac:dyDescent="0.2">
      <c r="A14" s="10" t="str">
        <f>IFERROR(INDEX(Personnes!$N$5:$N$154,MATCH(13,Personnes!$O$5:$O$154,0)),"")</f>
        <v>Aurélien DEVILLIERS [P070]</v>
      </c>
    </row>
    <row r="15" spans="1:1" x14ac:dyDescent="0.2">
      <c r="A15" s="10" t="str">
        <f>IFERROR(INDEX(Personnes!$N$5:$N$154,MATCH(14,Personnes!$O$5:$O$154,0)),"")</f>
        <v>Béatrice GOUSSARD [P004]</v>
      </c>
    </row>
    <row r="16" spans="1:1" x14ac:dyDescent="0.2">
      <c r="A16" s="10" t="str">
        <f>IFERROR(INDEX(Personnes!$N$5:$N$154,MATCH(15,Personnes!$O$5:$O$154,0)),"")</f>
        <v>Benjamin FRASCA [P005]</v>
      </c>
    </row>
    <row r="17" spans="1:1" x14ac:dyDescent="0.2">
      <c r="A17" s="10" t="str">
        <f>IFERROR(INDEX(Personnes!$N$5:$N$154,MATCH(16,Personnes!$O$5:$O$154,0)),"")</f>
        <v>Beverly BRIAULT [P080]</v>
      </c>
    </row>
    <row r="18" spans="1:1" x14ac:dyDescent="0.2">
      <c r="A18" s="10" t="str">
        <f>IFERROR(INDEX(Personnes!$N$5:$N$154,MATCH(17,Personnes!$O$5:$O$154,0)),"")</f>
        <v>Bruno BOUGEROL [P060]</v>
      </c>
    </row>
    <row r="19" spans="1:1" x14ac:dyDescent="0.2">
      <c r="A19" s="10" t="str">
        <f>IFERROR(INDEX(Personnes!$N$5:$N$154,MATCH(18,Personnes!$O$5:$O$154,0)),"")</f>
        <v>Caroline COLIN DE VERDIERE [P006]</v>
      </c>
    </row>
    <row r="20" spans="1:1" x14ac:dyDescent="0.2">
      <c r="A20" s="10" t="str">
        <f>IFERROR(INDEX(Personnes!$N$5:$N$154,MATCH(19,Personnes!$O$5:$O$154,0)),"")</f>
        <v>Céline DUMONT [P043]</v>
      </c>
    </row>
    <row r="21" spans="1:1" x14ac:dyDescent="0.2">
      <c r="A21" s="10" t="str">
        <f>IFERROR(INDEX(Personnes!$N$5:$N$154,MATCH(20,Personnes!$O$5:$O$154,0)),"")</f>
        <v>Céline DUBUISSON [P087]</v>
      </c>
    </row>
    <row r="22" spans="1:1" x14ac:dyDescent="0.2">
      <c r="A22" s="10" t="str">
        <f>IFERROR(INDEX(Personnes!$N$5:$N$154,MATCH(21,Personnes!$O$5:$O$154,0)),"")</f>
        <v>Charline DANSEUX [P007]</v>
      </c>
    </row>
    <row r="23" spans="1:1" x14ac:dyDescent="0.2">
      <c r="A23" s="10" t="str">
        <f>IFERROR(INDEX(Personnes!$N$5:$N$154,MATCH(22,Personnes!$O$5:$O$154,0)),"")</f>
        <v>Christophe BIZON [P079]</v>
      </c>
    </row>
    <row r="24" spans="1:1" x14ac:dyDescent="0.2">
      <c r="A24" s="10" t="str">
        <f>IFERROR(INDEX(Personnes!$N$5:$N$154,MATCH(23,Personnes!$O$5:$O$154,0)),"")</f>
        <v>Christophe CHABERNAUD [P097]</v>
      </c>
    </row>
    <row r="25" spans="1:1" x14ac:dyDescent="0.2">
      <c r="A25" s="10" t="str">
        <f>IFERROR(INDEX(Personnes!$N$5:$N$154,MATCH(24,Personnes!$O$5:$O$154,0)),"")</f>
        <v>Corinne LE BRIGAND [P052]</v>
      </c>
    </row>
    <row r="26" spans="1:1" x14ac:dyDescent="0.2">
      <c r="A26" s="10" t="str">
        <f>IFERROR(INDEX(Personnes!$N$5:$N$154,MATCH(25,Personnes!$O$5:$O$154,0)),"")</f>
        <v>Cyril LABROSSE [P008]</v>
      </c>
    </row>
    <row r="27" spans="1:1" x14ac:dyDescent="0.2">
      <c r="A27" s="10" t="str">
        <f>IFERROR(INDEX(Personnes!$N$5:$N$154,MATCH(26,Personnes!$O$5:$O$154,0)),"")</f>
        <v>Cyrille HANNOU [P009]</v>
      </c>
    </row>
    <row r="28" spans="1:1" x14ac:dyDescent="0.2">
      <c r="A28" s="10" t="str">
        <f>IFERROR(INDEX(Personnes!$N$5:$N$154,MATCH(27,Personnes!$O$5:$O$154,0)),"")</f>
        <v>Danny SEGUI [P045]</v>
      </c>
    </row>
    <row r="29" spans="1:1" x14ac:dyDescent="0.2">
      <c r="A29" s="10" t="str">
        <f>IFERROR(INDEX(Personnes!$N$5:$N$154,MATCH(28,Personnes!$O$5:$O$154,0)),"")</f>
        <v>Danny SEGUI [P045]</v>
      </c>
    </row>
    <row r="30" spans="1:1" x14ac:dyDescent="0.2">
      <c r="A30" s="10" t="str">
        <f>IFERROR(INDEX(Personnes!$N$5:$N$154,MATCH(29,Personnes!$O$5:$O$154,0)),"")</f>
        <v>David INSERGUET [P042]</v>
      </c>
    </row>
    <row r="31" spans="1:1" x14ac:dyDescent="0.2">
      <c r="A31" s="10" t="str">
        <f>IFERROR(INDEX(Personnes!$N$5:$N$154,MATCH(30,Personnes!$O$5:$O$154,0)),"")</f>
        <v>Dominique BEAUVALLET [P030]</v>
      </c>
    </row>
    <row r="32" spans="1:1" x14ac:dyDescent="0.2">
      <c r="A32" s="10" t="str">
        <f>IFERROR(INDEX(Personnes!$N$5:$N$154,MATCH(31,Personnes!$O$5:$O$154,0)),"")</f>
        <v>Edward LICHTNER [P010]</v>
      </c>
    </row>
    <row r="33" spans="1:1" x14ac:dyDescent="0.2">
      <c r="A33" s="10" t="str">
        <f>IFERROR(INDEX(Personnes!$N$5:$N$154,MATCH(32,Personnes!$O$5:$O$154,0)),"")</f>
        <v>Eric VENOT [P062]</v>
      </c>
    </row>
    <row r="34" spans="1:1" x14ac:dyDescent="0.2">
      <c r="A34" s="10" t="str">
        <f>IFERROR(INDEX(Personnes!$N$5:$N$154,MATCH(33,Personnes!$O$5:$O$154,0)),"")</f>
        <v>Etienne COLIN DE VERDIERE [P011]</v>
      </c>
    </row>
    <row r="35" spans="1:1" x14ac:dyDescent="0.2">
      <c r="A35" s="10" t="str">
        <f>IFERROR(INDEX(Personnes!$N$5:$N$154,MATCH(34,Personnes!$O$5:$O$154,0)),"")</f>
        <v>Etienne LACOUR [P012]</v>
      </c>
    </row>
    <row r="36" spans="1:1" x14ac:dyDescent="0.2">
      <c r="A36" s="10" t="str">
        <f>IFERROR(INDEX(Personnes!$N$5:$N$154,MATCH(35,Personnes!$O$5:$O$154,0)),"")</f>
        <v>Francis WANG [P013]</v>
      </c>
    </row>
    <row r="37" spans="1:1" x14ac:dyDescent="0.2">
      <c r="A37" s="10" t="str">
        <f>IFERROR(INDEX(Personnes!$N$5:$N$154,MATCH(36,Personnes!$O$5:$O$154,0)),"")</f>
        <v>Franco CODAZZO [P082]</v>
      </c>
    </row>
    <row r="38" spans="1:1" x14ac:dyDescent="0.2">
      <c r="A38" s="10" t="str">
        <f>IFERROR(INDEX(Personnes!$N$5:$N$154,MATCH(37,Personnes!$O$5:$O$154,0)),"")</f>
        <v>François MEMHELD [P033]</v>
      </c>
    </row>
    <row r="39" spans="1:1" x14ac:dyDescent="0.2">
      <c r="A39" s="10" t="str">
        <f>IFERROR(INDEX(Personnes!$N$5:$N$154,MATCH(38,Personnes!$O$5:$O$154,0)),"")</f>
        <v>Fred LE BRIGAND [P037]</v>
      </c>
    </row>
    <row r="40" spans="1:1" x14ac:dyDescent="0.2">
      <c r="A40" s="10" t="str">
        <f>IFERROR(INDEX(Personnes!$N$5:$N$154,MATCH(39,Personnes!$O$5:$O$154,0)),"")</f>
        <v>Gabrielle BEYL [P035]</v>
      </c>
    </row>
    <row r="41" spans="1:1" x14ac:dyDescent="0.2">
      <c r="A41" s="10" t="str">
        <f>IFERROR(INDEX(Personnes!$N$5:$N$154,MATCH(40,Personnes!$O$5:$O$154,0)),"")</f>
        <v>Gérald LELARGE [P050]</v>
      </c>
    </row>
    <row r="42" spans="1:1" x14ac:dyDescent="0.2">
      <c r="A42" s="10" t="str">
        <f>IFERROR(INDEX(Personnes!$N$5:$N$154,MATCH(41,Personnes!$O$5:$O$154,0)),"")</f>
        <v>Guillaume BOULANT [P049]</v>
      </c>
    </row>
    <row r="43" spans="1:1" x14ac:dyDescent="0.2">
      <c r="A43" s="10" t="str">
        <f>IFERROR(INDEX(Personnes!$N$5:$N$154,MATCH(42,Personnes!$O$5:$O$154,0)),"")</f>
        <v>Hélène LABAYE [P014]</v>
      </c>
    </row>
    <row r="44" spans="1:1" x14ac:dyDescent="0.2">
      <c r="A44" s="10" t="str">
        <f>IFERROR(INDEX(Personnes!$N$5:$N$154,MATCH(43,Personnes!$O$5:$O$154,0)),"")</f>
        <v>Hervé MEMAIN [P054]</v>
      </c>
    </row>
    <row r="45" spans="1:1" x14ac:dyDescent="0.2">
      <c r="A45" s="10" t="str">
        <f>IFERROR(INDEX(Personnes!$N$5:$N$154,MATCH(44,Personnes!$O$5:$O$154,0)),"")</f>
        <v>Isabelle NIGEN [P092]</v>
      </c>
    </row>
    <row r="46" spans="1:1" x14ac:dyDescent="0.2">
      <c r="A46" s="10" t="str">
        <f>IFERROR(INDEX(Personnes!$N$5:$N$154,MATCH(45,Personnes!$O$5:$O$154,0)),"")</f>
        <v>Jean-François GOUDOU [P015]</v>
      </c>
    </row>
    <row r="47" spans="1:1" x14ac:dyDescent="0.2">
      <c r="A47" s="10" t="str">
        <f>IFERROR(INDEX(Personnes!$N$5:$N$154,MATCH(46,Personnes!$O$5:$O$154,0)),"")</f>
        <v>Jérémy PEINADO [P016]</v>
      </c>
    </row>
    <row r="48" spans="1:1" x14ac:dyDescent="0.2">
      <c r="A48" s="10" t="str">
        <f>IFERROR(INDEX(Personnes!$N$5:$N$154,MATCH(47,Personnes!$O$5:$O$154,0)),"")</f>
        <v>Jérôme DUVAL [P071]</v>
      </c>
    </row>
    <row r="49" spans="1:1" x14ac:dyDescent="0.2">
      <c r="A49" s="10" t="str">
        <f>IFERROR(INDEX(Personnes!$N$5:$N$154,MATCH(48,Personnes!$O$5:$O$154,0)),"")</f>
        <v>Jérôme LEFEBVRE [P017]</v>
      </c>
    </row>
    <row r="50" spans="1:1" x14ac:dyDescent="0.2">
      <c r="A50" s="10" t="str">
        <f>IFERROR(INDEX(Personnes!$N$5:$N$154,MATCH(49,Personnes!$O$5:$O$154,0)),"")</f>
        <v>Jérôme MADE [P018]</v>
      </c>
    </row>
    <row r="51" spans="1:1" x14ac:dyDescent="0.2">
      <c r="A51" s="10" t="str">
        <f>IFERROR(INDEX(Personnes!$N$5:$N$154,MATCH(50,Personnes!$O$5:$O$154,0)),"")</f>
        <v>Karim NOURA [P103]</v>
      </c>
    </row>
    <row r="52" spans="1:1" x14ac:dyDescent="0.2">
      <c r="A52" s="10" t="str">
        <f>IFERROR(INDEX(Personnes!$N$5:$N$154,MATCH(51,Personnes!$O$5:$O$154,0)),"")</f>
        <v>Katarina STANKIEWICZ [P047]</v>
      </c>
    </row>
    <row r="53" spans="1:1" x14ac:dyDescent="0.2">
      <c r="A53" s="10" t="str">
        <f>IFERROR(INDEX(Personnes!$N$5:$N$154,MATCH(52,Personnes!$O$5:$O$154,0)),"")</f>
        <v>Kévin MASGRAU [P091]</v>
      </c>
    </row>
    <row r="54" spans="1:1" x14ac:dyDescent="0.2">
      <c r="A54" s="10" t="str">
        <f>IFERROR(INDEX(Personnes!$N$5:$N$154,MATCH(53,Personnes!$O$5:$O$154,0)),"")</f>
        <v>Larbi MAALAOUI [P058]</v>
      </c>
    </row>
    <row r="55" spans="1:1" x14ac:dyDescent="0.2">
      <c r="A55" s="10" t="str">
        <f>IFERROR(INDEX(Personnes!$N$5:$N$154,MATCH(54,Personnes!$O$5:$O$154,0)),"")</f>
        <v>Laurent GARCIA [P089]</v>
      </c>
    </row>
    <row r="56" spans="1:1" x14ac:dyDescent="0.2">
      <c r="A56" s="10" t="str">
        <f>IFERROR(INDEX(Personnes!$N$5:$N$154,MATCH(55,Personnes!$O$5:$O$154,0)),"")</f>
        <v>Leo SAINT MARTIN [P064]</v>
      </c>
    </row>
    <row r="57" spans="1:1" x14ac:dyDescent="0.2">
      <c r="A57" s="10" t="str">
        <f>IFERROR(INDEX(Personnes!$N$5:$N$154,MATCH(56,Personnes!$O$5:$O$154,0)),"")</f>
        <v>Lionel BECHARA [P019]</v>
      </c>
    </row>
    <row r="58" spans="1:1" x14ac:dyDescent="0.2">
      <c r="A58" s="10" t="str">
        <f>IFERROR(INDEX(Personnes!$N$5:$N$154,MATCH(57,Personnes!$O$5:$O$154,0)),"")</f>
        <v>Lucas PACTET [P020]</v>
      </c>
    </row>
    <row r="59" spans="1:1" x14ac:dyDescent="0.2">
      <c r="A59" s="10" t="str">
        <f>IFERROR(INDEX(Personnes!$N$5:$N$154,MATCH(58,Personnes!$O$5:$O$154,0)),"")</f>
        <v>Magali CAVATORE [P069]</v>
      </c>
    </row>
    <row r="60" spans="1:1" x14ac:dyDescent="0.2">
      <c r="A60" s="10" t="str">
        <f>IFERROR(INDEX(Personnes!$N$5:$N$154,MATCH(59,Personnes!$O$5:$O$154,0)),"")</f>
        <v>Marc BENDER [P077]</v>
      </c>
    </row>
    <row r="61" spans="1:1" x14ac:dyDescent="0.2">
      <c r="A61" s="10" t="str">
        <f>IFERROR(INDEX(Personnes!$N$5:$N$154,MATCH(60,Personnes!$O$5:$O$154,0)),"")</f>
        <v>Marie MARCHIORI [P075]</v>
      </c>
    </row>
    <row r="62" spans="1:1" x14ac:dyDescent="0.2">
      <c r="A62" s="10" t="str">
        <f>IFERROR(INDEX(Personnes!$N$5:$N$154,MATCH(61,Personnes!$O$5:$O$154,0)),"")</f>
        <v>Mariem YOUNSSI [P021]</v>
      </c>
    </row>
    <row r="63" spans="1:1" x14ac:dyDescent="0.2">
      <c r="A63" s="10" t="str">
        <f>IFERROR(INDEX(Personnes!$N$5:$N$154,MATCH(62,Personnes!$O$5:$O$154,0)),"")</f>
        <v>Marine TESSON [P095]</v>
      </c>
    </row>
    <row r="64" spans="1:1" x14ac:dyDescent="0.2">
      <c r="A64" s="10" t="str">
        <f>IFERROR(INDEX(Personnes!$N$5:$N$154,MATCH(63,Personnes!$O$5:$O$154,0)),"")</f>
        <v>Mary BAUTISTA [P076]</v>
      </c>
    </row>
    <row r="65" spans="1:1" x14ac:dyDescent="0.2">
      <c r="A65" s="10" t="str">
        <f>IFERROR(INDEX(Personnes!$N$5:$N$154,MATCH(64,Personnes!$O$5:$O$154,0)),"")</f>
        <v>Matthieu CHIARAMONTE [P022]</v>
      </c>
    </row>
    <row r="66" spans="1:1" x14ac:dyDescent="0.2">
      <c r="A66" s="10" t="str">
        <f>IFERROR(INDEX(Personnes!$N$5:$N$154,MATCH(65,Personnes!$O$5:$O$154,0)),"")</f>
        <v>Matthieu GUEGUEN [P023]</v>
      </c>
    </row>
    <row r="67" spans="1:1" x14ac:dyDescent="0.2">
      <c r="A67" s="10" t="str">
        <f>IFERROR(INDEX(Personnes!$N$5:$N$154,MATCH(66,Personnes!$O$5:$O$154,0)),"")</f>
        <v>Michael GRENIER [P032]</v>
      </c>
    </row>
    <row r="68" spans="1:1" x14ac:dyDescent="0.2">
      <c r="A68" s="10" t="str">
        <f>IFERROR(INDEX(Personnes!$N$5:$N$154,MATCH(67,Personnes!$O$5:$O$154,0)),"")</f>
        <v>Mohammed BELHADJ KACEM [P101]</v>
      </c>
    </row>
    <row r="69" spans="1:1" x14ac:dyDescent="0.2">
      <c r="A69" s="10" t="str">
        <f>IFERROR(INDEX(Personnes!$N$5:$N$154,MATCH(68,Personnes!$O$5:$O$154,0)),"")</f>
        <v>Monia COSSAIS [P084]</v>
      </c>
    </row>
    <row r="70" spans="1:1" x14ac:dyDescent="0.2">
      <c r="A70" s="10" t="str">
        <f>IFERROR(INDEX(Personnes!$N$5:$N$154,MATCH(69,Personnes!$O$5:$O$154,0)),"")</f>
        <v>Nelly JACQUEMOT [P024]</v>
      </c>
    </row>
    <row r="71" spans="1:1" x14ac:dyDescent="0.2">
      <c r="A71" s="10" t="str">
        <f>IFERROR(INDEX(Personnes!$N$5:$N$154,MATCH(70,Personnes!$O$5:$O$154,0)),"")</f>
        <v>Oman LAMBERT [P025]</v>
      </c>
    </row>
    <row r="72" spans="1:1" x14ac:dyDescent="0.2">
      <c r="A72" s="10" t="str">
        <f>IFERROR(INDEX(Personnes!$N$5:$N$154,MATCH(71,Personnes!$O$5:$O$154,0)),"")</f>
        <v>Ouafa BENMANSOUR [P055]</v>
      </c>
    </row>
    <row r="73" spans="1:1" x14ac:dyDescent="0.2">
      <c r="A73" s="10" t="str">
        <f>IFERROR(INDEX(Personnes!$N$5:$N$154,MATCH(72,Personnes!$O$5:$O$154,0)),"")</f>
        <v>Patrick BEZICOT [P078]</v>
      </c>
    </row>
    <row r="74" spans="1:1" x14ac:dyDescent="0.2">
      <c r="A74" s="10" t="str">
        <f>IFERROR(INDEX(Personnes!$N$5:$N$154,MATCH(73,Personnes!$O$5:$O$154,0)),"")</f>
        <v>Pauline VALENTINI [P026]</v>
      </c>
    </row>
    <row r="75" spans="1:1" x14ac:dyDescent="0.2">
      <c r="A75" s="10" t="str">
        <f>IFERROR(INDEX(Personnes!$N$5:$N$154,MATCH(74,Personnes!$O$5:$O$154,0)),"")</f>
        <v>Philippe FREDON [P039]</v>
      </c>
    </row>
    <row r="76" spans="1:1" x14ac:dyDescent="0.2">
      <c r="A76" s="10" t="str">
        <f>IFERROR(INDEX(Personnes!$N$5:$N$154,MATCH(75,Personnes!$O$5:$O$154,0)),"")</f>
        <v>Philippe BRIDENNE [P056]</v>
      </c>
    </row>
    <row r="77" spans="1:1" x14ac:dyDescent="0.2">
      <c r="A77" s="10" t="str">
        <f>IFERROR(INDEX(Personnes!$N$5:$N$154,MATCH(76,Personnes!$O$5:$O$154,0)),"")</f>
        <v>Pierre-Alain HOYAU [P041]</v>
      </c>
    </row>
    <row r="78" spans="1:1" x14ac:dyDescent="0.2">
      <c r="A78" s="10" t="str">
        <f>IFERROR(INDEX(Personnes!$N$5:$N$154,MATCH(77,Personnes!$O$5:$O$154,0)),"")</f>
        <v>Sabine COLLINET [P063]</v>
      </c>
    </row>
    <row r="79" spans="1:1" x14ac:dyDescent="0.2">
      <c r="A79" s="10" t="str">
        <f>IFERROR(INDEX(Personnes!$N$5:$N$154,MATCH(78,Personnes!$O$5:$O$154,0)),"")</f>
        <v>Salman BOUHAMMOU [P068]</v>
      </c>
    </row>
    <row r="80" spans="1:1" x14ac:dyDescent="0.2">
      <c r="A80" s="10" t="str">
        <f>IFERROR(INDEX(Personnes!$N$5:$N$154,MATCH(79,Personnes!$O$5:$O$154,0)),"")</f>
        <v>Samy GOBAA [P027]</v>
      </c>
    </row>
    <row r="81" spans="1:1" x14ac:dyDescent="0.2">
      <c r="A81" s="10" t="str">
        <f>IFERROR(INDEX(Personnes!$N$5:$N$154,MATCH(80,Personnes!$O$5:$O$154,0)),"")</f>
        <v>Sandra CORNET-VERNET [P083]</v>
      </c>
    </row>
    <row r="82" spans="1:1" x14ac:dyDescent="0.2">
      <c r="A82" s="10" t="str">
        <f>IFERROR(INDEX(Personnes!$N$5:$N$154,MATCH(81,Personnes!$O$5:$O$154,0)),"")</f>
        <v>Sandry WALLON [P036]</v>
      </c>
    </row>
    <row r="83" spans="1:1" x14ac:dyDescent="0.2">
      <c r="A83" s="10" t="str">
        <f>IFERROR(INDEX(Personnes!$N$5:$N$154,MATCH(82,Personnes!$O$5:$O$154,0)),"")</f>
        <v>Sebastien AUBERT [P100]</v>
      </c>
    </row>
    <row r="84" spans="1:1" x14ac:dyDescent="0.2">
      <c r="A84" s="10" t="str">
        <f>IFERROR(INDEX(Personnes!$N$5:$N$154,MATCH(83,Personnes!$O$5:$O$154,0)),"")</f>
        <v>Sebastien DUSSAUD [P102]</v>
      </c>
    </row>
    <row r="85" spans="1:1" x14ac:dyDescent="0.2">
      <c r="A85" s="10" t="str">
        <f>IFERROR(INDEX(Personnes!$N$5:$N$154,MATCH(84,Personnes!$O$5:$O$154,0)),"")</f>
        <v>Sébastien PALUD [P059]</v>
      </c>
    </row>
    <row r="86" spans="1:1" x14ac:dyDescent="0.2">
      <c r="A86" s="10" t="str">
        <f>IFERROR(INDEX(Personnes!$N$5:$N$154,MATCH(85,Personnes!$O$5:$O$154,0)),"")</f>
        <v>Serge HABERT [P074]</v>
      </c>
    </row>
    <row r="87" spans="1:1" x14ac:dyDescent="0.2">
      <c r="A87" s="10" t="str">
        <f>IFERROR(INDEX(Personnes!$N$5:$N$154,MATCH(86,Personnes!$O$5:$O$154,0)),"")</f>
        <v>Sophie LANDEAU [P028]</v>
      </c>
    </row>
    <row r="88" spans="1:1" x14ac:dyDescent="0.2">
      <c r="A88" s="10" t="str">
        <f>IFERROR(INDEX(Personnes!$N$5:$N$154,MATCH(87,Personnes!$O$5:$O$154,0)),"")</f>
        <v>Stephane GUEGUEN [P029]</v>
      </c>
    </row>
    <row r="89" spans="1:1" x14ac:dyDescent="0.2">
      <c r="A89" s="10" t="str">
        <f>IFERROR(INDEX(Personnes!$N$5:$N$154,MATCH(88,Personnes!$O$5:$O$154,0)),"")</f>
        <v>Suah [P065]</v>
      </c>
    </row>
    <row r="90" spans="1:1" x14ac:dyDescent="0.2">
      <c r="A90" s="10" t="str">
        <f>IFERROR(INDEX(Personnes!$N$5:$N$154,MATCH(89,Personnes!$O$5:$O$154,0)),"")</f>
        <v>Sylvie HERMANS [P090]</v>
      </c>
    </row>
    <row r="91" spans="1:1" x14ac:dyDescent="0.2">
      <c r="A91" s="10" t="str">
        <f>IFERROR(INDEX(Personnes!$N$5:$N$154,MATCH(90,Personnes!$O$5:$O$154,0)),"")</f>
        <v>Sylvie WALLON [P096]</v>
      </c>
    </row>
    <row r="92" spans="1:1" x14ac:dyDescent="0.2">
      <c r="A92" s="10" t="str">
        <f>IFERROR(INDEX(Personnes!$N$5:$N$154,MATCH(91,Personnes!$O$5:$O$154,0)),"")</f>
        <v>Theo SEVEDO [P094]</v>
      </c>
    </row>
    <row r="93" spans="1:1" x14ac:dyDescent="0.2">
      <c r="A93" s="10" t="str">
        <f>IFERROR(INDEX(Personnes!$N$5:$N$154,MATCH(92,Personnes!$O$5:$O$154,0)),"")</f>
        <v>Thomas HENRY [P098]</v>
      </c>
    </row>
    <row r="94" spans="1:1" x14ac:dyDescent="0.2">
      <c r="A94" s="10" t="str">
        <f>IFERROR(INDEX(Personnes!$N$5:$N$154,MATCH(93,Personnes!$O$5:$O$154,0)),"")</f>
        <v>Victorinne CHARDONNET [P031]</v>
      </c>
    </row>
    <row r="95" spans="1:1" x14ac:dyDescent="0.2">
      <c r="A95" s="10" t="str">
        <f>IFERROR(INDEX(Personnes!$N$5:$N$154,MATCH(94,Personnes!$O$5:$O$154,0)),"")</f>
        <v>Viktor SIKORA [P099]</v>
      </c>
    </row>
    <row r="96" spans="1:1" x14ac:dyDescent="0.2">
      <c r="A96" s="10" t="str">
        <f>IFERROR(INDEX(Personnes!$N$5:$N$154,MATCH(95,Personnes!$O$5:$O$154,0)),"")</f>
        <v>Vincent NOËL [P093]</v>
      </c>
    </row>
    <row r="97" spans="1:1" x14ac:dyDescent="0.2">
      <c r="A97" s="10" t="str">
        <f>IFERROR(INDEX(Personnes!$N$5:$N$154,MATCH(96,Personnes!$O$5:$O$154,0)),"")</f>
        <v>Virginie CATHALA [P081]</v>
      </c>
    </row>
    <row r="98" spans="1:1" x14ac:dyDescent="0.2">
      <c r="A98" s="10" t="str">
        <f>IFERROR(INDEX(Personnes!$N$5:$N$154,MATCH(97,Personnes!$O$5:$O$154,0)),"")</f>
        <v>Yvan MEASSON [P046]</v>
      </c>
    </row>
    <row r="99" spans="1:1" x14ac:dyDescent="0.2">
      <c r="A99" s="10" t="str">
        <f>IFERROR(INDEX(Personnes!$N$5:$N$154,MATCH(98,Personnes!$O$5:$O$154,0)),"")</f>
        <v/>
      </c>
    </row>
    <row r="100" spans="1:1" x14ac:dyDescent="0.2">
      <c r="A100" s="10" t="str">
        <f>IFERROR(INDEX(Personnes!$N$5:$N$154,MATCH(99,Personnes!$O$5:$O$154,0)),"")</f>
        <v/>
      </c>
    </row>
    <row r="101" spans="1:1" x14ac:dyDescent="0.2">
      <c r="A101" s="10" t="str">
        <f>IFERROR(INDEX(Personnes!$N$5:$N$154,MATCH(100,Personnes!$O$5:$O$154,0)),"")</f>
        <v/>
      </c>
    </row>
    <row r="102" spans="1:1" x14ac:dyDescent="0.2">
      <c r="A102" s="10" t="str">
        <f>IFERROR(INDEX(Personnes!$N$5:$N$154,MATCH(101,Personnes!$O$5:$O$154,0)),"")</f>
        <v/>
      </c>
    </row>
    <row r="103" spans="1:1" x14ac:dyDescent="0.2">
      <c r="A103" s="10" t="str">
        <f>IFERROR(INDEX(Personnes!$N$5:$N$154,MATCH(102,Personnes!$O$5:$O$154,0)),"")</f>
        <v/>
      </c>
    </row>
    <row r="104" spans="1:1" x14ac:dyDescent="0.2">
      <c r="A104" s="10" t="str">
        <f>IFERROR(INDEX(Personnes!$N$5:$N$154,MATCH(103,Personnes!$O$5:$O$154,0)),"")</f>
        <v/>
      </c>
    </row>
    <row r="105" spans="1:1" x14ac:dyDescent="0.2">
      <c r="A105" s="10" t="str">
        <f>IFERROR(INDEX(Personnes!$N$5:$N$154,MATCH(104,Personnes!$O$5:$O$154,0)),"")</f>
        <v/>
      </c>
    </row>
    <row r="106" spans="1:1" x14ac:dyDescent="0.2">
      <c r="A106" s="10" t="str">
        <f>IFERROR(INDEX(Personnes!$N$5:$N$154,MATCH(105,Personnes!$O$5:$O$154,0)),"")</f>
        <v/>
      </c>
    </row>
    <row r="107" spans="1:1" x14ac:dyDescent="0.2">
      <c r="A107" s="10" t="str">
        <f>IFERROR(INDEX(Personnes!$N$5:$N$154,MATCH(106,Personnes!$O$5:$O$154,0)),"")</f>
        <v/>
      </c>
    </row>
    <row r="108" spans="1:1" x14ac:dyDescent="0.2">
      <c r="A108" s="10" t="str">
        <f>IFERROR(INDEX(Personnes!$N$5:$N$154,MATCH(107,Personnes!$O$5:$O$154,0)),"")</f>
        <v/>
      </c>
    </row>
    <row r="109" spans="1:1" x14ac:dyDescent="0.2">
      <c r="A109" s="10" t="str">
        <f>IFERROR(INDEX(Personnes!$N$5:$N$154,MATCH(108,Personnes!$O$5:$O$154,0)),"")</f>
        <v/>
      </c>
    </row>
    <row r="110" spans="1:1" x14ac:dyDescent="0.2">
      <c r="A110" s="10" t="str">
        <f>IFERROR(INDEX(Personnes!$N$5:$N$154,MATCH(109,Personnes!$O$5:$O$154,0)),"")</f>
        <v/>
      </c>
    </row>
    <row r="111" spans="1:1" x14ac:dyDescent="0.2">
      <c r="A111" s="10" t="str">
        <f>IFERROR(INDEX(Personnes!$N$5:$N$154,MATCH(110,Personnes!$O$5:$O$154,0)),"")</f>
        <v/>
      </c>
    </row>
    <row r="112" spans="1:1" x14ac:dyDescent="0.2">
      <c r="A112" s="10" t="str">
        <f>IFERROR(INDEX(Personnes!$N$5:$N$154,MATCH(111,Personnes!$O$5:$O$154,0)),"")</f>
        <v/>
      </c>
    </row>
    <row r="113" spans="1:1" x14ac:dyDescent="0.2">
      <c r="A113" s="10" t="str">
        <f>IFERROR(INDEX(Personnes!$N$5:$N$154,MATCH(112,Personnes!$O$5:$O$154,0)),"")</f>
        <v/>
      </c>
    </row>
    <row r="114" spans="1:1" x14ac:dyDescent="0.2">
      <c r="A114" s="10" t="str">
        <f>IFERROR(INDEX(Personnes!$N$5:$N$154,MATCH(113,Personnes!$O$5:$O$154,0)),"")</f>
        <v/>
      </c>
    </row>
    <row r="115" spans="1:1" x14ac:dyDescent="0.2">
      <c r="A115" s="10" t="str">
        <f>IFERROR(INDEX(Personnes!$N$5:$N$154,MATCH(114,Personnes!$O$5:$O$154,0)),"")</f>
        <v/>
      </c>
    </row>
    <row r="116" spans="1:1" x14ac:dyDescent="0.2">
      <c r="A116" s="10" t="str">
        <f>IFERROR(INDEX(Personnes!$N$5:$N$154,MATCH(115,Personnes!$O$5:$O$154,0)),"")</f>
        <v/>
      </c>
    </row>
    <row r="117" spans="1:1" x14ac:dyDescent="0.2">
      <c r="A117" s="10" t="str">
        <f>IFERROR(INDEX(Personnes!$N$5:$N$154,MATCH(116,Personnes!$O$5:$O$154,0)),"")</f>
        <v/>
      </c>
    </row>
    <row r="118" spans="1:1" x14ac:dyDescent="0.2">
      <c r="A118" s="10" t="str">
        <f>IFERROR(INDEX(Personnes!$N$5:$N$154,MATCH(117,Personnes!$O$5:$O$154,0)),"")</f>
        <v/>
      </c>
    </row>
    <row r="119" spans="1:1" x14ac:dyDescent="0.2">
      <c r="A119" s="10" t="str">
        <f>IFERROR(INDEX(Personnes!$N$5:$N$154,MATCH(118,Personnes!$O$5:$O$154,0)),"")</f>
        <v/>
      </c>
    </row>
    <row r="120" spans="1:1" x14ac:dyDescent="0.2">
      <c r="A120" s="10" t="str">
        <f>IFERROR(INDEX(Personnes!$N$5:$N$154,MATCH(119,Personnes!$O$5:$O$154,0)),"")</f>
        <v/>
      </c>
    </row>
    <row r="121" spans="1:1" x14ac:dyDescent="0.2">
      <c r="A121" s="10" t="str">
        <f>IFERROR(INDEX(Personnes!$N$5:$N$154,MATCH(120,Personnes!$O$5:$O$154,0)),"")</f>
        <v/>
      </c>
    </row>
    <row r="122" spans="1:1" x14ac:dyDescent="0.2">
      <c r="A122" s="10" t="str">
        <f>IFERROR(INDEX(Personnes!$N$5:$N$154,MATCH(121,Personnes!$O$5:$O$154,0)),"")</f>
        <v/>
      </c>
    </row>
    <row r="123" spans="1:1" x14ac:dyDescent="0.2">
      <c r="A123" s="10" t="str">
        <f>IFERROR(INDEX(Personnes!$N$5:$N$154,MATCH(122,Personnes!$O$5:$O$154,0)),"")</f>
        <v/>
      </c>
    </row>
    <row r="124" spans="1:1" x14ac:dyDescent="0.2">
      <c r="A124" s="10" t="str">
        <f>IFERROR(INDEX(Personnes!$N$5:$N$154,MATCH(123,Personnes!$O$5:$O$154,0)),"")</f>
        <v/>
      </c>
    </row>
    <row r="125" spans="1:1" x14ac:dyDescent="0.2">
      <c r="A125" s="10" t="str">
        <f>IFERROR(INDEX(Personnes!$N$5:$N$154,MATCH(124,Personnes!$O$5:$O$154,0)),"")</f>
        <v/>
      </c>
    </row>
    <row r="126" spans="1:1" x14ac:dyDescent="0.2">
      <c r="A126" s="10" t="str">
        <f>IFERROR(INDEX(Personnes!$N$5:$N$154,MATCH(125,Personnes!$O$5:$O$154,0)),"")</f>
        <v/>
      </c>
    </row>
    <row r="127" spans="1:1" x14ac:dyDescent="0.2">
      <c r="A127" s="10" t="str">
        <f>IFERROR(INDEX(Personnes!$N$5:$N$154,MATCH(126,Personnes!$O$5:$O$154,0)),"")</f>
        <v/>
      </c>
    </row>
    <row r="128" spans="1:1" x14ac:dyDescent="0.2">
      <c r="A128" s="10" t="str">
        <f>IFERROR(INDEX(Personnes!$N$5:$N$154,MATCH(127,Personnes!$O$5:$O$154,0)),"")</f>
        <v/>
      </c>
    </row>
    <row r="129" spans="1:1" x14ac:dyDescent="0.2">
      <c r="A129" s="10" t="str">
        <f>IFERROR(INDEX(Personnes!$N$5:$N$154,MATCH(128,Personnes!$O$5:$O$154,0)),"")</f>
        <v/>
      </c>
    </row>
    <row r="130" spans="1:1" x14ac:dyDescent="0.2">
      <c r="A130" s="10" t="str">
        <f>IFERROR(INDEX(Personnes!$N$5:$N$154,MATCH(129,Personnes!$O$5:$O$154,0)),"")</f>
        <v/>
      </c>
    </row>
    <row r="131" spans="1:1" x14ac:dyDescent="0.2">
      <c r="A131" s="10" t="str">
        <f>IFERROR(INDEX(Personnes!$N$5:$N$154,MATCH(130,Personnes!$O$5:$O$154,0)),"")</f>
        <v/>
      </c>
    </row>
    <row r="132" spans="1:1" x14ac:dyDescent="0.2">
      <c r="A132" s="10" t="str">
        <f>IFERROR(INDEX(Personnes!$N$5:$N$154,MATCH(131,Personnes!$O$5:$O$154,0)),"")</f>
        <v/>
      </c>
    </row>
    <row r="133" spans="1:1" x14ac:dyDescent="0.2">
      <c r="A133" s="10" t="str">
        <f>IFERROR(INDEX(Personnes!$N$5:$N$154,MATCH(132,Personnes!$O$5:$O$154,0)),"")</f>
        <v/>
      </c>
    </row>
    <row r="134" spans="1:1" x14ac:dyDescent="0.2">
      <c r="A134" s="10" t="str">
        <f>IFERROR(INDEX(Personnes!$N$5:$N$154,MATCH(133,Personnes!$O$5:$O$154,0)),"")</f>
        <v/>
      </c>
    </row>
    <row r="135" spans="1:1" x14ac:dyDescent="0.2">
      <c r="A135" s="10" t="str">
        <f>IFERROR(INDEX(Personnes!$N$5:$N$154,MATCH(134,Personnes!$O$5:$O$154,0)),"")</f>
        <v/>
      </c>
    </row>
    <row r="136" spans="1:1" x14ac:dyDescent="0.2">
      <c r="A136" s="10" t="str">
        <f>IFERROR(INDEX(Personnes!$N$5:$N$154,MATCH(135,Personnes!$O$5:$O$154,0)),"")</f>
        <v/>
      </c>
    </row>
    <row r="137" spans="1:1" x14ac:dyDescent="0.2">
      <c r="A137" s="10" t="str">
        <f>IFERROR(INDEX(Personnes!$N$5:$N$154,MATCH(136,Personnes!$O$5:$O$154,0)),"")</f>
        <v/>
      </c>
    </row>
    <row r="138" spans="1:1" x14ac:dyDescent="0.2">
      <c r="A138" s="10" t="str">
        <f>IFERROR(INDEX(Personnes!$N$5:$N$154,MATCH(137,Personnes!$O$5:$O$154,0)),"")</f>
        <v/>
      </c>
    </row>
    <row r="139" spans="1:1" x14ac:dyDescent="0.2">
      <c r="A139" s="10" t="str">
        <f>IFERROR(INDEX(Personnes!$N$5:$N$154,MATCH(138,Personnes!$O$5:$O$154,0)),"")</f>
        <v/>
      </c>
    </row>
    <row r="140" spans="1:1" x14ac:dyDescent="0.2">
      <c r="A140" s="10" t="str">
        <f>IFERROR(INDEX(Personnes!$N$5:$N$154,MATCH(139,Personnes!$O$5:$O$154,0)),"")</f>
        <v/>
      </c>
    </row>
    <row r="141" spans="1:1" x14ac:dyDescent="0.2">
      <c r="A141" s="10" t="str">
        <f>IFERROR(INDEX(Personnes!$N$5:$N$154,MATCH(140,Personnes!$O$5:$O$154,0)),"")</f>
        <v/>
      </c>
    </row>
    <row r="142" spans="1:1" x14ac:dyDescent="0.2">
      <c r="A142" s="10" t="str">
        <f>IFERROR(INDEX(Personnes!$N$5:$N$154,MATCH(141,Personnes!$O$5:$O$154,0)),"")</f>
        <v/>
      </c>
    </row>
    <row r="143" spans="1:1" x14ac:dyDescent="0.2">
      <c r="A143" s="10" t="str">
        <f>IFERROR(INDEX(Personnes!$N$5:$N$154,MATCH(142,Personnes!$O$5:$O$154,0)),"")</f>
        <v/>
      </c>
    </row>
    <row r="144" spans="1:1" x14ac:dyDescent="0.2">
      <c r="A144" s="10" t="str">
        <f>IFERROR(INDEX(Personnes!$N$5:$N$154,MATCH(143,Personnes!$O$5:$O$154,0)),"")</f>
        <v/>
      </c>
    </row>
    <row r="145" spans="1:1" x14ac:dyDescent="0.2">
      <c r="A145" s="10" t="str">
        <f>IFERROR(INDEX(Personnes!$N$5:$N$154,MATCH(144,Personnes!$O$5:$O$154,0)),"")</f>
        <v/>
      </c>
    </row>
    <row r="146" spans="1:1" x14ac:dyDescent="0.2">
      <c r="A146" s="10" t="str">
        <f>IFERROR(INDEX(Personnes!$N$5:$N$154,MATCH(145,Personnes!$O$5:$O$154,0)),"")</f>
        <v/>
      </c>
    </row>
    <row r="147" spans="1:1" x14ac:dyDescent="0.2">
      <c r="A147" s="10" t="str">
        <f>IFERROR(INDEX(Personnes!$N$5:$N$154,MATCH(146,Personnes!$O$5:$O$154,0)),"")</f>
        <v/>
      </c>
    </row>
    <row r="148" spans="1:1" x14ac:dyDescent="0.2">
      <c r="A148" s="10" t="str">
        <f>IFERROR(INDEX(Personnes!$N$5:$N$154,MATCH(147,Personnes!$O$5:$O$154,0)),"")</f>
        <v/>
      </c>
    </row>
    <row r="149" spans="1:1" x14ac:dyDescent="0.2">
      <c r="A149" s="10" t="str">
        <f>IFERROR(INDEX(Personnes!$N$5:$N$154,MATCH(148,Personnes!$O$5:$O$154,0)),"")</f>
        <v/>
      </c>
    </row>
    <row r="150" spans="1:1" x14ac:dyDescent="0.2">
      <c r="A150" s="10" t="str">
        <f>IFERROR(INDEX(Personnes!$N$5:$N$154,MATCH(149,Personnes!$O$5:$O$154,0)),"")</f>
        <v/>
      </c>
    </row>
    <row r="151" spans="1:1" x14ac:dyDescent="0.2">
      <c r="A151" s="10" t="str">
        <f>IFERROR(INDEX(Personnes!$N$5:$N$154,MATCH(150,Personnes!$O$5:$O$154,0)),"")</f>
        <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sheetPr>
  <dimension ref="A1:I13"/>
  <sheetViews>
    <sheetView workbookViewId="0"/>
  </sheetViews>
  <sheetFormatPr baseColWidth="10" defaultColWidth="8.83203125" defaultRowHeight="15" x14ac:dyDescent="0.2"/>
  <cols>
    <col min="1" max="1" width="14" customWidth="1"/>
    <col min="2" max="2" width="23" customWidth="1"/>
    <col min="3" max="3" width="22" customWidth="1"/>
    <col min="4" max="4" width="24" customWidth="1"/>
    <col min="5" max="6" width="19" customWidth="1"/>
    <col min="7" max="7" width="18" customWidth="1"/>
    <col min="8" max="8" width="19" customWidth="1"/>
    <col min="9" max="9" width="16" customWidth="1"/>
  </cols>
  <sheetData>
    <row r="1" spans="1:9" ht="32" customHeight="1" x14ac:dyDescent="0.2">
      <c r="A1" s="25" t="s">
        <v>606</v>
      </c>
      <c r="B1" s="26" t="s">
        <v>607</v>
      </c>
      <c r="C1" s="26" t="s">
        <v>608</v>
      </c>
      <c r="D1" s="26" t="s">
        <v>516</v>
      </c>
      <c r="E1" s="26" t="s">
        <v>609</v>
      </c>
      <c r="F1" s="26" t="s">
        <v>610</v>
      </c>
      <c r="G1" s="26" t="s">
        <v>611</v>
      </c>
      <c r="H1" s="26" t="s">
        <v>612</v>
      </c>
      <c r="I1" s="26" t="s">
        <v>613</v>
      </c>
    </row>
    <row r="2" spans="1:9" x14ac:dyDescent="0.2">
      <c r="A2" s="7" t="s">
        <v>587</v>
      </c>
      <c r="B2" s="7" t="s">
        <v>614</v>
      </c>
      <c r="C2" s="7" t="s">
        <v>615</v>
      </c>
      <c r="D2" s="7" t="s">
        <v>616</v>
      </c>
      <c r="E2" s="7" t="s">
        <v>617</v>
      </c>
      <c r="F2" s="7" t="s">
        <v>511</v>
      </c>
      <c r="G2" s="7" t="s">
        <v>618</v>
      </c>
      <c r="H2" s="7" t="s">
        <v>619</v>
      </c>
      <c r="I2" s="7" t="s">
        <v>620</v>
      </c>
    </row>
    <row r="3" spans="1:9" x14ac:dyDescent="0.2">
      <c r="A3" s="7" t="s">
        <v>588</v>
      </c>
      <c r="B3" s="7" t="s">
        <v>621</v>
      </c>
      <c r="C3" s="7" t="s">
        <v>622</v>
      </c>
      <c r="D3" s="7" t="s">
        <v>623</v>
      </c>
      <c r="E3" s="7" t="s">
        <v>624</v>
      </c>
      <c r="F3" s="7" t="s">
        <v>625</v>
      </c>
      <c r="G3" s="7" t="s">
        <v>626</v>
      </c>
      <c r="H3" s="7" t="s">
        <v>627</v>
      </c>
      <c r="I3" s="7" t="s">
        <v>628</v>
      </c>
    </row>
    <row r="4" spans="1:9" x14ac:dyDescent="0.2">
      <c r="A4" s="7" t="s">
        <v>589</v>
      </c>
      <c r="B4" s="7" t="s">
        <v>116</v>
      </c>
      <c r="C4" s="7" t="s">
        <v>629</v>
      </c>
      <c r="D4" s="7" t="s">
        <v>630</v>
      </c>
      <c r="E4" s="7" t="s">
        <v>631</v>
      </c>
      <c r="F4" s="7" t="s">
        <v>632</v>
      </c>
      <c r="G4" s="7" t="s">
        <v>633</v>
      </c>
      <c r="H4" s="7" t="s">
        <v>634</v>
      </c>
      <c r="I4" s="7" t="s">
        <v>635</v>
      </c>
    </row>
    <row r="5" spans="1:9" x14ac:dyDescent="0.2">
      <c r="A5" s="7" t="s">
        <v>590</v>
      </c>
      <c r="B5" s="7" t="s">
        <v>106</v>
      </c>
      <c r="E5" s="7" t="s">
        <v>636</v>
      </c>
      <c r="F5" s="7" t="s">
        <v>637</v>
      </c>
      <c r="G5" s="7" t="s">
        <v>638</v>
      </c>
      <c r="H5" s="7" t="s">
        <v>639</v>
      </c>
    </row>
    <row r="6" spans="1:9" x14ac:dyDescent="0.2">
      <c r="A6" s="7" t="s">
        <v>591</v>
      </c>
      <c r="E6" s="7" t="s">
        <v>640</v>
      </c>
      <c r="G6" s="7" t="s">
        <v>641</v>
      </c>
      <c r="H6" s="7" t="s">
        <v>642</v>
      </c>
    </row>
    <row r="7" spans="1:9" x14ac:dyDescent="0.2">
      <c r="A7" s="7" t="s">
        <v>140</v>
      </c>
      <c r="E7" s="7" t="s">
        <v>643</v>
      </c>
      <c r="H7" s="7" t="s">
        <v>644</v>
      </c>
    </row>
    <row r="8" spans="1:9" x14ac:dyDescent="0.2">
      <c r="A8" s="7" t="s">
        <v>592</v>
      </c>
      <c r="E8" s="7" t="s">
        <v>645</v>
      </c>
      <c r="H8" s="7" t="s">
        <v>646</v>
      </c>
    </row>
    <row r="9" spans="1:9" x14ac:dyDescent="0.2">
      <c r="E9" s="7" t="s">
        <v>647</v>
      </c>
    </row>
    <row r="10" spans="1:9" x14ac:dyDescent="0.2">
      <c r="E10" s="7" t="s">
        <v>648</v>
      </c>
    </row>
    <row r="11" spans="1:9" x14ac:dyDescent="0.2">
      <c r="E11" s="7" t="s">
        <v>649</v>
      </c>
    </row>
    <row r="12" spans="1:9" x14ac:dyDescent="0.2">
      <c r="E12" s="7" t="s">
        <v>650</v>
      </c>
    </row>
    <row r="13" spans="1:9" x14ac:dyDescent="0.2">
      <c r="E13" s="7" t="s">
        <v>651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Lisez-moi</vt:lpstr>
      <vt:lpstr>Synchro</vt:lpstr>
      <vt:lpstr>Referentiel</vt:lpstr>
      <vt:lpstr>Personnes</vt:lpstr>
      <vt:lpstr>Calendrier</vt:lpstr>
      <vt:lpstr>Presences</vt:lpstr>
      <vt:lpstr>Suivi_Objectifs</vt:lpstr>
      <vt:lpstr>Suivi_Competences</vt:lpstr>
      <vt:lpstr>Avis_Encadrants</vt:lpstr>
      <vt:lpstr>Evenements_Securite</vt:lpstr>
      <vt:lpstr>Zones_Physiologiques</vt:lpstr>
      <vt:lpstr>Tableau_de_bord</vt:lpstr>
      <vt:lpstr>Selection</vt:lpstr>
      <vt:lpstr>Listes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Frédéric Le Brigand</cp:lastModifiedBy>
  <dcterms:created xsi:type="dcterms:W3CDTF">2026-09-05T13:05:57Z</dcterms:created>
  <dcterms:modified xsi:type="dcterms:W3CDTF">2026-09-05T13:12:15Z</dcterms:modified>
</cp:coreProperties>
</file>