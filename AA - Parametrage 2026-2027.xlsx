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worksheets/sheet10.xml" ContentType="application/vnd.openxmlformats-officedocument.spreadsheetml.worksheet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  <Override PartName="/xl/worksheets/sheet12.xml" ContentType="application/vnd.openxmlformats-officedocument.spreadsheetml.worksheet+xml"/>
  <Override PartName="/xl/tables/table18.xml" ContentType="application/vnd.openxmlformats-officedocument.spreadsheetml.table+xml"/>
  <Override PartName="/xl/worksheets/sheet13.xml" ContentType="application/vnd.openxmlformats-officedocument.spreadsheetml.worksheet+xml"/>
  <Override PartName="/xl/tables/table19.xml" ContentType="application/vnd.openxmlformats-officedocument.spreadsheetml.table+xml"/>
  <Override PartName="/xl/worksheets/sheet14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0" yWindow="740" windowWidth="24960" windowHeight="18380" tabRatio="600" firstSheet="0" activeTab="1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Referentiels" sheetId="2" state="visible" r:id="rId2"/>
    <sheet xmlns:r="http://schemas.openxmlformats.org/officeDocument/2006/relationships" name="Objectifs_Niveaux" sheetId="3" state="visible" r:id="rId3"/>
    <sheet xmlns:r="http://schemas.openxmlformats.org/officeDocument/2006/relationships" name="Competences_Niveaux" sheetId="4" state="visible" r:id="rId4"/>
    <sheet xmlns:r="http://schemas.openxmlformats.org/officeDocument/2006/relationships" name="Creneaux" sheetId="5" state="visible" r:id="rId5"/>
    <sheet xmlns:r="http://schemas.openxmlformats.org/officeDocument/2006/relationships" name="Creneaux_Groupes" sheetId="6" state="visible" r:id="rId6"/>
    <sheet xmlns:r="http://schemas.openxmlformats.org/officeDocument/2006/relationships" name="Personnes" sheetId="7" state="visible" r:id="rId7"/>
    <sheet xmlns:r="http://schemas.openxmlformats.org/officeDocument/2006/relationships" name="Qualifications_Personnes" sheetId="8" state="visible" r:id="rId8"/>
    <sheet xmlns:r="http://schemas.openxmlformats.org/officeDocument/2006/relationships" name="Inscriptions" sheetId="9" state="visible" r:id="rId9"/>
    <sheet xmlns:r="http://schemas.openxmlformats.org/officeDocument/2006/relationships" name="Responsables_Ligne" sheetId="10" state="visible" r:id="rId10"/>
    <sheet xmlns:r="http://schemas.openxmlformats.org/officeDocument/2006/relationships" name="Indisponibilites" sheetId="11" state="visible" r:id="rId11"/>
    <sheet xmlns:r="http://schemas.openxmlformats.org/officeDocument/2006/relationships" name="Controles" sheetId="12" state="visible" r:id="rId12"/>
    <sheet xmlns:r="http://schemas.openxmlformats.org/officeDocument/2006/relationships" name="Selection" sheetId="13" state="visible" r:id="rId13"/>
    <sheet xmlns:r="http://schemas.openxmlformats.org/officeDocument/2006/relationships" name="Liste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1F4E5F"/>
      <sz val="16"/>
    </font>
    <font>
      <name val="Arial"/>
      <family val="2"/>
      <b val="1"/>
      <color rgb="FF1F4E5F"/>
      <sz val="12"/>
    </font>
    <font>
      <name val="Arial"/>
      <family val="2"/>
      <sz val="10"/>
    </font>
    <font>
      <name val="Arial"/>
      <family val="2"/>
      <b val="1"/>
      <color rgb="FF1F4E5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Calibri"/>
      <family val="2"/>
      <i val="1"/>
      <color rgb="FF555555"/>
      <sz val="11"/>
    </font>
  </fonts>
  <fills count="9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1F4E5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6DA"/>
      </patternFill>
    </fill>
    <fill>
      <patternFill patternType="solid">
        <fgColor rgb="FFEDEDE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/>
    </xf>
    <xf numFmtId="0" fontId="6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14" fontId="3" fillId="4" borderId="1" applyAlignment="1" pivotButton="0" quotePrefix="0" xfId="0">
      <alignment vertical="top"/>
    </xf>
    <xf numFmtId="0" fontId="7" fillId="2" borderId="1" applyAlignment="1" pivotButton="0" quotePrefix="0" xfId="0">
      <alignment vertical="top"/>
    </xf>
    <xf numFmtId="0" fontId="6" fillId="3" borderId="1" pivotButton="0" quotePrefix="0" xfId="0"/>
    <xf numFmtId="0" fontId="8" fillId="6" borderId="2" applyAlignment="1" pivotButton="0" quotePrefix="0" xfId="0">
      <alignment vertical="top"/>
    </xf>
    <xf numFmtId="0" fontId="9" fillId="7" borderId="2" applyAlignment="1" pivotButton="0" quotePrefix="0" xfId="0">
      <alignment vertical="top"/>
    </xf>
    <xf numFmtId="14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/>
    </xf>
    <xf numFmtId="0" fontId="8" fillId="8" borderId="2" applyAlignment="1" pivotButton="0" quotePrefix="0" xfId="0">
      <alignment vertical="top" wrapText="1"/>
    </xf>
  </cellXfs>
  <cellStyles count="1">
    <cellStyle name="Normal" xfId="0" builtinId="0"/>
  </cellStyles>
  <dxfs count="12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FFFFFF"/>
        </patternFill>
      </fill>
      <alignment horizontal="general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2EFDA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fill>
        <patternFill patternType="solid">
          <fgColor indexed="64"/>
          <bgColor rgb="FFFFFFFF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rgb="FFE2EFDA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EDEDED"/>
        </patternFill>
      </fill>
      <alignment horizontal="general" vertical="top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Disciplines" displayName="Disciplines" ref="A16:E21" headerRowCount="1">
  <autoFilter ref="A16:E21"/>
  <tableColumns count="5">
    <tableColumn id="1" name="Code"/>
    <tableColumn id="2" name="Libellé"/>
    <tableColumn id="3" name="Ordre"/>
    <tableColumn id="4" name="Dans le MVP"/>
    <tableColumn id="5" name="Commentair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Groupes_Niveaux" displayName="Groupes_Niveaux" ref="A25:G36" headerRowCount="1">
  <autoFilter ref="A25:G36"/>
  <tableColumns count="7">
    <tableColumn id="1" name="Code"/>
    <tableColumn id="2" name="Libellé"/>
    <tableColumn id="3" name="Discipline"/>
    <tableColumn id="4" name="Rang"/>
    <tableColumn id="5" name="Groupe précédent"/>
    <tableColumn id="6" name="Dans le MVP"/>
    <tableColumn id="7" name="Commentair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Familles_Objectifs" displayName="Familles_Objectifs" ref="A40:F48" headerRowCount="1">
  <autoFilter ref="A40:F48"/>
  <tableColumns count="6">
    <tableColumn id="1" name="Code"/>
    <tableColumn id="2" name="Libellé"/>
    <tableColumn id="3" name="Discipline"/>
    <tableColumn id="4" name="Unité"/>
    <tableColumn id="5" name="Ce qui varie d'un niveau à l'autre"/>
    <tableColumn id="6" name="Commentair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Familles_Competences" displayName="Familles_Competences" ref="A52:D61" headerRowCount="1">
  <autoFilter ref="A52:D61"/>
  <tableColumns count="4">
    <tableColumn id="1" name="Code"/>
    <tableColumn id="2" name="Libellé"/>
    <tableColumn id="3" name="Critère observable (proposition)"/>
    <tableColumn id="4" name="Appui documentaire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Qualifications" displayName="Qualifications" ref="A65:E76" headerRowCount="1">
  <autoFilter ref="A65:E76"/>
  <tableColumns count="5">
    <tableColumn id="1" name="Code"/>
    <tableColumn id="2" name="Libellé"/>
    <tableColumn id="3" name="Type"/>
    <tableColumn id="4" name="Recyclage"/>
    <tableColumn id="5" name="Prérogative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Bassins" displayName="Bassins" ref="A80:E83" headerRowCount="1">
  <autoFilter ref="A80:E83"/>
  <tableColumns count="5">
    <tableColumn id="1" name="Code"/>
    <tableColumn id="2" name="Libellé"/>
    <tableColumn id="3" name="Longueur (m)"/>
    <tableColumn id="4" name="Nb de lignes"/>
    <tableColumn id="5" name="Commentaire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Regimes" displayName="Regimes" ref="A87:C93" headerRowCount="1">
  <autoFilter ref="A87:C93"/>
  <tableColumns count="3">
    <tableColumn id="1" name="Code"/>
    <tableColumn id="2" name="Libellé"/>
    <tableColumn id="3" name="Commentaire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Periodes" displayName="Periodes" ref="A97:E104" headerRowCount="1">
  <autoFilter ref="A97:E104"/>
  <tableColumns count="5">
    <tableColumn id="1" name="Régime"/>
    <tableColumn id="2" name="Date de début"/>
    <tableColumn id="3" name="Date de fin"/>
    <tableColumn id="4" name="Libellé"/>
    <tableColumn id="5" name="Commentaire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Objectifs_Niveaux" displayName="Objectifs_Niveaux" ref="A4:P51" headerRowCount="1">
  <autoFilter ref="A4:P51"/>
  <tableColumns count="16">
    <tableColumn id="1" name="ID"/>
    <tableColumn id="2" name="Groupe"/>
    <tableColumn id="3" name="Famille"/>
    <tableColumn id="4" name="Type"/>
    <tableColumn id="5" name="Intitulé"/>
    <tableColumn id="6" name="Distance (m)"/>
    <tableColumn id="7" name="Durée STA"/>
    <tableColumn id="8" name="Temps cible"/>
    <tableColumn id="9" name="Intervalle départ"/>
    <tableColumn id="10" name="Récupération"/>
    <tableColumn id="11" name="Nb séries"/>
    <tableColumn id="12" name="Nb répétitions exigé"/>
    <tableColumn id="13" name="Intervalle max entre départs"/>
    <tableColumn id="14" name="Contrainte requise"/>
    <tableColumn id="15" name="Critère de validation (texte littéral)"/>
    <tableColumn id="16" name="Source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id="10" name="Competences_Niveaux" displayName="Competences_Niveaux" ref="A4:E45" headerRowCount="1">
  <autoFilter ref="A4:E45"/>
  <tableColumns count="5">
    <tableColumn id="1" name="Compétence"/>
    <tableColumn id="2" name="Libellé"/>
    <tableColumn id="3" name="Groupe"/>
    <tableColumn id="4" name="Niveau attendu"/>
    <tableColumn id="5" name="Commentaire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id="11" name="Creneaux" displayName="Creneaux" ref="A4:J11" headerRowCount="1">
  <autoFilter ref="A4:J11"/>
  <tableColumns count="10">
    <tableColumn id="1" name="ID"/>
    <tableColumn id="2" name="Jour"/>
    <tableColumn id="3" name="Heure début"/>
    <tableColumn id="4" name="Heure fin"/>
    <tableColumn id="5" name="Bassin"/>
    <tableColumn id="6" name="Nb de lignes ouvertes"/>
    <tableColumn id="7" name="Régime"/>
    <tableColumn id="8" name="Actif"/>
    <tableColumn id="9" name="Libellé (calculé)"/>
    <tableColumn id="10" name="Commentaire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id="12" name="Creneaux_Groupes" displayName="Creneaux_Groupes" ref="A4:K80" headerRowCount="1">
  <autoFilter ref="A4:K80"/>
  <tableColumns count="11">
    <tableColumn id="1" name="Créneau"/>
    <tableColumn id="2" name="Créneau (ID)"/>
    <tableColumn id="3" name="Date d'effet"/>
    <tableColumn id="4" name="Groupe de niveau"/>
    <tableColumn id="5" name="Sélection par nom ou prénom"/>
    <tableColumn id="6" name="Encadrant (ID)"/>
    <tableColumn id="7" name="Nom"/>
    <tableColumn id="8" name="Prénom"/>
    <tableColumn id="9" name="Nb de lignes allouées"/>
    <tableColumn id="10" name="Commentaire"/>
    <tableColumn id="11" name="Contrôle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id="13" name="Personnes" displayName="Personnes" ref="A4:K104" headerRowCount="1">
  <autoFilter ref="A4:K104"/>
  <sortState ref="A5:K104">
    <sortCondition ref="B5:B104"/>
  </sortState>
  <tableColumns count="11">
    <tableColumn id="1" name="ID"/>
    <tableColumn id="2" name="Nom"/>
    <tableColumn id="3" name="Prénom"/>
    <tableColumn id="4" name="Genre"/>
    <tableColumn id="5" name="Date de naissance"/>
    <tableColumn id="6" name="Courriel"/>
    <tableColumn id="7" name="Statut"/>
    <tableColumn id="8" name="Origine de la donnée"/>
    <tableColumn id="9" name="Commentaire"/>
    <tableColumn id="10" name="Libellé (calculé)"/>
    <tableColumn id="11" name="Rang par prénom (calculé)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id="14" name="Qualifications_Personnes" displayName="Qualifications_Personnes" ref="A4:K200" headerRowCount="1">
  <autoFilter ref="A4:K200"/>
  <tableColumns count="11">
    <tableColumn id="1" name="Sélection par nom ou prénom"/>
    <tableColumn id="2" name="Personne (ID)"/>
    <tableColumn id="3" name="Nom"/>
    <tableColumn id="4" name="Prénom"/>
    <tableColumn id="5" name="Qualification"/>
    <tableColumn id="6" name="Type (calculé)"/>
    <tableColumn id="7" name="Libellé (calculé)"/>
    <tableColumn id="8" name="Date d'obtention"/>
    <tableColumn id="9" name="Date de recyclage"/>
    <tableColumn id="10" name="Valide"/>
    <tableColumn id="11" name="Commentaire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id="15" name="Inscriptions" displayName="Inscriptions" ref="A4:M500" headerRowCount="1">
  <autoFilter ref="A4:M500"/>
  <sortState ref="A5:M116">
    <sortCondition ref="F5:F116"/>
    <sortCondition descending="1" ref="G5:G116"/>
    <sortCondition ref="D5:D116"/>
  </sortState>
  <tableColumns count="13">
    <tableColumn id="1" name="Saison"/>
    <tableColumn id="2" name="Sélection par nom ou prénom"/>
    <tableColumn id="3" name="Personne (ID)" dataDxfId="11">
      <calculatedColumnFormula>IFERROR(MID($B5,FIND("[",$B5)+1,FIND("]",$B5)-FIND("[",$B5)-1),"")</calculatedColumnFormula>
    </tableColumn>
    <tableColumn id="4" name="Nom" dataDxfId="10">
      <calculatedColumnFormula>IFERROR(INDEX(Personnes!$B$5:$B$104,MATCH($C5,Personnes!$A$5:$A$104,0))&amp;"","")</calculatedColumnFormula>
    </tableColumn>
    <tableColumn id="5" name="Prénom" dataDxfId="9">
      <calculatedColumnFormula>IFERROR(INDEX(Personnes!$C$5:$C$104,MATCH($C5,Personnes!$A$5:$A$104,0))&amp;"","")</calculatedColumnFormula>
    </tableColumn>
    <tableColumn id="6" name="Groupe de niveau"/>
    <tableColumn id="7" name="Rôle"/>
    <tableColumn id="8" name="Support de saisie"/>
    <tableColumn id="9" name="Date de début"/>
    <tableColumn id="10" name="Date de fin"/>
    <tableColumn id="11" name="Objectif de la saison"/>
    <tableColumn id="12" name="Commentaire"/>
    <tableColumn id="13" name="Contrôle" dataDxfId="8">
      <calculatedColumnFormula>IF($B5="","",IF($C5="","personne non reconnue",IF(ISERROR(SEARCH(TRIM($E5&amp;" "&amp;$D5),$B5)),"libellé incohérent avec l’identifiant",IF(COUNTIFS($A$5:$A$5,$A5,$C$5:$C$5,$C5,$F$5:$F$5,$F5,$G$5:$G$5,$G5)&gt;1,"doublon",IF($F5="","groupe manquant",IF($G5="","rôle manquant",IF($H5="","support de saisie manquant",IF(AND($I5&lt;&gt;"",$J5&lt;&gt;"",$J5&lt;$I5),"date de fin antérieure à la date de début","ok"))))))))</calculatedColumnFormula>
    </tableColumn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id="16" name="Responsables_Ligne" displayName="Responsables_Ligne" ref="A4:G30" headerRowCount="1" dataDxfId="7">
  <autoFilter ref="A4:G30"/>
  <tableColumns count="7">
    <tableColumn id="1" name="Groupe de niveau" dataDxfId="6"/>
    <tableColumn id="2" name="Date d'effet" dataDxfId="5"/>
    <tableColumn id="3" name="Sélection par nom ou prénom" dataDxfId="4"/>
    <tableColumn id="4" name="Personne (ID)" dataDxfId="3">
      <calculatedColumnFormula>IFERROR(MID($C5,FIND("[",$C5)+1,FIND("]",$C5)-FIND("[",$C5)-1),"")</calculatedColumnFormula>
    </tableColumn>
    <tableColumn id="5" name="Nom" dataDxfId="2">
      <calculatedColumnFormula>IFERROR(INDEX(Personnes!$B$5:$B$104,MATCH($D5,Personnes!$A$5:$A$104,0))&amp;"","")</calculatedColumnFormula>
    </tableColumn>
    <tableColumn id="6" name="Prénom" dataDxfId="1">
      <calculatedColumnFormula>IFERROR(INDEX(Personnes!$C$5:$C$104,MATCH($D5,Personnes!$A$5:$A$104,0))&amp;"","")</calculatedColumnFormula>
    </tableColumn>
    <tableColumn id="7" name="Commentaire" dataDxfId="0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id="17" name="Indisponibilites" displayName="Indisponibilites" ref="A4:I300" headerRowCount="1">
  <autoFilter ref="A4:I300"/>
  <tableColumns count="9">
    <tableColumn id="1" name="Sélection par nom ou prénom"/>
    <tableColumn id="2" name="Personne (ID)"/>
    <tableColumn id="3" name="Nom"/>
    <tableColumn id="4" name="Prénom"/>
    <tableColumn id="5" name="Date de début"/>
    <tableColumn id="6" name="Date de fin"/>
    <tableColumn id="7" name="Motif"/>
    <tableColumn id="8" name="Créneau concerné (facultatif)"/>
    <tableColumn id="9" name="Commentaire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id="18" name="Controles" displayName="Controles" ref="A4:C25" headerRowCount="1">
  <autoFilter ref="A4:C25"/>
  <tableColumns count="3">
    <tableColumn id="1" name="Contrôle"/>
    <tableColumn id="2" name="Valeur"/>
    <tableColumn id="3" name="Signification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id="19" name="Selection" displayName="Selection" ref="A1:A150" headerRowCount="1">
  <autoFilter ref="A1:A150"/>
  <tableColumns count="1">
    <tableColumn id="1" name="Personnes triées par prénom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id="20" name="Listes" displayName="Listes" ref="A4:S16" headerRowCount="1">
  <autoFilter ref="A4:S16"/>
  <tableColumns count="19">
    <tableColumn id="1" name="Niveaux de compétence"/>
    <tableColumn id="2" name="Statut d'acquisition"/>
    <tableColumn id="3" name="Qualité de réalisation"/>
    <tableColumn id="4" name="Rôles d'encadrement"/>
    <tableColumn id="5" name="Rôles de personne"/>
    <tableColumn id="6" name="Supports de saisie"/>
    <tableColumn id="7" name="Périodicités"/>
    <tableColumn id="8" name="Motifs d'indisponibilité"/>
    <tableColumn id="9" name="Motifs d'absence"/>
    <tableColumn id="10" name="Jours"/>
    <tableColumn id="11" name="Genres"/>
    <tableColumn id="12" name="Statuts de personne"/>
    <tableColumn id="13" name="Types d'objectif"/>
    <tableColumn id="14" name="Contraintes de validation"/>
    <tableColumn id="15" name="Natures de séance"/>
    <tableColumn id="16" name="Statuts de séance"/>
    <tableColumn id="17" name="Avis d'encadrant"/>
    <tableColumn id="18" name="Types d'événement"/>
    <tableColumn id="19" name="Gravité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10" defaultColWidth="8.83203125" defaultRowHeight="15"/>
  <cols>
    <col width="4" customWidth="1" min="1" max="1"/>
    <col width="118" customWidth="1" min="2" max="2"/>
  </cols>
  <sheetData>
    <row r="1" ht="20" customHeight="1">
      <c r="A1" s="1" t="inlineStr">
        <is>
          <t>Classeur de paramétrage — Apnée Attitude — saison 2026-2027</t>
        </is>
      </c>
    </row>
    <row r="4" ht="16" customHeight="1">
      <c r="B4" s="2" t="inlineStr">
        <is>
          <t>À quoi sert ce classeur</t>
        </is>
      </c>
    </row>
    <row r="5" ht="42" customHeight="1">
      <c r="B5" s="3" t="inlineStr">
        <is>
          <t>Ce classeur porte le paramétrage du suivi des entraînements pour tout le club : référentiels, cadre d'organisation, personnes, calendrier perpétuel. Il ne contient aucune donnée de suivi — celles-ci vivent dans un classeur par ligne d'eau.</t>
        </is>
      </c>
    </row>
    <row r="6" ht="28" customHeight="1">
      <c r="B6" s="3" t="inlineStr">
        <is>
          <t>Il sert aussi de contrat de données à la future application : un onglet correspond à une table, une colonne à un champ, une ligne à un enregistrement. Sa structure ne doit donc pas être modifiée.</t>
        </is>
      </c>
    </row>
    <row r="8" ht="16" customHeight="1">
      <c r="B8" s="2" t="inlineStr">
        <is>
          <t>Trois couleurs de fond, trois natures de cellule</t>
        </is>
      </c>
    </row>
    <row r="9" ht="14" customHeight="1">
      <c r="B9" s="3" t="inlineStr">
        <is>
          <t>Blanc — vous saisissez librement.</t>
        </is>
      </c>
    </row>
    <row r="10" ht="14" customHeight="1">
      <c r="B10" s="3" t="inlineStr">
        <is>
          <t>Vert clair — vous saisissez avec une aide : liste déroulante, ou sélection d'une personne.</t>
        </is>
      </c>
    </row>
    <row r="11" ht="14" customHeight="1">
      <c r="B11" s="3" t="inlineStr">
        <is>
          <t>Gris — valeur calculée. N'y touchez pas, elle se met à jour seule.</t>
        </is>
      </c>
    </row>
    <row r="12" ht="28" customHeight="1">
      <c r="B12" s="3" t="inlineStr">
        <is>
          <t>C'est le seul code couleur du classeur. Aucune information métier n'est portée par une couleur : si une information manque quelque part, il faut lui ajouter une colonne.</t>
        </is>
      </c>
    </row>
    <row r="14" ht="16" customHeight="1">
      <c r="B14" s="2" t="inlineStr">
        <is>
          <t>Des tables Excel, pas des plages figées</t>
        </is>
      </c>
    </row>
    <row r="15" ht="42" customHeight="1">
      <c r="B15" s="3" t="inlineStr">
        <is>
          <t>Chaque table de données est une Table Excel nommée, avec une seule ligne libre en réserve. Tapez dans cette ligne : la table s'agrandit d'elle-même et reprend formules, formats et listes déroulantes de la ligne du dessus. Inutile d'insérer une ligne ou de recopier quoi que ce soit.</t>
        </is>
      </c>
    </row>
    <row r="17" ht="16" customHeight="1">
      <c r="B17" s="2" t="inlineStr">
        <is>
          <t>Une personne, plusieurs rôles</t>
        </is>
      </c>
    </row>
    <row r="18" ht="56" customHeight="1">
      <c r="B18" s="3" t="inlineStr">
        <is>
          <t>Dans Inscriptions, une ligne porte un seul rôle pour un seul groupe. Une personne encadrante en L3 et élève en L4 a donc **deux lignes** : une (L3, encadrant) et une (L4, élève). Le contrôle de doublon porte sur le quadruplet saison, personne, groupe, rôle — deux lignes de rôles différents ne sont donc pas des doublons.</t>
        </is>
      </c>
    </row>
    <row r="20" ht="16" customHeight="1">
      <c r="B20" s="2" t="inlineStr">
        <is>
          <t>Sélectionner une personne</t>
        </is>
      </c>
    </row>
    <row r="21" ht="70" customHeight="1">
      <c r="B21" s="3" t="inlineStr">
        <is>
          <t>Vous ne saisissez jamais un identifiant. Une colonne « Sélection par nom ou prénom » vous propose la liste des personnes du club, **triée par prénom**, au format « Prénom NOM [identifiant] ». Tapez les premières lettres du prénom pour y aller plus vite. L'identifiant, le nom et le prénom se remplissent ensuite tout seuls dans les trois colonnes grises qui suivent — un coup d'œil suffit à vérifier que vous avez désigné la bonne personne.</t>
        </is>
      </c>
    </row>
    <row r="22" ht="28" customHeight="1">
      <c r="B22" s="3" t="inlineStr">
        <is>
          <t>La liste est alimentée par l'onglet Personnes. Une personne ajoutée là devient immédiatement sélectionnable partout ailleurs, sans rien d'autre à faire.</t>
        </is>
      </c>
    </row>
    <row r="24" ht="16" customHeight="1">
      <c r="B24" s="2" t="inlineStr">
        <is>
          <t>Les créneaux, en deux tables</t>
        </is>
      </c>
    </row>
    <row r="25" ht="14" customHeight="1">
      <c r="B25" s="3" t="inlineStr">
        <is>
          <t>Creneaux — les créneaux de piscine : jour, horaires, bassin, nombre de lignes. Stables sur la saison.</t>
        </is>
      </c>
    </row>
    <row r="26" ht="56" customHeight="1">
      <c r="B26" s="3" t="inlineStr">
        <is>
          <t>Creneaux_Groupes — le calendrier perpétuel : quels groupes occupent quel créneau, **à partir de quelle date**, et **avec quel encadrant**. Un créneau peut accueillir plusieurs groupes ; un couple créneau / groupe peut avoir plusieurs encadrants, à raison d'une ligne par encadrant. La répartition fine se règle ensuite séance par séance dans le classeur de ligne.</t>
        </is>
      </c>
    </row>
    <row r="27" ht="14" customHeight="1">
      <c r="B27" s="3" t="inlineStr">
        <is>
          <t>Une évolution en cours d'année n'écrase rien : on ajoute une ligne avec une nouvelle date d'effet.</t>
        </is>
      </c>
    </row>
    <row r="29" ht="16" customHeight="1">
      <c r="B29" s="2" t="inlineStr">
        <is>
          <t>Six règles</t>
        </is>
      </c>
    </row>
    <row r="30" ht="14" customHeight="1">
      <c r="B30" s="3" t="inlineStr">
        <is>
          <t>1. Ne renommez pas les onglets et ne déplacez pas les colonnes.</t>
        </is>
      </c>
    </row>
    <row r="31" ht="14" customHeight="1">
      <c r="B31" s="3" t="inlineStr">
        <is>
          <t>2. Une ligne = un enregistrement. Jamais de sous-total ni de ligne vide au milieu d'un tableau.</t>
        </is>
      </c>
    </row>
    <row r="32" ht="14" customHeight="1">
      <c r="B32" s="3" t="inlineStr">
        <is>
          <t>3. Aucune cellule fusionnée dans les zones de données.</t>
        </is>
      </c>
    </row>
    <row r="33" ht="28" customHeight="1">
      <c r="B33" s="3" t="inlineStr">
        <is>
          <t>4. Les codes de la première colonne des référentiels sont des identifiants : ne les modifiez jamais après la première saisie.</t>
        </is>
      </c>
    </row>
    <row r="34" ht="14" customHeight="1">
      <c r="B34" s="3" t="inlineStr">
        <is>
          <t>5. L'onglet Controles indique ce qui reste à compléter.</t>
        </is>
      </c>
    </row>
    <row r="35" ht="14" customHeight="1">
      <c r="B35" s="3" t="inlineStr">
        <is>
          <t>6. Après toute modification, relancez la synchronisation des classeurs de ligne.</t>
        </is>
      </c>
    </row>
    <row r="37" ht="16" customHeight="1">
      <c r="B37" s="2" t="inlineStr">
        <is>
          <t>Points de vigilance connus</t>
        </is>
      </c>
    </row>
    <row r="38" ht="28" customHeight="1">
      <c r="B38" s="3" t="inlineStr">
        <is>
          <t>Le nombre de répétitions exigé pour valider un objectif en maîtrise varie selon le niveau : 7 en L1, 5 en L2, 3 en L3. Le L4 relève d'un critère qualitatif non calculable en l'état.</t>
        </is>
      </c>
    </row>
    <row r="39" ht="28" customHeight="1">
      <c r="B39" s="3" t="inlineStr">
        <is>
          <t>L'intervalle maximal de 7 minutes entre départs ne figure dans aucun plan d'entraînement : il est appliqué à L1, L2 et L3 et reste à valider.</t>
        </is>
      </c>
    </row>
    <row r="40" ht="28" customHeight="1">
      <c r="B40" s="3" t="inlineStr">
        <is>
          <t>Les critères observables des compétences et les niveaux attendus sont des propositions, à valider collégialement.</t>
        </is>
      </c>
    </row>
    <row r="41" ht="28" customHeight="1">
      <c r="B41" s="3" t="inlineStr">
        <is>
          <t>Les prérogatives par qualification sont vides : elles conditionnent le contrôle de validité des affectations et doivent être renseignées d'après les textes fédéraux.</t>
        </is>
      </c>
    </row>
    <row r="42" ht="28" customHeight="1">
      <c r="B42" s="3" t="inlineStr">
        <is>
          <t>La statique, le DNF et l'apnée en profondeur sont hors périmètre du MVP : disciplines et groupes déclarés, sans référentiel d'objectifs.</t>
        </is>
      </c>
    </row>
    <row r="44" ht="16" customHeight="1">
      <c r="B44" s="2" t="inlineStr">
        <is>
          <t>Version</t>
        </is>
      </c>
    </row>
    <row r="45" ht="28" customHeight="1">
      <c r="B45" s="3" t="inlineStr">
        <is>
          <t>Version 1.3 — 21 août 2026. Généré depuis les documents de cadrage 1.2 à 1.6 (dossier site_apnee/Cadrage_v2).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5F"/>
    <outlinePr summaryBelow="1" summaryRight="1"/>
    <pageSetUpPr/>
  </sheetPr>
  <dimension ref="A1:G104"/>
  <sheetViews>
    <sheetView tabSelected="1" workbookViewId="0">
      <pane ySplit="13" topLeftCell="A45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34" customWidth="1" min="2" max="2"/>
    <col width="20" customWidth="1" min="3" max="3"/>
    <col width="22" customWidth="1" min="4" max="4"/>
    <col width="26" customWidth="1" min="5" max="5"/>
    <col width="48" customWidth="1" min="6" max="6"/>
    <col width="56" customWidth="1" min="7" max="7"/>
  </cols>
  <sheetData>
    <row r="1" ht="18" customHeight="1">
      <c r="A1" s="4" t="inlineStr">
        <is>
          <t>Référentiels généraux</t>
        </is>
      </c>
    </row>
    <row r="2">
      <c r="A2" s="5" t="inlineStr">
        <is>
          <t>Huit petits référentiels, regroupés ici plutôt que dispersés sur autant d'onglets presque vides. Chaque section est une Table Excel à part entière.</t>
        </is>
      </c>
    </row>
    <row r="4" ht="16" customHeight="1">
      <c r="A4" s="2" t="inlineStr">
        <is>
          <t>Sommaire</t>
        </is>
      </c>
    </row>
    <row r="5">
      <c r="A5" s="6">
        <f>HYPERLINK("#Referentiels!A17","Disciplines")</f>
        <v/>
      </c>
    </row>
    <row r="6">
      <c r="A6" s="6">
        <f>HYPERLINK("#Referentiels!A26","Groupes de niveaux")</f>
        <v/>
      </c>
    </row>
    <row r="7">
      <c r="A7" s="6">
        <f>HYPERLINK("#Referentiels!A41","Familles d'objectifs")</f>
        <v/>
      </c>
    </row>
    <row r="8">
      <c r="A8" s="6">
        <f>HYPERLINK("#Referentiels!A53","Familles de compétences")</f>
        <v/>
      </c>
    </row>
    <row r="9">
      <c r="A9" s="6">
        <f>HYPERLINK("#Referentiels!A66","Qualifications")</f>
        <v/>
      </c>
    </row>
    <row r="10">
      <c r="A10" s="6">
        <f>HYPERLINK("#Referentiels!A81","Bassins")</f>
        <v/>
      </c>
    </row>
    <row r="11">
      <c r="A11" s="6">
        <f>HYPERLINK("#Referentiels!A88","Régimes d'ouverture")</f>
        <v/>
      </c>
    </row>
    <row r="12">
      <c r="A12" s="6">
        <f>HYPERLINK("#Referentiels!A98","Périodes d'application des régimes")</f>
        <v/>
      </c>
    </row>
    <row r="14" ht="16" customHeight="1">
      <c r="A14" s="2" t="inlineStr">
        <is>
          <t>Disciplines</t>
        </is>
      </c>
    </row>
    <row r="15">
      <c r="A15" s="5" t="inlineStr">
        <is>
          <t>Liste paramétrable. Le code est l'identifiant : ne jamais le modifier.</t>
        </is>
      </c>
    </row>
    <row r="16" ht="32" customHeight="1">
      <c r="A16" s="7" t="inlineStr">
        <is>
          <t>Code</t>
        </is>
      </c>
      <c r="B16" s="7" t="inlineStr">
        <is>
          <t>Libellé</t>
        </is>
      </c>
      <c r="C16" s="7" t="inlineStr">
        <is>
          <t>Ordre</t>
        </is>
      </c>
      <c r="D16" s="7" t="inlineStr">
        <is>
          <t>Dans le MVP</t>
        </is>
      </c>
      <c r="E16" s="7" t="inlineStr">
        <is>
          <t>Commentaire</t>
        </is>
      </c>
    </row>
    <row r="17" ht="28" customHeight="1">
      <c r="A17" s="8" t="inlineStr">
        <is>
          <t>DYN</t>
        </is>
      </c>
      <c r="B17" s="8" t="inlineStr">
        <is>
          <t>Apnée dynamique avec palmes</t>
        </is>
      </c>
      <c r="C17" s="8" t="n">
        <v>1</v>
      </c>
      <c r="D17" s="9" t="inlineStr">
        <is>
          <t>oui</t>
        </is>
      </c>
      <c r="E17" s="10" t="inlineStr">
        <is>
          <t>Seule discipline retenue au MVP (décision D-23).</t>
        </is>
      </c>
    </row>
    <row r="18" ht="28" customHeight="1">
      <c r="A18" s="8" t="inlineStr">
        <is>
          <t>DNF</t>
        </is>
      </c>
      <c r="B18" s="8" t="inlineStr">
        <is>
          <t>Apnée dynamique sans palme</t>
        </is>
      </c>
      <c r="C18" s="8" t="n">
        <v>2</v>
      </c>
      <c r="D18" s="9" t="inlineStr">
        <is>
          <t>non</t>
        </is>
      </c>
      <c r="E18" s="10" t="inlineStr">
        <is>
          <t>Hors MVP. Aucun plan d'entraînement dédié à ce jour.</t>
        </is>
      </c>
    </row>
    <row r="19" ht="28" customHeight="1">
      <c r="A19" s="8" t="inlineStr">
        <is>
          <t>STA</t>
        </is>
      </c>
      <c r="B19" s="8" t="inlineStr">
        <is>
          <t>Apnée statique</t>
        </is>
      </c>
      <c r="C19" s="8" t="n">
        <v>3</v>
      </c>
      <c r="D19" s="9" t="inlineStr">
        <is>
          <t>non</t>
        </is>
      </c>
      <c r="E19" s="10" t="inlineStr">
        <is>
          <t>Hors MVP. Aucun plan d'entraînement dédié à ce jour.</t>
        </is>
      </c>
    </row>
    <row r="20" ht="42" customHeight="1">
      <c r="A20" s="8" t="inlineStr">
        <is>
          <t>PRO</t>
        </is>
      </c>
      <c r="B20" s="8" t="inlineStr">
        <is>
          <t>Apnée en profondeur</t>
        </is>
      </c>
      <c r="C20" s="8" t="n">
        <v>4</v>
      </c>
      <c r="D20" s="9" t="inlineStr">
        <is>
          <t>non</t>
        </is>
      </c>
      <c r="E20" s="10" t="inlineStr">
        <is>
          <t>Hors MVP. Organisation en fosse et milieu naturel, à cadrer.</t>
        </is>
      </c>
    </row>
    <row r="21">
      <c r="A21" s="8" t="n"/>
      <c r="B21" s="8" t="n"/>
      <c r="C21" s="8" t="n"/>
      <c r="D21" s="9" t="n"/>
      <c r="E21" s="10" t="n"/>
    </row>
    <row r="23" ht="16" customHeight="1">
      <c r="A23" s="2" t="inlineStr">
        <is>
          <t>Groupes de niveaux</t>
        </is>
      </c>
    </row>
    <row r="24">
      <c r="A24" s="5" t="inlineStr">
        <is>
          <t>Paramétrables par discipline. « Groupe précédent » rend la progression explicite d'un niveau au suivant.</t>
        </is>
      </c>
    </row>
    <row r="25" ht="32" customHeight="1">
      <c r="A25" s="7" t="inlineStr">
        <is>
          <t>Code</t>
        </is>
      </c>
      <c r="B25" s="7" t="inlineStr">
        <is>
          <t>Libellé</t>
        </is>
      </c>
      <c r="C25" s="7" t="inlineStr">
        <is>
          <t>Discipline</t>
        </is>
      </c>
      <c r="D25" s="7" t="inlineStr">
        <is>
          <t>Rang</t>
        </is>
      </c>
      <c r="E25" s="7" t="inlineStr">
        <is>
          <t>Groupe précédent</t>
        </is>
      </c>
      <c r="F25" s="7" t="inlineStr">
        <is>
          <t>Dans le MVP</t>
        </is>
      </c>
      <c r="G25" s="7" t="inlineStr">
        <is>
          <t>Commentaire</t>
        </is>
      </c>
    </row>
    <row r="26">
      <c r="A26" s="8" t="inlineStr">
        <is>
          <t>L1</t>
        </is>
      </c>
      <c r="B26" s="8" t="inlineStr">
        <is>
          <t>L1 — Initiation</t>
        </is>
      </c>
      <c r="C26" s="9" t="inlineStr">
        <is>
          <t>DYN</t>
        </is>
      </c>
      <c r="D26" s="8" t="n">
        <v>1</v>
      </c>
      <c r="E26" s="9" t="n"/>
      <c r="F26" s="9" t="inlineStr">
        <is>
          <t>oui</t>
        </is>
      </c>
      <c r="G26" s="10" t="inlineStr">
        <is>
          <t>Débutants</t>
        </is>
      </c>
    </row>
    <row r="27">
      <c r="A27" s="8" t="inlineStr">
        <is>
          <t>L2</t>
        </is>
      </c>
      <c r="B27" s="8" t="inlineStr">
        <is>
          <t>L2 — Intermédiaire</t>
        </is>
      </c>
      <c r="C27" s="9" t="inlineStr">
        <is>
          <t>DYN</t>
        </is>
      </c>
      <c r="D27" s="8" t="n">
        <v>2</v>
      </c>
      <c r="E27" s="9" t="inlineStr">
        <is>
          <t>L1</t>
        </is>
      </c>
      <c r="F27" s="9" t="inlineStr">
        <is>
          <t>oui</t>
        </is>
      </c>
      <c r="G27" s="10" t="inlineStr">
        <is>
          <t>Intermédiaires</t>
        </is>
      </c>
    </row>
    <row r="28">
      <c r="A28" s="8" t="inlineStr">
        <is>
          <t>L3</t>
        </is>
      </c>
      <c r="B28" s="8" t="inlineStr">
        <is>
          <t>L3 — Confirmé</t>
        </is>
      </c>
      <c r="C28" s="9" t="inlineStr">
        <is>
          <t>DYN</t>
        </is>
      </c>
      <c r="D28" s="8" t="n">
        <v>3</v>
      </c>
      <c r="E28" s="9" t="inlineStr">
        <is>
          <t>L2</t>
        </is>
      </c>
      <c r="F28" s="9" t="inlineStr">
        <is>
          <t>oui</t>
        </is>
      </c>
      <c r="G28" s="10" t="inlineStr">
        <is>
          <t>Confirmés</t>
        </is>
      </c>
    </row>
    <row r="29">
      <c r="A29" s="8" t="inlineStr">
        <is>
          <t>L4</t>
        </is>
      </c>
      <c r="B29" s="8" t="inlineStr">
        <is>
          <t>L4 — Expert</t>
        </is>
      </c>
      <c r="C29" s="9" t="inlineStr">
        <is>
          <t>DYN</t>
        </is>
      </c>
      <c r="D29" s="8" t="n">
        <v>4</v>
      </c>
      <c r="E29" s="9" t="inlineStr">
        <is>
          <t>L3</t>
        </is>
      </c>
      <c r="F29" s="9" t="inlineStr">
        <is>
          <t>oui</t>
        </is>
      </c>
      <c r="G29" s="10" t="inlineStr">
        <is>
          <t>Experts</t>
        </is>
      </c>
    </row>
    <row r="30">
      <c r="A30" s="8" t="inlineStr">
        <is>
          <t>LC</t>
        </is>
      </c>
      <c r="B30" s="8" t="inlineStr">
        <is>
          <t>LC — Compétition</t>
        </is>
      </c>
      <c r="C30" s="9" t="inlineStr">
        <is>
          <t>DYN</t>
        </is>
      </c>
      <c r="D30" s="8" t="n">
        <v>5</v>
      </c>
      <c r="E30" s="9" t="inlineStr">
        <is>
          <t>L4</t>
        </is>
      </c>
      <c r="F30" s="9" t="inlineStr">
        <is>
          <t>oui</t>
        </is>
      </c>
      <c r="G30" s="10" t="inlineStr">
        <is>
          <t>Pas de plan propre : séances calquées sur le L4, logique de records.</t>
        </is>
      </c>
    </row>
    <row r="31">
      <c r="A31" s="8" t="inlineStr">
        <is>
          <t>DNF1</t>
        </is>
      </c>
      <c r="B31" s="8" t="inlineStr">
        <is>
          <t>DNF 1</t>
        </is>
      </c>
      <c r="C31" s="9" t="inlineStr">
        <is>
          <t>DNF</t>
        </is>
      </c>
      <c r="D31" s="8" t="n">
        <v>1</v>
      </c>
      <c r="E31" s="9" t="n"/>
      <c r="F31" s="9" t="inlineStr">
        <is>
          <t>non</t>
        </is>
      </c>
      <c r="G31" s="10" t="inlineStr">
        <is>
          <t>Hors MVP</t>
        </is>
      </c>
    </row>
    <row r="32">
      <c r="A32" s="8" t="inlineStr">
        <is>
          <t>DNF2</t>
        </is>
      </c>
      <c r="B32" s="8" t="inlineStr">
        <is>
          <t>DNF 2</t>
        </is>
      </c>
      <c r="C32" s="9" t="inlineStr">
        <is>
          <t>DNF</t>
        </is>
      </c>
      <c r="D32" s="8" t="n">
        <v>2</v>
      </c>
      <c r="E32" s="9" t="inlineStr">
        <is>
          <t>DNF1</t>
        </is>
      </c>
      <c r="F32" s="9" t="inlineStr">
        <is>
          <t>non</t>
        </is>
      </c>
      <c r="G32" s="10" t="inlineStr">
        <is>
          <t>Hors MVP</t>
        </is>
      </c>
    </row>
    <row r="33">
      <c r="A33" s="8" t="inlineStr">
        <is>
          <t>STA1</t>
        </is>
      </c>
      <c r="B33" s="8" t="inlineStr">
        <is>
          <t>STA 1</t>
        </is>
      </c>
      <c r="C33" s="9" t="inlineStr">
        <is>
          <t>STA</t>
        </is>
      </c>
      <c r="D33" s="8" t="n">
        <v>1</v>
      </c>
      <c r="E33" s="9" t="n"/>
      <c r="F33" s="9" t="inlineStr">
        <is>
          <t>non</t>
        </is>
      </c>
      <c r="G33" s="10" t="inlineStr">
        <is>
          <t>Hors MVP</t>
        </is>
      </c>
    </row>
    <row r="34">
      <c r="A34" s="8" t="inlineStr">
        <is>
          <t>STA2</t>
        </is>
      </c>
      <c r="B34" s="8" t="inlineStr">
        <is>
          <t>STA 2</t>
        </is>
      </c>
      <c r="C34" s="9" t="inlineStr">
        <is>
          <t>STA</t>
        </is>
      </c>
      <c r="D34" s="8" t="n">
        <v>2</v>
      </c>
      <c r="E34" s="9" t="inlineStr">
        <is>
          <t>STA1</t>
        </is>
      </c>
      <c r="F34" s="9" t="inlineStr">
        <is>
          <t>non</t>
        </is>
      </c>
      <c r="G34" s="10" t="inlineStr">
        <is>
          <t>Hors MVP</t>
        </is>
      </c>
    </row>
    <row r="35">
      <c r="A35" s="8" t="inlineStr">
        <is>
          <t>STAC</t>
        </is>
      </c>
      <c r="B35" s="8" t="inlineStr">
        <is>
          <t>STA compétition</t>
        </is>
      </c>
      <c r="C35" s="9" t="inlineStr">
        <is>
          <t>STA</t>
        </is>
      </c>
      <c r="D35" s="8" t="n">
        <v>3</v>
      </c>
      <c r="E35" s="9" t="inlineStr">
        <is>
          <t>STA2</t>
        </is>
      </c>
      <c r="F35" s="9" t="inlineStr">
        <is>
          <t>non</t>
        </is>
      </c>
      <c r="G35" s="10" t="inlineStr">
        <is>
          <t>Hors MVP</t>
        </is>
      </c>
    </row>
    <row r="36">
      <c r="A36" s="8" t="n"/>
      <c r="B36" s="8" t="n"/>
      <c r="C36" s="9" t="n"/>
      <c r="D36" s="8" t="n"/>
      <c r="E36" s="9" t="n"/>
      <c r="F36" s="9" t="n"/>
      <c r="G36" s="10" t="n"/>
    </row>
    <row r="38" ht="16" customHeight="1">
      <c r="A38" s="2" t="inlineStr">
        <is>
          <t>Familles d'objectifs</t>
        </is>
      </c>
    </row>
    <row r="39">
      <c r="A39" s="5" t="inlineStr">
        <is>
          <t>Sept familles couvrent les objectifs des quatre niveaux. Chaque groupe prélève deux seuils sur l'échelle d'une famille.</t>
        </is>
      </c>
    </row>
    <row r="40" ht="32" customHeight="1">
      <c r="A40" s="7" t="inlineStr">
        <is>
          <t>Code</t>
        </is>
      </c>
      <c r="B40" s="7" t="inlineStr">
        <is>
          <t>Libellé</t>
        </is>
      </c>
      <c r="C40" s="7" t="inlineStr">
        <is>
          <t>Discipline</t>
        </is>
      </c>
      <c r="D40" s="7" t="inlineStr">
        <is>
          <t>Unité</t>
        </is>
      </c>
      <c r="E40" s="7" t="inlineStr">
        <is>
          <t>Ce qui varie d'un niveau à l'autre</t>
        </is>
      </c>
      <c r="F40" s="7" t="inlineStr">
        <is>
          <t>Commentaire</t>
        </is>
      </c>
    </row>
    <row r="41">
      <c r="A41" s="8" t="inlineStr">
        <is>
          <t>DIST</t>
        </is>
      </c>
      <c r="B41" s="8" t="inlineStr">
        <is>
          <t>Distance maximale</t>
        </is>
      </c>
      <c r="C41" s="9" t="inlineStr">
        <is>
          <t>DYN</t>
        </is>
      </c>
      <c r="D41" s="8" t="inlineStr">
        <is>
          <t>mètre</t>
        </is>
      </c>
      <c r="E41" s="10" t="inlineStr">
        <is>
          <t>la distance</t>
        </is>
      </c>
      <c r="F41" s="10" t="inlineStr">
        <is>
          <t>Objectif structurant de chaque niveau.</t>
        </is>
      </c>
    </row>
    <row r="42" ht="28" customHeight="1">
      <c r="A42" s="8" t="inlineStr">
        <is>
          <t>SERIE_HC</t>
        </is>
      </c>
      <c r="B42" s="8" t="inlineStr">
        <is>
          <t>Série hypercapnique</t>
        </is>
      </c>
      <c r="C42" s="9" t="inlineStr">
        <is>
          <t>DYN</t>
        </is>
      </c>
      <c r="D42" s="8" t="inlineStr">
        <is>
          <t>temps de départ</t>
        </is>
      </c>
      <c r="E42" s="10" t="inlineStr">
        <is>
          <t>l'intervalle de départ, à 4 × 50 m constants</t>
        </is>
      </c>
      <c r="F42" s="10" t="n"/>
    </row>
    <row r="43" ht="28" customHeight="1">
      <c r="A43" s="8" t="inlineStr">
        <is>
          <t>SERIE_CT</t>
        </is>
      </c>
      <c r="B43" s="8" t="inlineStr">
        <is>
          <t>Série courte à récupération brève</t>
        </is>
      </c>
      <c r="C43" s="9" t="inlineStr">
        <is>
          <t>DYN</t>
        </is>
      </c>
      <c r="D43" s="8" t="inlineStr">
        <is>
          <t>nombre × distance + secondes</t>
        </is>
      </c>
      <c r="E43" s="10" t="inlineStr">
        <is>
          <t>le nombre de répétitions et la récupération</t>
        </is>
      </c>
      <c r="F43" s="10" t="inlineStr">
        <is>
          <t>Absente au-delà du L2.</t>
        </is>
      </c>
    </row>
    <row r="44" ht="28" customHeight="1">
      <c r="A44" s="8" t="inlineStr">
        <is>
          <t>STA_DYN</t>
        </is>
      </c>
      <c r="B44" s="8" t="inlineStr">
        <is>
          <t>Enchaînement statique-dynamique</t>
        </is>
      </c>
      <c r="C44" s="9" t="inlineStr">
        <is>
          <t>DYN</t>
        </is>
      </c>
      <c r="D44" s="8" t="inlineStr">
        <is>
          <t>temps + mètre</t>
        </is>
      </c>
      <c r="E44" s="10" t="inlineStr">
        <is>
          <t>la durée de statique et la distance</t>
        </is>
      </c>
      <c r="F44" s="10" t="inlineStr">
        <is>
          <t>Exercice de la dynamique, pas une discipline distincte.</t>
        </is>
      </c>
    </row>
    <row r="45">
      <c r="A45" s="8" t="inlineStr">
        <is>
          <t>LENT</t>
        </is>
      </c>
      <c r="B45" s="8" t="inlineStr">
        <is>
          <t>Nage lente à durée imposée</t>
        </is>
      </c>
      <c r="C45" s="9" t="inlineStr">
        <is>
          <t>DYN</t>
        </is>
      </c>
      <c r="D45" s="8" t="inlineStr">
        <is>
          <t>temps</t>
        </is>
      </c>
      <c r="E45" s="10" t="inlineStr">
        <is>
          <t>la durée imposée pour 50 m</t>
        </is>
      </c>
      <c r="F45" s="10" t="n"/>
    </row>
    <row r="46">
      <c r="A46" s="8" t="inlineStr">
        <is>
          <t>BRASSE</t>
        </is>
      </c>
      <c r="B46" s="8" t="inlineStr">
        <is>
          <t>Brasse (sans palme)</t>
        </is>
      </c>
      <c r="C46" s="9" t="inlineStr">
        <is>
          <t>DYN</t>
        </is>
      </c>
      <c r="D46" s="8" t="inlineStr">
        <is>
          <t>mètre</t>
        </is>
      </c>
      <c r="E46" s="10" t="inlineStr">
        <is>
          <t>la distance</t>
        </is>
      </c>
      <c r="F46" s="10" t="inlineStr">
        <is>
          <t>Exercice de la dynamique, pas une discipline distincte.</t>
        </is>
      </c>
    </row>
    <row r="47">
      <c r="A47" s="8" t="inlineStr">
        <is>
          <t>VOL_PUL</t>
        </is>
      </c>
      <c r="B47" s="8" t="inlineStr">
        <is>
          <t>Volume pulmonaire de départ</t>
        </is>
      </c>
      <c r="C47" s="9" t="inlineStr">
        <is>
          <t>DYN</t>
        </is>
      </c>
      <c r="D47" s="8" t="inlineStr">
        <is>
          <t>modalité</t>
        </is>
      </c>
      <c r="E47" s="10" t="inlineStr">
        <is>
          <t>le volume de départ (FRC, PV)</t>
        </is>
      </c>
      <c r="F47" s="10" t="inlineStr">
        <is>
          <t>Présente au L2 uniquement.</t>
        </is>
      </c>
    </row>
    <row r="48">
      <c r="A48" s="8" t="n"/>
      <c r="B48" s="8" t="n"/>
      <c r="C48" s="9" t="n"/>
      <c r="D48" s="8" t="n"/>
      <c r="E48" s="10" t="n"/>
      <c r="F48" s="10" t="n"/>
    </row>
    <row r="50" ht="16" customHeight="1">
      <c r="A50" s="2" t="inlineStr">
        <is>
          <t>Familles de compétences</t>
        </is>
      </c>
    </row>
    <row r="51">
      <c r="A51" s="5" t="inlineStr">
        <is>
          <t>Les 8 compétences réellement évaluées. Critères observables proposés à partir des plans d'entraînement : à valider.</t>
        </is>
      </c>
    </row>
    <row r="52" ht="32" customHeight="1">
      <c r="A52" s="7" t="inlineStr">
        <is>
          <t>Code</t>
        </is>
      </c>
      <c r="B52" s="7" t="inlineStr">
        <is>
          <t>Libellé</t>
        </is>
      </c>
      <c r="C52" s="7" t="inlineStr">
        <is>
          <t>Critère observable (proposition)</t>
        </is>
      </c>
      <c r="D52" s="7" t="inlineStr">
        <is>
          <t>Appui documentaire</t>
        </is>
      </c>
    </row>
    <row r="53" ht="70" customHeight="1">
      <c r="A53" s="8" t="inlineStr">
        <is>
          <t>LEST</t>
        </is>
      </c>
      <c r="B53" s="8" t="inlineStr">
        <is>
          <t>Lestage</t>
        </is>
      </c>
      <c r="C53" s="10" t="inlineStr">
        <is>
          <t>Assiette horizontale tenue sans compensation musculaire ; flottabilité neutre en fin d'apnée.</t>
        </is>
      </c>
      <c r="D53" s="10" t="inlineStr">
        <is>
          <t>L2 : « il apporte l'hydrodynamisme en corrigeant l'assiette »</t>
        </is>
      </c>
    </row>
    <row r="54" ht="70" customHeight="1">
      <c r="A54" s="8" t="inlineStr">
        <is>
          <t>HYDRO</t>
        </is>
      </c>
      <c r="B54" s="8" t="inlineStr">
        <is>
          <t>Hydrodynamisme</t>
        </is>
      </c>
      <c r="C54" s="10" t="inlineStr">
        <is>
          <t>Position hydrodynamique conservée sur toute la distance ; aucun mouvement parasite.</t>
        </is>
      </c>
      <c r="D54" s="10" t="inlineStr">
        <is>
          <t>L2 / L3 : « hydrodynamisme optimal »</t>
        </is>
      </c>
    </row>
    <row r="55" ht="70" customHeight="1">
      <c r="A55" s="8" t="inlineStr">
        <is>
          <t>PALM_BI</t>
        </is>
      </c>
      <c r="B55" s="8" t="inlineStr">
        <is>
          <t>Palmage bi-palmes</t>
        </is>
      </c>
      <c r="C55" s="10" t="inlineStr">
        <is>
          <t>Ondulation propre, amplitude régulière, propulsion issue des hanches et non des cuisses.</t>
        </is>
      </c>
      <c r="D55" s="10" t="inlineStr">
        <is>
          <t>L3 : facteur limitant « propulsion, sursollicitation des cuisses »</t>
        </is>
      </c>
    </row>
    <row r="56" ht="42" customHeight="1">
      <c r="A56" s="8" t="inlineStr">
        <is>
          <t>PALM_MONO</t>
        </is>
      </c>
      <c r="B56" s="8" t="inlineStr">
        <is>
          <t>Palmage monopalme</t>
        </is>
      </c>
      <c r="C56" s="10" t="inlineStr">
        <is>
          <t>Ondulation continue tête-bassin-palme, bras en flèche tenus.</t>
        </is>
      </c>
      <c r="D56" s="10" t="inlineStr">
        <is>
          <t>À rédiger</t>
        </is>
      </c>
    </row>
    <row r="57" ht="84" customHeight="1">
      <c r="A57" s="8" t="inlineStr">
        <is>
          <t>VIRAGE</t>
        </is>
      </c>
      <c r="B57" s="8" t="inlineStr">
        <is>
          <t>Virage</t>
        </is>
      </c>
      <c r="C57" s="10" t="inlineStr">
        <is>
          <t>Virage fluide, sans perte de vitesse notable, sans apnée supplémentaire ; poussée d'au moins 10 m.</t>
        </is>
      </c>
      <c r="D57" s="10" t="inlineStr">
        <is>
          <t>L3 : « l'objectif : faire 10 m »</t>
        </is>
      </c>
    </row>
    <row r="58" ht="98" customHeight="1">
      <c r="A58" s="8" t="inlineStr">
        <is>
          <t>VENTIL</t>
        </is>
      </c>
      <c r="B58" s="8" t="inlineStr">
        <is>
          <t>Ventilation</t>
        </is>
      </c>
      <c r="C58" s="10" t="inlineStr">
        <is>
          <t>Préparation ventilatoire abaissant la fréquence cardiaque, dernière inspiration maîtrisée, protocole de sécurité en sortie, récupération codée respectée.</t>
        </is>
      </c>
      <c r="D58" s="10" t="inlineStr">
        <is>
          <t>L2 : « préparation ventilatoire / dernière inspiration / protocole »</t>
        </is>
      </c>
    </row>
    <row r="59" ht="84" customHeight="1">
      <c r="A59" s="8" t="inlineStr">
        <is>
          <t>SAUV</t>
        </is>
      </c>
      <c r="B59" s="8" t="inlineStr">
        <is>
          <t>Sauvetage</t>
        </is>
      </c>
      <c r="C59" s="10" t="inlineStr">
        <is>
          <t>Sait repérer les signaux hypoxiques chez son binôme et conduire une remontée et un protocole de sauvetage.</t>
        </is>
      </c>
      <c r="D59" s="10" t="inlineStr">
        <is>
          <t>L1 : « savoir pratiquer un sauvetage »</t>
        </is>
      </c>
    </row>
    <row r="60" ht="56" customHeight="1">
      <c r="A60" s="8" t="inlineStr">
        <is>
          <t>BRASSE</t>
        </is>
      </c>
      <c r="B60" s="8" t="inlineStr">
        <is>
          <t>Brasse DNF</t>
        </is>
      </c>
      <c r="C60" s="10" t="inlineStr">
        <is>
          <t>Coordination traction-glisse-ondulation, temps de glisse tenu, trajectoire rectiligne.</t>
        </is>
      </c>
      <c r="D60" s="10" t="inlineStr">
        <is>
          <t>À rédiger</t>
        </is>
      </c>
    </row>
    <row r="61">
      <c r="A61" s="8" t="n"/>
      <c r="B61" s="8" t="n"/>
      <c r="C61" s="10" t="n"/>
      <c r="D61" s="10" t="n"/>
    </row>
    <row r="63" ht="16" customHeight="1">
      <c r="A63" s="2" t="inlineStr">
        <is>
          <t>Qualifications</t>
        </is>
      </c>
    </row>
    <row r="64">
      <c r="A64" s="5" t="inlineStr">
        <is>
          <t>Qualifications d'encadrement et d'apnéiste. Les prérogatives conditionnent le contrôle de validité des affectations : à renseigner d'après les textes fédéraux.</t>
        </is>
      </c>
    </row>
    <row r="65" ht="32" customHeight="1">
      <c r="A65" s="7" t="inlineStr">
        <is>
          <t>Code</t>
        </is>
      </c>
      <c r="B65" s="7" t="inlineStr">
        <is>
          <t>Libellé</t>
        </is>
      </c>
      <c r="C65" s="7" t="inlineStr">
        <is>
          <t>Type</t>
        </is>
      </c>
      <c r="D65" s="7" t="inlineStr">
        <is>
          <t>Recyclage</t>
        </is>
      </c>
      <c r="E65" s="7" t="inlineStr">
        <is>
          <t>Prérogatives</t>
        </is>
      </c>
    </row>
    <row r="66">
      <c r="A66" s="8" t="inlineStr">
        <is>
          <t>AP</t>
        </is>
      </c>
      <c r="B66" s="10" t="inlineStr">
        <is>
          <t>Apnéiste Piscine</t>
        </is>
      </c>
      <c r="C66" s="9" t="inlineStr">
        <is>
          <t>Niveau apnée</t>
        </is>
      </c>
      <c r="D66" s="8" t="n"/>
      <c r="E66" s="10" t="n"/>
    </row>
    <row r="67">
      <c r="A67" s="8" t="inlineStr">
        <is>
          <t>ACP</t>
        </is>
      </c>
      <c r="B67" s="10" t="inlineStr">
        <is>
          <t>Apnéiste Confirmé Piscine</t>
        </is>
      </c>
      <c r="C67" s="9" t="inlineStr">
        <is>
          <t>Niveau apnée</t>
        </is>
      </c>
      <c r="D67" s="8" t="n"/>
      <c r="E67" s="10" t="n"/>
    </row>
    <row r="68">
      <c r="A68" s="8" t="inlineStr">
        <is>
          <t>AEL</t>
        </is>
      </c>
      <c r="B68" s="10" t="inlineStr">
        <is>
          <t>Apnéiste Eau Libre</t>
        </is>
      </c>
      <c r="C68" s="9" t="inlineStr">
        <is>
          <t>Niveau apnée</t>
        </is>
      </c>
      <c r="D68" s="8" t="n"/>
      <c r="E68" s="10" t="n"/>
    </row>
    <row r="69">
      <c r="A69" s="8" t="inlineStr">
        <is>
          <t>ACEL</t>
        </is>
      </c>
      <c r="B69" s="10" t="inlineStr">
        <is>
          <t>Apnéiste Confirmé Eau Libre</t>
        </is>
      </c>
      <c r="C69" s="9" t="inlineStr">
        <is>
          <t>Niveau apnée</t>
        </is>
      </c>
      <c r="D69" s="8" t="n"/>
      <c r="E69" s="10" t="n"/>
    </row>
    <row r="70">
      <c r="A70" s="8" t="inlineStr">
        <is>
          <t>AEEL</t>
        </is>
      </c>
      <c r="B70" s="10" t="inlineStr">
        <is>
          <t>Apnéiste Expert Eau Libre</t>
        </is>
      </c>
      <c r="C70" s="9" t="inlineStr">
        <is>
          <t>Niveau apnée</t>
        </is>
      </c>
      <c r="D70" s="8" t="n"/>
      <c r="E70" s="10" t="n"/>
    </row>
    <row r="71">
      <c r="A71" s="8" t="inlineStr">
        <is>
          <t>IE</t>
        </is>
      </c>
      <c r="B71" s="10" t="inlineStr">
        <is>
          <t>Initiateur Entraîneur</t>
        </is>
      </c>
      <c r="C71" s="9" t="inlineStr">
        <is>
          <t>Encadrement</t>
        </is>
      </c>
      <c r="D71" s="8" t="n"/>
      <c r="E71" s="10" t="n"/>
    </row>
    <row r="72">
      <c r="A72" s="8" t="inlineStr">
        <is>
          <t>MEF1</t>
        </is>
      </c>
      <c r="B72" s="10" t="inlineStr">
        <is>
          <t>Moniteur Entraîneur Fédéral 1er degré</t>
        </is>
      </c>
      <c r="C72" s="9" t="inlineStr">
        <is>
          <t>Encadrement</t>
        </is>
      </c>
      <c r="D72" s="8" t="n"/>
      <c r="E72" s="10" t="n"/>
    </row>
    <row r="73">
      <c r="A73" s="8" t="inlineStr">
        <is>
          <t>MEF2</t>
        </is>
      </c>
      <c r="B73" s="10" t="inlineStr">
        <is>
          <t>Moniteur Entraîneur Fédéral 2e degré</t>
        </is>
      </c>
      <c r="C73" s="9" t="inlineStr">
        <is>
          <t>Encadrement</t>
        </is>
      </c>
      <c r="D73" s="8" t="n"/>
      <c r="E73" s="10" t="n"/>
    </row>
    <row r="74" ht="28" customHeight="1">
      <c r="A74" s="8" t="inlineStr">
        <is>
          <t>RIFAA</t>
        </is>
      </c>
      <c r="B74" s="10" t="inlineStr">
        <is>
          <t>Réactions et Interventions Face à un Accident d'Apnée</t>
        </is>
      </c>
      <c r="C74" s="9" t="inlineStr">
        <is>
          <t>Sécurité</t>
        </is>
      </c>
      <c r="D74" s="8" t="inlineStr">
        <is>
          <t>recyclage recommandé</t>
        </is>
      </c>
      <c r="E74" s="10" t="n"/>
    </row>
    <row r="75">
      <c r="A75" s="8" t="inlineStr">
        <is>
          <t>PSM</t>
        </is>
      </c>
      <c r="B75" s="10" t="inlineStr">
        <is>
          <t>PSM — libellé à préciser</t>
        </is>
      </c>
      <c r="C75" s="9" t="inlineStr">
        <is>
          <t>Sécurité</t>
        </is>
      </c>
      <c r="D75" s="8" t="n"/>
      <c r="E75" s="10" t="n"/>
    </row>
    <row r="76">
      <c r="A76" s="8" t="n"/>
      <c r="B76" s="10" t="n"/>
      <c r="C76" s="9" t="n"/>
      <c r="D76" s="8" t="n"/>
      <c r="E76" s="10" t="n"/>
    </row>
    <row r="78" ht="16" customHeight="1">
      <c r="A78" s="2" t="inlineStr">
        <is>
          <t>Bassins</t>
        </is>
      </c>
    </row>
    <row r="79">
      <c r="A79" s="5" t="inlineStr">
        <is>
          <t>La longueur du bassin change la nature des exercices et l'interprétation d'une performance en dynamique.</t>
        </is>
      </c>
    </row>
    <row r="80" ht="32" customHeight="1">
      <c r="A80" s="7" t="inlineStr">
        <is>
          <t>Code</t>
        </is>
      </c>
      <c r="B80" s="7" t="inlineStr">
        <is>
          <t>Libellé</t>
        </is>
      </c>
      <c r="C80" s="7" t="inlineStr">
        <is>
          <t>Longueur (m)</t>
        </is>
      </c>
      <c r="D80" s="7" t="inlineStr">
        <is>
          <t>Nb de lignes</t>
        </is>
      </c>
      <c r="E80" s="7" t="inlineStr">
        <is>
          <t>Commentaire</t>
        </is>
      </c>
    </row>
    <row r="81" ht="28" customHeight="1">
      <c r="A81" s="8" t="inlineStr">
        <is>
          <t>B50</t>
        </is>
      </c>
      <c r="B81" s="8" t="inlineStr">
        <is>
          <t>Grand bassin 50 m</t>
        </is>
      </c>
      <c r="C81" s="8" t="n">
        <v>50</v>
      </c>
      <c r="D81" s="8" t="n">
        <v>8</v>
      </c>
      <c r="E81" s="10" t="inlineStr">
        <is>
          <t>Configuration nominale de la saison.</t>
        </is>
      </c>
    </row>
    <row r="82" ht="42" customHeight="1">
      <c r="A82" s="8" t="inlineStr">
        <is>
          <t>B25</t>
        </is>
      </c>
      <c r="B82" s="8" t="inlineStr">
        <is>
          <t>Petit bassin 25 m</t>
        </is>
      </c>
      <c r="C82" s="8" t="n">
        <v>25</v>
      </c>
      <c r="D82" s="8" t="n">
        <v>3</v>
      </c>
      <c r="E82" s="10" t="inlineStr">
        <is>
          <t>Utilisé en été et sur certains créneaux ; « tout le bassin » = 3 lignes.</t>
        </is>
      </c>
    </row>
    <row r="83">
      <c r="A83" s="8" t="n"/>
      <c r="B83" s="8" t="n"/>
      <c r="C83" s="8" t="n"/>
      <c r="D83" s="8" t="n"/>
      <c r="E83" s="10" t="n"/>
    </row>
    <row r="85" ht="16" customHeight="1">
      <c r="A85" s="2" t="inlineStr">
        <is>
          <t>Régimes d'ouverture</t>
        </is>
      </c>
    </row>
    <row r="86">
      <c r="A86" s="5" t="inlineStr">
        <is>
          <t>Un régime dérogatoire daté se substitue au régime nominal.</t>
        </is>
      </c>
    </row>
    <row r="87" ht="32" customHeight="1">
      <c r="A87" s="7" t="inlineStr">
        <is>
          <t>Code</t>
        </is>
      </c>
      <c r="B87" s="7" t="inlineStr">
        <is>
          <t>Libellé</t>
        </is>
      </c>
      <c r="C87" s="7" t="inlineStr">
        <is>
          <t>Commentaire</t>
        </is>
      </c>
    </row>
    <row r="88" ht="28" customHeight="1">
      <c r="A88" s="8" t="inlineStr">
        <is>
          <t>NOMINAL</t>
        </is>
      </c>
      <c r="B88" s="8" t="inlineStr">
        <is>
          <t>Régime nominal de saison</t>
        </is>
      </c>
      <c r="C88" s="10" t="inlineStr">
        <is>
          <t>Semaine type de septembre à juin.</t>
        </is>
      </c>
    </row>
    <row r="89" ht="28" customHeight="1">
      <c r="A89" s="8" t="inlineStr">
        <is>
          <t>VACANCES</t>
        </is>
      </c>
      <c r="B89" s="8" t="inlineStr">
        <is>
          <t>Vacances scolaires</t>
        </is>
      </c>
      <c r="C89" s="10" t="inlineStr">
        <is>
          <t>Horaires et lignes réduits.</t>
        </is>
      </c>
    </row>
    <row r="90" ht="42" customHeight="1">
      <c r="A90" s="8" t="inlineStr">
        <is>
          <t>ETE</t>
        </is>
      </c>
      <c r="B90" s="8" t="inlineStr">
        <is>
          <t>Régime d'été</t>
        </is>
      </c>
      <c r="C90" s="10" t="inlineStr">
        <is>
          <t>Organisation dérogatoire de juillet et août.</t>
        </is>
      </c>
    </row>
    <row r="91">
      <c r="A91" s="8" t="inlineStr">
        <is>
          <t>FERIE</t>
        </is>
      </c>
      <c r="B91" s="8" t="inlineStr">
        <is>
          <t>Jour férié</t>
        </is>
      </c>
      <c r="C91" s="10" t="inlineStr">
        <is>
          <t>Aucune séance.</t>
        </is>
      </c>
    </row>
    <row r="92">
      <c r="A92" s="8" t="inlineStr">
        <is>
          <t>FERMETURE</t>
        </is>
      </c>
      <c r="B92" s="8" t="inlineStr">
        <is>
          <t>Fermeture technique</t>
        </is>
      </c>
      <c r="C92" s="10" t="inlineStr">
        <is>
          <t>Piscine indisponible.</t>
        </is>
      </c>
    </row>
    <row r="93">
      <c r="A93" s="8" t="n"/>
      <c r="B93" s="8" t="n"/>
      <c r="C93" s="10" t="n"/>
    </row>
    <row r="95" ht="16" customHeight="1">
      <c r="A95" s="2" t="inlineStr">
        <is>
          <t>Périodes d'application des régimes</t>
        </is>
      </c>
    </row>
    <row r="96">
      <c r="A96" s="5" t="inlineStr">
        <is>
          <t>À compléter avec le calendrier scolaire et les jours fériés.</t>
        </is>
      </c>
    </row>
    <row r="97" ht="32" customHeight="1">
      <c r="A97" s="7" t="inlineStr">
        <is>
          <t>Régime</t>
        </is>
      </c>
      <c r="B97" s="7" t="inlineStr">
        <is>
          <t>Date de début</t>
        </is>
      </c>
      <c r="C97" s="7" t="inlineStr">
        <is>
          <t>Date de fin</t>
        </is>
      </c>
      <c r="D97" s="7" t="inlineStr">
        <is>
          <t>Libellé</t>
        </is>
      </c>
      <c r="E97" s="7" t="inlineStr">
        <is>
          <t>Commentaire</t>
        </is>
      </c>
    </row>
    <row r="98">
      <c r="A98" s="9" t="inlineStr">
        <is>
          <t>NOMINAL</t>
        </is>
      </c>
      <c r="B98" s="11" t="inlineStr">
        <is>
          <t>2026-09-07</t>
        </is>
      </c>
      <c r="C98" s="11" t="inlineStr">
        <is>
          <t>2027-07-04</t>
        </is>
      </c>
      <c r="D98" s="8" t="inlineStr">
        <is>
          <t>Saison 2026-2027</t>
        </is>
      </c>
      <c r="E98" s="8" t="n"/>
    </row>
    <row r="99">
      <c r="A99" s="9" t="inlineStr">
        <is>
          <t>VACANCES</t>
        </is>
      </c>
      <c r="B99" s="11" t="n"/>
      <c r="C99" s="11" t="n"/>
      <c r="D99" s="8" t="inlineStr">
        <is>
          <t>Vacances de la Toussaint</t>
        </is>
      </c>
      <c r="E99" s="8" t="n"/>
    </row>
    <row r="100">
      <c r="A100" s="9" t="inlineStr">
        <is>
          <t>VACANCES</t>
        </is>
      </c>
      <c r="B100" s="11" t="n"/>
      <c r="C100" s="11" t="n"/>
      <c r="D100" s="8" t="inlineStr">
        <is>
          <t>Vacances de Noël</t>
        </is>
      </c>
      <c r="E100" s="8" t="n"/>
    </row>
    <row r="101">
      <c r="A101" s="9" t="inlineStr">
        <is>
          <t>VACANCES</t>
        </is>
      </c>
      <c r="B101" s="11" t="n"/>
      <c r="C101" s="11" t="n"/>
      <c r="D101" s="8" t="inlineStr">
        <is>
          <t>Vacances d'hiver</t>
        </is>
      </c>
      <c r="E101" s="8" t="n"/>
    </row>
    <row r="102">
      <c r="A102" s="9" t="inlineStr">
        <is>
          <t>VACANCES</t>
        </is>
      </c>
      <c r="B102" s="11" t="n"/>
      <c r="C102" s="11" t="n"/>
      <c r="D102" s="8" t="inlineStr">
        <is>
          <t>Vacances de printemps</t>
        </is>
      </c>
      <c r="E102" s="8" t="n"/>
    </row>
    <row r="103">
      <c r="A103" s="9" t="inlineStr">
        <is>
          <t>ETE</t>
        </is>
      </c>
      <c r="B103" s="11" t="n"/>
      <c r="C103" s="11" t="n"/>
      <c r="D103" s="8" t="inlineStr">
        <is>
          <t>Été 2027</t>
        </is>
      </c>
      <c r="E103" s="8" t="n"/>
    </row>
    <row r="104">
      <c r="A104" s="9" t="n"/>
      <c r="B104" s="11" t="n"/>
      <c r="C104" s="11" t="n"/>
      <c r="D104" s="8" t="n"/>
      <c r="E104" s="8" t="n"/>
    </row>
  </sheetData>
  <dataValidations count="5">
    <dataValidation sqref="D17:D21 F26:F36" showDropDown="0" showInputMessage="0" showErrorMessage="0" allowBlank="1" type="list">
      <formula1>"oui,non"</formula1>
    </dataValidation>
    <dataValidation sqref="C26:C36 C41:C48" showDropDown="0" showInputMessage="0" showErrorMessage="0" allowBlank="1" type="list">
      <formula1>"DYN,DNF,STA,PRO"</formula1>
    </dataValidation>
    <dataValidation sqref="E26:E36" showDropDown="0" showInputMessage="0" showErrorMessage="0" allowBlank="1" type="list">
      <formula1>"L1,L2,L3,L4,LC,DNF1,DNF2,STA1,STA2,STAC"</formula1>
    </dataValidation>
    <dataValidation sqref="C66:C76" showDropDown="0" showInputMessage="0" showErrorMessage="0" allowBlank="1" type="list">
      <formula1>"Encadrement,Niveau apnée,Sécurité"</formula1>
    </dataValidation>
    <dataValidation sqref="A98:A104" showDropDown="0" showInputMessage="0" showErrorMessage="0" allowBlank="1" type="list">
      <formula1>"NOMINAL,VACANCES,ETE,FERIE,FERMETURE"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tabColor rgb="FF1F4E5F"/>
    <outlinePr summaryBelow="1" summaryRight="1"/>
    <pageSetUpPr/>
  </sheetPr>
  <dimension ref="A1:P51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8" customWidth="1" min="2" max="2"/>
    <col width="11" customWidth="1" min="3" max="3"/>
    <col width="12" customWidth="1" min="4" max="4"/>
    <col width="25" customWidth="1" min="5" max="5"/>
    <col width="11" customWidth="1" min="6" max="6"/>
    <col width="10" customWidth="1" min="7" max="7"/>
    <col width="11" customWidth="1" min="8" max="8"/>
    <col width="12" customWidth="1" min="9" max="10"/>
    <col width="9" customWidth="1" min="11" max="11"/>
    <col width="12" customWidth="1" min="12" max="12"/>
    <col width="14" customWidth="1" min="13" max="13"/>
    <col width="26" customWidth="1" min="14" max="14"/>
    <col width="60" customWidth="1" min="15" max="15"/>
    <col width="46" customWidth="1" min="16" max="16"/>
  </cols>
  <sheetData>
    <row r="1" ht="18" customHeight="1">
      <c r="A1" s="4" t="inlineStr">
        <is>
          <t>Objectifs par niveau</t>
        </is>
      </c>
    </row>
    <row r="2">
      <c r="A2" s="5" t="inlineStr">
        <is>
          <t>Intitulés reproduits littéralement des plans d'entraînement. Le critère est porté par l'objectif, jamais par le logiciel.</t>
        </is>
      </c>
    </row>
    <row r="4" ht="32" customHeight="1">
      <c r="A4" s="7" t="inlineStr">
        <is>
          <t>ID</t>
        </is>
      </c>
      <c r="B4" s="7" t="inlineStr">
        <is>
          <t>Groupe</t>
        </is>
      </c>
      <c r="C4" s="7" t="inlineStr">
        <is>
          <t>Famille</t>
        </is>
      </c>
      <c r="D4" s="7" t="inlineStr">
        <is>
          <t>Type</t>
        </is>
      </c>
      <c r="E4" s="7" t="inlineStr">
        <is>
          <t>Intitulé</t>
        </is>
      </c>
      <c r="F4" s="7" t="inlineStr">
        <is>
          <t>Distance (m)</t>
        </is>
      </c>
      <c r="G4" s="7" t="inlineStr">
        <is>
          <t>Durée STA</t>
        </is>
      </c>
      <c r="H4" s="7" t="inlineStr">
        <is>
          <t>Temps cible</t>
        </is>
      </c>
      <c r="I4" s="7" t="inlineStr">
        <is>
          <t>Intervalle départ</t>
        </is>
      </c>
      <c r="J4" s="7" t="inlineStr">
        <is>
          <t>Récupération</t>
        </is>
      </c>
      <c r="K4" s="7" t="inlineStr">
        <is>
          <t>Nb séries</t>
        </is>
      </c>
      <c r="L4" s="7" t="inlineStr">
        <is>
          <t>Nb répétitions exigé</t>
        </is>
      </c>
      <c r="M4" s="7" t="inlineStr">
        <is>
          <t>Intervalle max entre départs</t>
        </is>
      </c>
      <c r="N4" s="7" t="inlineStr">
        <is>
          <t>Contrainte requise</t>
        </is>
      </c>
      <c r="O4" s="7" t="inlineStr">
        <is>
          <t>Critère de validation (texte littéral)</t>
        </is>
      </c>
      <c r="P4" s="7" t="inlineStr">
        <is>
          <t>Source</t>
        </is>
      </c>
    </row>
    <row r="5" ht="28" customHeight="1">
      <c r="A5" s="8" t="inlineStr">
        <is>
          <t>L1-M1</t>
        </is>
      </c>
      <c r="B5" s="9" t="inlineStr">
        <is>
          <t>L1</t>
        </is>
      </c>
      <c r="C5" s="9" t="inlineStr">
        <is>
          <t>DIST</t>
        </is>
      </c>
      <c r="D5" s="9" t="inlineStr">
        <is>
          <t>maîtrise</t>
        </is>
      </c>
      <c r="E5" s="10" t="inlineStr">
        <is>
          <t>50m dyn bi-palmes</t>
        </is>
      </c>
      <c r="F5" s="8" t="n">
        <v>50</v>
      </c>
      <c r="G5" s="8" t="n"/>
      <c r="H5" s="8" t="n"/>
      <c r="I5" s="8" t="n"/>
      <c r="J5" s="8" t="n"/>
      <c r="K5" s="8" t="n"/>
      <c r="L5" s="8" t="n">
        <v>7</v>
      </c>
      <c r="M5" s="8" t="inlineStr">
        <is>
          <t>7'</t>
        </is>
      </c>
      <c r="N5" s="9" t="inlineStr">
        <is>
          <t>hypercapnique et/ou hypoxique</t>
        </is>
      </c>
      <c r="O5" s="10" t="inlineStr">
        <is>
          <t>Pouvoir réaliser la distance 7 fois dans la même séance avec contraintes hypercapniques et/ou hypoxiques.</t>
        </is>
      </c>
      <c r="P5" s="10" t="inlineStr">
        <is>
          <t>AA - Plan d'entrainement débutants (L1) V.2.2024, p. 3</t>
        </is>
      </c>
    </row>
    <row r="6" ht="28" customHeight="1">
      <c r="A6" s="8" t="inlineStr">
        <is>
          <t>L1-M2</t>
        </is>
      </c>
      <c r="B6" s="9" t="inlineStr">
        <is>
          <t>L1</t>
        </is>
      </c>
      <c r="C6" s="9" t="inlineStr">
        <is>
          <t>SERIE_HC</t>
        </is>
      </c>
      <c r="D6" s="9" t="inlineStr">
        <is>
          <t>maîtrise</t>
        </is>
      </c>
      <c r="E6" s="10" t="inlineStr">
        <is>
          <t>4 x 50m départ 2'</t>
        </is>
      </c>
      <c r="F6" s="8" t="n">
        <v>50</v>
      </c>
      <c r="G6" s="8" t="n"/>
      <c r="H6" s="8" t="n"/>
      <c r="I6" s="8" t="inlineStr">
        <is>
          <t>2'</t>
        </is>
      </c>
      <c r="J6" s="8" t="n"/>
      <c r="K6" s="8" t="n">
        <v>4</v>
      </c>
      <c r="L6" s="8" t="n">
        <v>7</v>
      </c>
      <c r="M6" s="8" t="inlineStr">
        <is>
          <t>7'</t>
        </is>
      </c>
      <c r="N6" s="9" t="inlineStr">
        <is>
          <t>hypercapnique et/ou hypoxique</t>
        </is>
      </c>
      <c r="O6" s="10" t="inlineStr">
        <is>
          <t>Pouvoir réaliser la distance 7 fois dans la même séance avec contraintes hypercapniques et/ou hypoxiques.</t>
        </is>
      </c>
      <c r="P6" s="10" t="inlineStr">
        <is>
          <t>AA - Plan d'entrainement débutants (L1) V.2.2024, p. 3</t>
        </is>
      </c>
    </row>
    <row r="7" ht="28" customHeight="1">
      <c r="A7" s="8" t="inlineStr">
        <is>
          <t>L1-M3</t>
        </is>
      </c>
      <c r="B7" s="9" t="inlineStr">
        <is>
          <t>L1</t>
        </is>
      </c>
      <c r="C7" s="9" t="inlineStr">
        <is>
          <t>SERIE_CT</t>
        </is>
      </c>
      <c r="D7" s="9" t="inlineStr">
        <is>
          <t>maîtrise</t>
        </is>
      </c>
      <c r="E7" s="10" t="inlineStr">
        <is>
          <t>4 x 25m récup 15''</t>
        </is>
      </c>
      <c r="F7" s="8" t="n">
        <v>25</v>
      </c>
      <c r="G7" s="8" t="n"/>
      <c r="H7" s="8" t="n"/>
      <c r="I7" s="8" t="n"/>
      <c r="J7" s="8" t="inlineStr">
        <is>
          <t>15''</t>
        </is>
      </c>
      <c r="K7" s="8" t="n">
        <v>4</v>
      </c>
      <c r="L7" s="8" t="n">
        <v>7</v>
      </c>
      <c r="M7" s="8" t="inlineStr">
        <is>
          <t>7'</t>
        </is>
      </c>
      <c r="N7" s="9" t="inlineStr">
        <is>
          <t>hypercapnique et/ou hypoxique</t>
        </is>
      </c>
      <c r="O7" s="10" t="inlineStr">
        <is>
          <t>Pouvoir réaliser la distance 7 fois dans la même séance avec contraintes hypercapniques et/ou hypoxiques.</t>
        </is>
      </c>
      <c r="P7" s="10" t="inlineStr">
        <is>
          <t>AA - Plan d'entrainement débutants (L1) V.2.2024, p. 3</t>
        </is>
      </c>
    </row>
    <row r="8" ht="28" customHeight="1">
      <c r="A8" s="8" t="inlineStr">
        <is>
          <t>L1-M4</t>
        </is>
      </c>
      <c r="B8" s="9" t="inlineStr">
        <is>
          <t>L1</t>
        </is>
      </c>
      <c r="C8" s="9" t="inlineStr">
        <is>
          <t>STA_DYN</t>
        </is>
      </c>
      <c r="D8" s="9" t="inlineStr">
        <is>
          <t>maîtrise</t>
        </is>
      </c>
      <c r="E8" s="10" t="inlineStr">
        <is>
          <t>30'' de STA + 50m</t>
        </is>
      </c>
      <c r="F8" s="8" t="n">
        <v>50</v>
      </c>
      <c r="G8" s="8" t="inlineStr">
        <is>
          <t>30''</t>
        </is>
      </c>
      <c r="H8" s="8" t="n"/>
      <c r="I8" s="8" t="n"/>
      <c r="J8" s="8" t="n"/>
      <c r="K8" s="8" t="n"/>
      <c r="L8" s="8" t="n">
        <v>7</v>
      </c>
      <c r="M8" s="8" t="inlineStr">
        <is>
          <t>7'</t>
        </is>
      </c>
      <c r="N8" s="9" t="inlineStr">
        <is>
          <t>hypercapnique et/ou hypoxique</t>
        </is>
      </c>
      <c r="O8" s="10" t="inlineStr">
        <is>
          <t>Pouvoir réaliser la distance 7 fois dans la même séance avec contraintes hypercapniques et/ou hypoxiques.</t>
        </is>
      </c>
      <c r="P8" s="10" t="inlineStr">
        <is>
          <t>AA - Plan d'entrainement débutants (L1) V.2.2024, p. 3</t>
        </is>
      </c>
    </row>
    <row r="9" ht="28" customHeight="1">
      <c r="A9" s="8" t="inlineStr">
        <is>
          <t>L1-M5</t>
        </is>
      </c>
      <c r="B9" s="9" t="inlineStr">
        <is>
          <t>L1</t>
        </is>
      </c>
      <c r="C9" s="9" t="inlineStr">
        <is>
          <t>LENT</t>
        </is>
      </c>
      <c r="D9" s="9" t="inlineStr">
        <is>
          <t>maîtrise</t>
        </is>
      </c>
      <c r="E9" s="10" t="inlineStr">
        <is>
          <t>50m lent (1'15'')</t>
        </is>
      </c>
      <c r="F9" s="8" t="n">
        <v>50</v>
      </c>
      <c r="G9" s="8" t="n"/>
      <c r="H9" s="8" t="inlineStr">
        <is>
          <t>1'15''</t>
        </is>
      </c>
      <c r="I9" s="8" t="n"/>
      <c r="J9" s="8" t="n"/>
      <c r="K9" s="8" t="n"/>
      <c r="L9" s="8" t="n">
        <v>7</v>
      </c>
      <c r="M9" s="8" t="inlineStr">
        <is>
          <t>7'</t>
        </is>
      </c>
      <c r="N9" s="9" t="inlineStr">
        <is>
          <t>hypercapnique et/ou hypoxique</t>
        </is>
      </c>
      <c r="O9" s="10" t="inlineStr">
        <is>
          <t>Pouvoir réaliser la distance 7 fois dans la même séance avec contraintes hypercapniques et/ou hypoxiques.</t>
        </is>
      </c>
      <c r="P9" s="10" t="inlineStr">
        <is>
          <t>AA - Plan d'entrainement débutants (L1) V.2.2024, p. 3</t>
        </is>
      </c>
    </row>
    <row r="10" ht="28" customHeight="1">
      <c r="A10" s="8" t="inlineStr">
        <is>
          <t>L1-M6</t>
        </is>
      </c>
      <c r="B10" s="9" t="inlineStr">
        <is>
          <t>L1</t>
        </is>
      </c>
      <c r="C10" s="9" t="inlineStr">
        <is>
          <t>BRASSE</t>
        </is>
      </c>
      <c r="D10" s="9" t="inlineStr">
        <is>
          <t>maîtrise</t>
        </is>
      </c>
      <c r="E10" s="10" t="inlineStr">
        <is>
          <t>37,5m en brasse</t>
        </is>
      </c>
      <c r="F10" s="8" t="n">
        <v>37.5</v>
      </c>
      <c r="G10" s="8" t="n"/>
      <c r="H10" s="8" t="n"/>
      <c r="I10" s="8" t="n"/>
      <c r="J10" s="8" t="n"/>
      <c r="K10" s="8" t="n"/>
      <c r="L10" s="8" t="n">
        <v>7</v>
      </c>
      <c r="M10" s="8" t="inlineStr">
        <is>
          <t>7'</t>
        </is>
      </c>
      <c r="N10" s="9" t="inlineStr">
        <is>
          <t>hypercapnique et/ou hypoxique</t>
        </is>
      </c>
      <c r="O10" s="10" t="inlineStr">
        <is>
          <t>Pouvoir réaliser la distance 7 fois dans la même séance avec contraintes hypercapniques et/ou hypoxiques.</t>
        </is>
      </c>
      <c r="P10" s="10" t="inlineStr">
        <is>
          <t>AA - Plan d'entrainement débutants (L1) V.2.2024, p. 3</t>
        </is>
      </c>
    </row>
    <row r="11" ht="28" customHeight="1">
      <c r="A11" s="8" t="inlineStr">
        <is>
          <t>L1-A1</t>
        </is>
      </c>
      <c r="B11" s="9" t="inlineStr">
        <is>
          <t>L1</t>
        </is>
      </c>
      <c r="C11" s="9" t="inlineStr">
        <is>
          <t>DIST</t>
        </is>
      </c>
      <c r="D11" s="9" t="inlineStr">
        <is>
          <t>acquisition</t>
        </is>
      </c>
      <c r="E11" s="10" t="inlineStr">
        <is>
          <t>65m dyn bi-palmes</t>
        </is>
      </c>
      <c r="F11" s="8" t="n">
        <v>65</v>
      </c>
      <c r="G11" s="8" t="n"/>
      <c r="H11" s="8" t="n"/>
      <c r="I11" s="8" t="n"/>
      <c r="J11" s="8" t="n"/>
      <c r="K11" s="8" t="n"/>
      <c r="L11" s="8" t="n">
        <v>1</v>
      </c>
      <c r="M11" s="8" t="n"/>
      <c r="N11" s="9" t="inlineStr">
        <is>
          <t>meilleures conditions</t>
        </is>
      </c>
      <c r="O11" s="10" t="inlineStr">
        <is>
          <t>Pouvoir réaliser la distance ou l'exercice une fois en étant mis dans les meilleures conditions.</t>
        </is>
      </c>
      <c r="P11" s="10" t="inlineStr">
        <is>
          <t>AA - Plan d'entrainement débutants (L1) V.2.2024, p. 3</t>
        </is>
      </c>
    </row>
    <row r="12" ht="28" customHeight="1">
      <c r="A12" s="8" t="inlineStr">
        <is>
          <t>L1-A2</t>
        </is>
      </c>
      <c r="B12" s="9" t="inlineStr">
        <is>
          <t>L1</t>
        </is>
      </c>
      <c r="C12" s="9" t="inlineStr">
        <is>
          <t>SERIE_HC</t>
        </is>
      </c>
      <c r="D12" s="9" t="inlineStr">
        <is>
          <t>acquisition</t>
        </is>
      </c>
      <c r="E12" s="10" t="inlineStr">
        <is>
          <t>4 x 50m départ 1'45''</t>
        </is>
      </c>
      <c r="F12" s="8" t="n">
        <v>50</v>
      </c>
      <c r="G12" s="8" t="n"/>
      <c r="H12" s="8" t="n"/>
      <c r="I12" s="8" t="inlineStr">
        <is>
          <t>1'45''</t>
        </is>
      </c>
      <c r="J12" s="8" t="n"/>
      <c r="K12" s="8" t="n">
        <v>4</v>
      </c>
      <c r="L12" s="8" t="n">
        <v>1</v>
      </c>
      <c r="M12" s="8" t="n"/>
      <c r="N12" s="9" t="inlineStr">
        <is>
          <t>meilleures conditions</t>
        </is>
      </c>
      <c r="O12" s="10" t="inlineStr">
        <is>
          <t>Pouvoir réaliser la distance ou l'exercice une fois en étant mis dans les meilleures conditions.</t>
        </is>
      </c>
      <c r="P12" s="10" t="inlineStr">
        <is>
          <t>AA - Plan d'entrainement débutants (L1) V.2.2024, p. 3</t>
        </is>
      </c>
    </row>
    <row r="13" ht="28" customHeight="1">
      <c r="A13" s="8" t="inlineStr">
        <is>
          <t>L1-A3</t>
        </is>
      </c>
      <c r="B13" s="9" t="inlineStr">
        <is>
          <t>L1</t>
        </is>
      </c>
      <c r="C13" s="9" t="inlineStr">
        <is>
          <t>SERIE_CT</t>
        </is>
      </c>
      <c r="D13" s="9" t="inlineStr">
        <is>
          <t>acquisition</t>
        </is>
      </c>
      <c r="E13" s="10" t="inlineStr">
        <is>
          <t>8 x 25m récup 15''</t>
        </is>
      </c>
      <c r="F13" s="8" t="n">
        <v>25</v>
      </c>
      <c r="G13" s="8" t="n"/>
      <c r="H13" s="8" t="n"/>
      <c r="I13" s="8" t="n"/>
      <c r="J13" s="8" t="inlineStr">
        <is>
          <t>15''</t>
        </is>
      </c>
      <c r="K13" s="8" t="n">
        <v>8</v>
      </c>
      <c r="L13" s="8" t="n">
        <v>1</v>
      </c>
      <c r="M13" s="8" t="n"/>
      <c r="N13" s="9" t="inlineStr">
        <is>
          <t>meilleures conditions</t>
        </is>
      </c>
      <c r="O13" s="10" t="inlineStr">
        <is>
          <t>Pouvoir réaliser la distance ou l'exercice une fois en étant mis dans les meilleures conditions.</t>
        </is>
      </c>
      <c r="P13" s="10" t="inlineStr">
        <is>
          <t>AA - Plan d'entrainement débutants (L1) V.2.2024, p. 3</t>
        </is>
      </c>
    </row>
    <row r="14" ht="28" customHeight="1">
      <c r="A14" s="8" t="inlineStr">
        <is>
          <t>L1-A4</t>
        </is>
      </c>
      <c r="B14" s="9" t="inlineStr">
        <is>
          <t>L1</t>
        </is>
      </c>
      <c r="C14" s="9" t="inlineStr">
        <is>
          <t>STA_DYN</t>
        </is>
      </c>
      <c r="D14" s="9" t="inlineStr">
        <is>
          <t>acquisition</t>
        </is>
      </c>
      <c r="E14" s="10" t="inlineStr">
        <is>
          <t>1' de STA + 50m</t>
        </is>
      </c>
      <c r="F14" s="8" t="n">
        <v>50</v>
      </c>
      <c r="G14" s="8" t="inlineStr">
        <is>
          <t>1'</t>
        </is>
      </c>
      <c r="H14" s="8" t="n"/>
      <c r="I14" s="8" t="n"/>
      <c r="J14" s="8" t="n"/>
      <c r="K14" s="8" t="n"/>
      <c r="L14" s="8" t="n">
        <v>1</v>
      </c>
      <c r="M14" s="8" t="n"/>
      <c r="N14" s="9" t="inlineStr">
        <is>
          <t>meilleures conditions</t>
        </is>
      </c>
      <c r="O14" s="10" t="inlineStr">
        <is>
          <t>Pouvoir réaliser la distance ou l'exercice une fois en étant mis dans les meilleures conditions.</t>
        </is>
      </c>
      <c r="P14" s="10" t="inlineStr">
        <is>
          <t>AA - Plan d'entrainement débutants (L1) V.2.2024, p. 3</t>
        </is>
      </c>
    </row>
    <row r="15" ht="28" customHeight="1">
      <c r="A15" s="8" t="inlineStr">
        <is>
          <t>L1-A5</t>
        </is>
      </c>
      <c r="B15" s="9" t="inlineStr">
        <is>
          <t>L1</t>
        </is>
      </c>
      <c r="C15" s="9" t="inlineStr">
        <is>
          <t>LENT</t>
        </is>
      </c>
      <c r="D15" s="9" t="inlineStr">
        <is>
          <t>acquisition</t>
        </is>
      </c>
      <c r="E15" s="10" t="inlineStr">
        <is>
          <t>50m lent (1'30'')</t>
        </is>
      </c>
      <c r="F15" s="8" t="n">
        <v>50</v>
      </c>
      <c r="G15" s="8" t="n"/>
      <c r="H15" s="8" t="inlineStr">
        <is>
          <t>1'30''</t>
        </is>
      </c>
      <c r="I15" s="8" t="n"/>
      <c r="J15" s="8" t="n"/>
      <c r="K15" s="8" t="n"/>
      <c r="L15" s="8" t="n">
        <v>1</v>
      </c>
      <c r="M15" s="8" t="n"/>
      <c r="N15" s="9" t="inlineStr">
        <is>
          <t>meilleures conditions</t>
        </is>
      </c>
      <c r="O15" s="10" t="inlineStr">
        <is>
          <t>Pouvoir réaliser la distance ou l'exercice une fois en étant mis dans les meilleures conditions.</t>
        </is>
      </c>
      <c r="P15" s="10" t="inlineStr">
        <is>
          <t>AA - Plan d'entrainement débutants (L1) V.2.2024, p. 3</t>
        </is>
      </c>
    </row>
    <row r="16" ht="28" customHeight="1">
      <c r="A16" s="8" t="inlineStr">
        <is>
          <t>L1-A6</t>
        </is>
      </c>
      <c r="B16" s="9" t="inlineStr">
        <is>
          <t>L1</t>
        </is>
      </c>
      <c r="C16" s="9" t="inlineStr">
        <is>
          <t>BRASSE</t>
        </is>
      </c>
      <c r="D16" s="9" t="inlineStr">
        <is>
          <t>acquisition</t>
        </is>
      </c>
      <c r="E16" s="10" t="inlineStr">
        <is>
          <t>50m en brasse</t>
        </is>
      </c>
      <c r="F16" s="8" t="n">
        <v>50</v>
      </c>
      <c r="G16" s="8" t="n"/>
      <c r="H16" s="8" t="n"/>
      <c r="I16" s="8" t="n"/>
      <c r="J16" s="8" t="n"/>
      <c r="K16" s="8" t="n"/>
      <c r="L16" s="8" t="n">
        <v>1</v>
      </c>
      <c r="M16" s="8" t="n"/>
      <c r="N16" s="9" t="inlineStr">
        <is>
          <t>meilleures conditions</t>
        </is>
      </c>
      <c r="O16" s="10" t="inlineStr">
        <is>
          <t>Pouvoir réaliser la distance ou l'exercice une fois en étant mis dans les meilleures conditions.</t>
        </is>
      </c>
      <c r="P16" s="10" t="inlineStr">
        <is>
          <t>AA - Plan d'entrainement débutants (L1) V.2.2024, p. 3</t>
        </is>
      </c>
    </row>
    <row r="17" ht="28" customHeight="1">
      <c r="A17" s="8" t="inlineStr">
        <is>
          <t>L2-M1</t>
        </is>
      </c>
      <c r="B17" s="9" t="inlineStr">
        <is>
          <t>L2</t>
        </is>
      </c>
      <c r="C17" s="9" t="inlineStr">
        <is>
          <t>DIST</t>
        </is>
      </c>
      <c r="D17" s="9" t="inlineStr">
        <is>
          <t>maîtrise</t>
        </is>
      </c>
      <c r="E17" s="10" t="inlineStr">
        <is>
          <t>75m dyn bi-palmes</t>
        </is>
      </c>
      <c r="F17" s="8" t="n">
        <v>75</v>
      </c>
      <c r="G17" s="8" t="n"/>
      <c r="H17" s="8" t="n"/>
      <c r="I17" s="8" t="n"/>
      <c r="J17" s="8" t="n"/>
      <c r="K17" s="8" t="n"/>
      <c r="L17" s="8" t="n">
        <v>5</v>
      </c>
      <c r="M17" s="8" t="inlineStr">
        <is>
          <t>7'</t>
        </is>
      </c>
      <c r="N17" s="9" t="inlineStr">
        <is>
          <t>hypercapnique et/ou hypoxique</t>
        </is>
      </c>
      <c r="O17" s="10" t="inlineStr">
        <is>
          <t>Pouvoir réaliser la distance 5 fois dans la même séance avec contraintes hypercapniques et/ou hypoxiques.</t>
        </is>
      </c>
      <c r="P17" s="10" t="inlineStr">
        <is>
          <t>AA - Plan d'entrainement intermédiaires (L2) V.2.2024, p. 3</t>
        </is>
      </c>
    </row>
    <row r="18" ht="28" customHeight="1">
      <c r="A18" s="8" t="inlineStr">
        <is>
          <t>L2-M2</t>
        </is>
      </c>
      <c r="B18" s="9" t="inlineStr">
        <is>
          <t>L2</t>
        </is>
      </c>
      <c r="C18" s="9" t="inlineStr">
        <is>
          <t>SERIE_HC</t>
        </is>
      </c>
      <c r="D18" s="9" t="inlineStr">
        <is>
          <t>maîtrise</t>
        </is>
      </c>
      <c r="E18" s="10" t="inlineStr">
        <is>
          <t>4 x 50m départ 1'30''</t>
        </is>
      </c>
      <c r="F18" s="8" t="n">
        <v>50</v>
      </c>
      <c r="G18" s="8" t="n"/>
      <c r="H18" s="8" t="n"/>
      <c r="I18" s="8" t="inlineStr">
        <is>
          <t>1'30''</t>
        </is>
      </c>
      <c r="J18" s="8" t="n"/>
      <c r="K18" s="8" t="n">
        <v>4</v>
      </c>
      <c r="L18" s="8" t="n">
        <v>5</v>
      </c>
      <c r="M18" s="8" t="inlineStr">
        <is>
          <t>7'</t>
        </is>
      </c>
      <c r="N18" s="9" t="inlineStr">
        <is>
          <t>hypercapnique et/ou hypoxique</t>
        </is>
      </c>
      <c r="O18" s="10" t="inlineStr">
        <is>
          <t>Pouvoir réaliser la distance 5 fois dans la même séance avec contraintes hypercapniques et/ou hypoxiques.</t>
        </is>
      </c>
      <c r="P18" s="10" t="inlineStr">
        <is>
          <t>AA - Plan d'entrainement intermédiaires (L2) V.2.2024, p. 3</t>
        </is>
      </c>
    </row>
    <row r="19" ht="28" customHeight="1">
      <c r="A19" s="8" t="inlineStr">
        <is>
          <t>L2-M3</t>
        </is>
      </c>
      <c r="B19" s="9" t="inlineStr">
        <is>
          <t>L2</t>
        </is>
      </c>
      <c r="C19" s="9" t="inlineStr">
        <is>
          <t>SERIE_CT</t>
        </is>
      </c>
      <c r="D19" s="9" t="inlineStr">
        <is>
          <t>maîtrise</t>
        </is>
      </c>
      <c r="E19" s="10" t="inlineStr">
        <is>
          <t>4 x 25m récup 10''</t>
        </is>
      </c>
      <c r="F19" s="8" t="n">
        <v>25</v>
      </c>
      <c r="G19" s="8" t="n"/>
      <c r="H19" s="8" t="n"/>
      <c r="I19" s="8" t="n"/>
      <c r="J19" s="8" t="inlineStr">
        <is>
          <t>10''</t>
        </is>
      </c>
      <c r="K19" s="8" t="n">
        <v>4</v>
      </c>
      <c r="L19" s="8" t="n">
        <v>5</v>
      </c>
      <c r="M19" s="8" t="inlineStr">
        <is>
          <t>7'</t>
        </is>
      </c>
      <c r="N19" s="9" t="inlineStr">
        <is>
          <t>hypercapnique et/ou hypoxique</t>
        </is>
      </c>
      <c r="O19" s="10" t="inlineStr">
        <is>
          <t>Pouvoir réaliser la distance 5 fois dans la même séance avec contraintes hypercapniques et/ou hypoxiques.</t>
        </is>
      </c>
      <c r="P19" s="10" t="inlineStr">
        <is>
          <t>AA - Plan d'entrainement intermédiaires (L2) V.2.2024, p. 3</t>
        </is>
      </c>
    </row>
    <row r="20" ht="28" customHeight="1">
      <c r="A20" s="8" t="inlineStr">
        <is>
          <t>L2-M4</t>
        </is>
      </c>
      <c r="B20" s="9" t="inlineStr">
        <is>
          <t>L2</t>
        </is>
      </c>
      <c r="C20" s="9" t="inlineStr">
        <is>
          <t>STA_DYN</t>
        </is>
      </c>
      <c r="D20" s="9" t="inlineStr">
        <is>
          <t>maîtrise</t>
        </is>
      </c>
      <c r="E20" s="10" t="inlineStr">
        <is>
          <t>1' de STA + 50m</t>
        </is>
      </c>
      <c r="F20" s="8" t="n">
        <v>50</v>
      </c>
      <c r="G20" s="8" t="inlineStr">
        <is>
          <t>1'</t>
        </is>
      </c>
      <c r="H20" s="8" t="n"/>
      <c r="I20" s="8" t="n"/>
      <c r="J20" s="8" t="n"/>
      <c r="K20" s="8" t="n"/>
      <c r="L20" s="8" t="n">
        <v>5</v>
      </c>
      <c r="M20" s="8" t="inlineStr">
        <is>
          <t>7'</t>
        </is>
      </c>
      <c r="N20" s="9" t="inlineStr">
        <is>
          <t>hypercapnique et/ou hypoxique</t>
        </is>
      </c>
      <c r="O20" s="10" t="inlineStr">
        <is>
          <t>Pouvoir réaliser la distance 5 fois dans la même séance avec contraintes hypercapniques et/ou hypoxiques.</t>
        </is>
      </c>
      <c r="P20" s="10" t="inlineStr">
        <is>
          <t>AA - Plan d'entrainement intermédiaires (L2) V.2.2024, p. 3</t>
        </is>
      </c>
    </row>
    <row r="21" ht="28" customHeight="1">
      <c r="A21" s="8" t="inlineStr">
        <is>
          <t>L2-M5</t>
        </is>
      </c>
      <c r="B21" s="9" t="inlineStr">
        <is>
          <t>L2</t>
        </is>
      </c>
      <c r="C21" s="9" t="inlineStr">
        <is>
          <t>LENT</t>
        </is>
      </c>
      <c r="D21" s="9" t="inlineStr">
        <is>
          <t>maîtrise</t>
        </is>
      </c>
      <c r="E21" s="10" t="inlineStr">
        <is>
          <t>50m lent (1'30'')</t>
        </is>
      </c>
      <c r="F21" s="8" t="n">
        <v>50</v>
      </c>
      <c r="G21" s="8" t="n"/>
      <c r="H21" s="8" t="inlineStr">
        <is>
          <t>1'30''</t>
        </is>
      </c>
      <c r="I21" s="8" t="n"/>
      <c r="J21" s="8" t="n"/>
      <c r="K21" s="8" t="n"/>
      <c r="L21" s="8" t="n">
        <v>5</v>
      </c>
      <c r="M21" s="8" t="inlineStr">
        <is>
          <t>7'</t>
        </is>
      </c>
      <c r="N21" s="9" t="inlineStr">
        <is>
          <t>hypercapnique et/ou hypoxique</t>
        </is>
      </c>
      <c r="O21" s="10" t="inlineStr">
        <is>
          <t>Pouvoir réaliser la distance 5 fois dans la même séance avec contraintes hypercapniques et/ou hypoxiques.</t>
        </is>
      </c>
      <c r="P21" s="10" t="inlineStr">
        <is>
          <t>AA - Plan d'entrainement intermédiaires (L2) V.2.2024, p. 3</t>
        </is>
      </c>
    </row>
    <row r="22" ht="28" customHeight="1">
      <c r="A22" s="8" t="inlineStr">
        <is>
          <t>L2-M6</t>
        </is>
      </c>
      <c r="B22" s="9" t="inlineStr">
        <is>
          <t>L2</t>
        </is>
      </c>
      <c r="C22" s="9" t="inlineStr">
        <is>
          <t>BRASSE</t>
        </is>
      </c>
      <c r="D22" s="9" t="inlineStr">
        <is>
          <t>maîtrise</t>
        </is>
      </c>
      <c r="E22" s="10" t="inlineStr">
        <is>
          <t>50m en brasse</t>
        </is>
      </c>
      <c r="F22" s="8" t="n">
        <v>50</v>
      </c>
      <c r="G22" s="8" t="n"/>
      <c r="H22" s="8" t="n"/>
      <c r="I22" s="8" t="n"/>
      <c r="J22" s="8" t="n"/>
      <c r="K22" s="8" t="n"/>
      <c r="L22" s="8" t="n">
        <v>5</v>
      </c>
      <c r="M22" s="8" t="inlineStr">
        <is>
          <t>7'</t>
        </is>
      </c>
      <c r="N22" s="9" t="inlineStr">
        <is>
          <t>hypercapnique et/ou hypoxique</t>
        </is>
      </c>
      <c r="O22" s="10" t="inlineStr">
        <is>
          <t>Pouvoir réaliser la distance 5 fois dans la même séance avec contraintes hypercapniques et/ou hypoxiques.</t>
        </is>
      </c>
      <c r="P22" s="10" t="inlineStr">
        <is>
          <t>AA - Plan d'entrainement intermédiaires (L2) V.2.2024, p. 3</t>
        </is>
      </c>
    </row>
    <row r="23" ht="28" customHeight="1">
      <c r="A23" s="8" t="inlineStr">
        <is>
          <t>L2-M7</t>
        </is>
      </c>
      <c r="B23" s="9" t="inlineStr">
        <is>
          <t>L2</t>
        </is>
      </c>
      <c r="C23" s="9" t="inlineStr">
        <is>
          <t>VOL_PUL</t>
        </is>
      </c>
      <c r="D23" s="9" t="inlineStr">
        <is>
          <t>maîtrise</t>
        </is>
      </c>
      <c r="E23" s="10" t="inlineStr">
        <is>
          <t>50m FRC</t>
        </is>
      </c>
      <c r="F23" s="8" t="n">
        <v>50</v>
      </c>
      <c r="G23" s="8" t="n"/>
      <c r="H23" s="8" t="n"/>
      <c r="I23" s="8" t="n"/>
      <c r="J23" s="8" t="n"/>
      <c r="K23" s="8" t="n"/>
      <c r="L23" s="8" t="n">
        <v>5</v>
      </c>
      <c r="M23" s="8" t="inlineStr">
        <is>
          <t>7'</t>
        </is>
      </c>
      <c r="N23" s="9" t="inlineStr">
        <is>
          <t>hypercapnique et/ou hypoxique</t>
        </is>
      </c>
      <c r="O23" s="10" t="inlineStr">
        <is>
          <t>Pouvoir réaliser la distance 5 fois dans la même séance avec contraintes hypercapniques et/ou hypoxiques.</t>
        </is>
      </c>
      <c r="P23" s="10" t="inlineStr">
        <is>
          <t>AA - Plan d'entrainement intermédiaires (L2) V.2.2024, p. 3</t>
        </is>
      </c>
    </row>
    <row r="24" ht="28" customHeight="1">
      <c r="A24" s="8" t="inlineStr">
        <is>
          <t>L2-A1</t>
        </is>
      </c>
      <c r="B24" s="9" t="inlineStr">
        <is>
          <t>L2</t>
        </is>
      </c>
      <c r="C24" s="9" t="inlineStr">
        <is>
          <t>DIST</t>
        </is>
      </c>
      <c r="D24" s="9" t="inlineStr">
        <is>
          <t>acquisition</t>
        </is>
      </c>
      <c r="E24" s="10" t="inlineStr">
        <is>
          <t>85m dyn bi-palmes</t>
        </is>
      </c>
      <c r="F24" s="8" t="n">
        <v>85</v>
      </c>
      <c r="G24" s="8" t="n"/>
      <c r="H24" s="8" t="n"/>
      <c r="I24" s="8" t="n"/>
      <c r="J24" s="8" t="n"/>
      <c r="K24" s="8" t="n"/>
      <c r="L24" s="8" t="n">
        <v>1</v>
      </c>
      <c r="M24" s="8" t="n"/>
      <c r="N24" s="9" t="inlineStr">
        <is>
          <t>meilleures conditions</t>
        </is>
      </c>
      <c r="O24" s="10" t="inlineStr">
        <is>
          <t>Pouvoir réaliser la distance ou l'exercice une fois en étant mis dans les meilleures conditions.</t>
        </is>
      </c>
      <c r="P24" s="10" t="inlineStr">
        <is>
          <t>AA - Plan d'entrainement intermédiaires (L2) V.2.2024, p. 3</t>
        </is>
      </c>
    </row>
    <row r="25" ht="28" customHeight="1">
      <c r="A25" s="8" t="inlineStr">
        <is>
          <t>L2-A2</t>
        </is>
      </c>
      <c r="B25" s="9" t="inlineStr">
        <is>
          <t>L2</t>
        </is>
      </c>
      <c r="C25" s="9" t="inlineStr">
        <is>
          <t>SERIE_HC</t>
        </is>
      </c>
      <c r="D25" s="9" t="inlineStr">
        <is>
          <t>acquisition</t>
        </is>
      </c>
      <c r="E25" s="10" t="inlineStr">
        <is>
          <t>4 x 50m départ 1'20''</t>
        </is>
      </c>
      <c r="F25" s="8" t="n">
        <v>50</v>
      </c>
      <c r="G25" s="8" t="n"/>
      <c r="H25" s="8" t="n"/>
      <c r="I25" s="8" t="inlineStr">
        <is>
          <t>1'20''</t>
        </is>
      </c>
      <c r="J25" s="8" t="n"/>
      <c r="K25" s="8" t="n">
        <v>4</v>
      </c>
      <c r="L25" s="8" t="n">
        <v>1</v>
      </c>
      <c r="M25" s="8" t="n"/>
      <c r="N25" s="9" t="inlineStr">
        <is>
          <t>meilleures conditions</t>
        </is>
      </c>
      <c r="O25" s="10" t="inlineStr">
        <is>
          <t>Pouvoir réaliser la distance ou l'exercice une fois en étant mis dans les meilleures conditions.</t>
        </is>
      </c>
      <c r="P25" s="10" t="inlineStr">
        <is>
          <t>AA - Plan d'entrainement intermédiaires (L2) V.2.2024, p. 3</t>
        </is>
      </c>
    </row>
    <row r="26" ht="28" customHeight="1">
      <c r="A26" s="8" t="inlineStr">
        <is>
          <t>L2-A3</t>
        </is>
      </c>
      <c r="B26" s="9" t="inlineStr">
        <is>
          <t>L2</t>
        </is>
      </c>
      <c r="C26" s="9" t="inlineStr">
        <is>
          <t>SERIE_CT</t>
        </is>
      </c>
      <c r="D26" s="9" t="inlineStr">
        <is>
          <t>acquisition</t>
        </is>
      </c>
      <c r="E26" s="10" t="inlineStr">
        <is>
          <t>8 x 25m récup 10''</t>
        </is>
      </c>
      <c r="F26" s="8" t="n">
        <v>25</v>
      </c>
      <c r="G26" s="8" t="n"/>
      <c r="H26" s="8" t="n"/>
      <c r="I26" s="8" t="n"/>
      <c r="J26" s="8" t="inlineStr">
        <is>
          <t>10''</t>
        </is>
      </c>
      <c r="K26" s="8" t="n">
        <v>8</v>
      </c>
      <c r="L26" s="8" t="n">
        <v>1</v>
      </c>
      <c r="M26" s="8" t="n"/>
      <c r="N26" s="9" t="inlineStr">
        <is>
          <t>meilleures conditions</t>
        </is>
      </c>
      <c r="O26" s="10" t="inlineStr">
        <is>
          <t>Pouvoir réaliser la distance ou l'exercice une fois en étant mis dans les meilleures conditions.</t>
        </is>
      </c>
      <c r="P26" s="10" t="inlineStr">
        <is>
          <t>AA - Plan d'entrainement intermédiaires (L2) V.2.2024, p. 3</t>
        </is>
      </c>
    </row>
    <row r="27" ht="28" customHeight="1">
      <c r="A27" s="8" t="inlineStr">
        <is>
          <t>L2-A4</t>
        </is>
      </c>
      <c r="B27" s="9" t="inlineStr">
        <is>
          <t>L2</t>
        </is>
      </c>
      <c r="C27" s="9" t="inlineStr">
        <is>
          <t>STA_DYN</t>
        </is>
      </c>
      <c r="D27" s="9" t="inlineStr">
        <is>
          <t>acquisition</t>
        </is>
      </c>
      <c r="E27" s="10" t="inlineStr">
        <is>
          <t>30'' de STA + 75m</t>
        </is>
      </c>
      <c r="F27" s="8" t="n">
        <v>75</v>
      </c>
      <c r="G27" s="8" t="inlineStr">
        <is>
          <t>30''</t>
        </is>
      </c>
      <c r="H27" s="8" t="n"/>
      <c r="I27" s="8" t="n"/>
      <c r="J27" s="8" t="n"/>
      <c r="K27" s="8" t="n"/>
      <c r="L27" s="8" t="n">
        <v>1</v>
      </c>
      <c r="M27" s="8" t="n"/>
      <c r="N27" s="9" t="inlineStr">
        <is>
          <t>meilleures conditions</t>
        </is>
      </c>
      <c r="O27" s="10" t="inlineStr">
        <is>
          <t>Pouvoir réaliser la distance ou l'exercice une fois en étant mis dans les meilleures conditions.</t>
        </is>
      </c>
      <c r="P27" s="10" t="inlineStr">
        <is>
          <t>AA - Plan d'entrainement intermédiaires (L2) V.2.2024, p. 3</t>
        </is>
      </c>
    </row>
    <row r="28" ht="28" customHeight="1">
      <c r="A28" s="8" t="inlineStr">
        <is>
          <t>L2-A5</t>
        </is>
      </c>
      <c r="B28" s="9" t="inlineStr">
        <is>
          <t>L2</t>
        </is>
      </c>
      <c r="C28" s="9" t="inlineStr">
        <is>
          <t>LENT</t>
        </is>
      </c>
      <c r="D28" s="9" t="inlineStr">
        <is>
          <t>acquisition</t>
        </is>
      </c>
      <c r="E28" s="10" t="inlineStr">
        <is>
          <t>50m lent (1'45'')</t>
        </is>
      </c>
      <c r="F28" s="8" t="n">
        <v>50</v>
      </c>
      <c r="G28" s="8" t="n"/>
      <c r="H28" s="8" t="inlineStr">
        <is>
          <t>1'45''</t>
        </is>
      </c>
      <c r="I28" s="8" t="n"/>
      <c r="J28" s="8" t="n"/>
      <c r="K28" s="8" t="n"/>
      <c r="L28" s="8" t="n">
        <v>1</v>
      </c>
      <c r="M28" s="8" t="n"/>
      <c r="N28" s="9" t="inlineStr">
        <is>
          <t>meilleures conditions</t>
        </is>
      </c>
      <c r="O28" s="10" t="inlineStr">
        <is>
          <t>Pouvoir réaliser la distance ou l'exercice une fois en étant mis dans les meilleures conditions.</t>
        </is>
      </c>
      <c r="P28" s="10" t="inlineStr">
        <is>
          <t>AA - Plan d'entrainement intermédiaires (L2) V.2.2024, p. 3</t>
        </is>
      </c>
    </row>
    <row r="29" ht="28" customHeight="1">
      <c r="A29" s="8" t="inlineStr">
        <is>
          <t>L2-A6</t>
        </is>
      </c>
      <c r="B29" s="9" t="inlineStr">
        <is>
          <t>L2</t>
        </is>
      </c>
      <c r="C29" s="9" t="inlineStr">
        <is>
          <t>BRASSE</t>
        </is>
      </c>
      <c r="D29" s="9" t="inlineStr">
        <is>
          <t>acquisition</t>
        </is>
      </c>
      <c r="E29" s="10" t="inlineStr">
        <is>
          <t>65m en brasse</t>
        </is>
      </c>
      <c r="F29" s="8" t="n">
        <v>65</v>
      </c>
      <c r="G29" s="8" t="n"/>
      <c r="H29" s="8" t="n"/>
      <c r="I29" s="8" t="n"/>
      <c r="J29" s="8" t="n"/>
      <c r="K29" s="8" t="n"/>
      <c r="L29" s="8" t="n">
        <v>1</v>
      </c>
      <c r="M29" s="8" t="n"/>
      <c r="N29" s="9" t="inlineStr">
        <is>
          <t>meilleures conditions</t>
        </is>
      </c>
      <c r="O29" s="10" t="inlineStr">
        <is>
          <t>Pouvoir réaliser la distance ou l'exercice une fois en étant mis dans les meilleures conditions.</t>
        </is>
      </c>
      <c r="P29" s="10" t="inlineStr">
        <is>
          <t>AA - Plan d'entrainement intermédiaires (L2) V.2.2024, p. 3</t>
        </is>
      </c>
    </row>
    <row r="30" ht="28" customHeight="1">
      <c r="A30" s="8" t="inlineStr">
        <is>
          <t>L2-A7</t>
        </is>
      </c>
      <c r="B30" s="9" t="inlineStr">
        <is>
          <t>L2</t>
        </is>
      </c>
      <c r="C30" s="9" t="inlineStr">
        <is>
          <t>VOL_PUL</t>
        </is>
      </c>
      <c r="D30" s="9" t="inlineStr">
        <is>
          <t>acquisition</t>
        </is>
      </c>
      <c r="E30" s="10" t="inlineStr">
        <is>
          <t>50m PV</t>
        </is>
      </c>
      <c r="F30" s="8" t="n">
        <v>50</v>
      </c>
      <c r="G30" s="8" t="n"/>
      <c r="H30" s="8" t="n"/>
      <c r="I30" s="8" t="n"/>
      <c r="J30" s="8" t="n"/>
      <c r="K30" s="8" t="n"/>
      <c r="L30" s="8" t="n">
        <v>1</v>
      </c>
      <c r="M30" s="8" t="n"/>
      <c r="N30" s="9" t="inlineStr">
        <is>
          <t>meilleures conditions</t>
        </is>
      </c>
      <c r="O30" s="10" t="inlineStr">
        <is>
          <t>Pouvoir réaliser la distance ou l'exercice une fois en étant mis dans les meilleures conditions.</t>
        </is>
      </c>
      <c r="P30" s="10" t="inlineStr">
        <is>
          <t>AA - Plan d'entrainement intermédiaires (L2) V.2.2024, p. 3</t>
        </is>
      </c>
    </row>
    <row r="31" ht="28" customHeight="1">
      <c r="A31" s="8" t="inlineStr">
        <is>
          <t>L3-M1</t>
        </is>
      </c>
      <c r="B31" s="9" t="inlineStr">
        <is>
          <t>L3</t>
        </is>
      </c>
      <c r="C31" s="9" t="inlineStr">
        <is>
          <t>DIST</t>
        </is>
      </c>
      <c r="D31" s="9" t="inlineStr">
        <is>
          <t>maîtrise</t>
        </is>
      </c>
      <c r="E31" s="10" t="inlineStr">
        <is>
          <t>100m dyn</t>
        </is>
      </c>
      <c r="F31" s="8" t="n">
        <v>100</v>
      </c>
      <c r="G31" s="8" t="n"/>
      <c r="H31" s="8" t="n"/>
      <c r="I31" s="8" t="n"/>
      <c r="J31" s="8" t="n"/>
      <c r="K31" s="8" t="n"/>
      <c r="L31" s="8" t="n">
        <v>3</v>
      </c>
      <c r="M31" s="8" t="inlineStr">
        <is>
          <t>7'</t>
        </is>
      </c>
      <c r="N31" s="9" t="inlineStr">
        <is>
          <t>hypercapnique et/ou hypoxique</t>
        </is>
      </c>
      <c r="O31" s="10" t="inlineStr">
        <is>
          <t>Pouvoir réaliser la distance 3 fois dans la même séance avec contraintes hypercapniques et/ou hypoxiques.</t>
        </is>
      </c>
      <c r="P31" s="10" t="inlineStr">
        <is>
          <t>AA - Plan d'entrainement confirmés (L3) V.2.2024, p. 3</t>
        </is>
      </c>
    </row>
    <row r="32" ht="28" customHeight="1">
      <c r="A32" s="8" t="inlineStr">
        <is>
          <t>L3-M2</t>
        </is>
      </c>
      <c r="B32" s="9" t="inlineStr">
        <is>
          <t>L3</t>
        </is>
      </c>
      <c r="C32" s="9" t="inlineStr">
        <is>
          <t>SERIE_HC</t>
        </is>
      </c>
      <c r="D32" s="9" t="inlineStr">
        <is>
          <t>maîtrise</t>
        </is>
      </c>
      <c r="E32" s="10" t="inlineStr">
        <is>
          <t>4 x 50m départ 1'10''</t>
        </is>
      </c>
      <c r="F32" s="8" t="n">
        <v>50</v>
      </c>
      <c r="G32" s="8" t="n"/>
      <c r="H32" s="8" t="n"/>
      <c r="I32" s="8" t="inlineStr">
        <is>
          <t>1'10''</t>
        </is>
      </c>
      <c r="J32" s="8" t="n"/>
      <c r="K32" s="8" t="n">
        <v>4</v>
      </c>
      <c r="L32" s="8" t="n">
        <v>3</v>
      </c>
      <c r="M32" s="8" t="inlineStr">
        <is>
          <t>7'</t>
        </is>
      </c>
      <c r="N32" s="9" t="inlineStr">
        <is>
          <t>hypercapnique et/ou hypoxique</t>
        </is>
      </c>
      <c r="O32" s="10" t="inlineStr">
        <is>
          <t>Pouvoir réaliser la distance 3 fois dans la même séance avec contraintes hypercapniques et/ou hypoxiques.</t>
        </is>
      </c>
      <c r="P32" s="10" t="inlineStr">
        <is>
          <t>AA - Plan d'entrainement confirmés (L3) V.2.2024, p. 3</t>
        </is>
      </c>
    </row>
    <row r="33" ht="28" customHeight="1">
      <c r="A33" s="8" t="inlineStr">
        <is>
          <t>L3-M3</t>
        </is>
      </c>
      <c r="B33" s="9" t="inlineStr">
        <is>
          <t>L3</t>
        </is>
      </c>
      <c r="C33" s="9" t="inlineStr">
        <is>
          <t>STA_DYN</t>
        </is>
      </c>
      <c r="D33" s="9" t="inlineStr">
        <is>
          <t>maîtrise</t>
        </is>
      </c>
      <c r="E33" s="10" t="inlineStr">
        <is>
          <t>1' de STA + 75m</t>
        </is>
      </c>
      <c r="F33" s="8" t="n">
        <v>75</v>
      </c>
      <c r="G33" s="8" t="inlineStr">
        <is>
          <t>1'</t>
        </is>
      </c>
      <c r="H33" s="8" t="n"/>
      <c r="I33" s="8" t="n"/>
      <c r="J33" s="8" t="n"/>
      <c r="K33" s="8" t="n"/>
      <c r="L33" s="8" t="n">
        <v>3</v>
      </c>
      <c r="M33" s="8" t="inlineStr">
        <is>
          <t>7'</t>
        </is>
      </c>
      <c r="N33" s="9" t="inlineStr">
        <is>
          <t>hypercapnique et/ou hypoxique</t>
        </is>
      </c>
      <c r="O33" s="10" t="inlineStr">
        <is>
          <t>Pouvoir réaliser la distance 3 fois dans la même séance avec contraintes hypercapniques et/ou hypoxiques.</t>
        </is>
      </c>
      <c r="P33" s="10" t="inlineStr">
        <is>
          <t>AA - Plan d'entrainement confirmés (L3) V.2.2024, p. 3</t>
        </is>
      </c>
    </row>
    <row r="34" ht="28" customHeight="1">
      <c r="A34" s="8" t="inlineStr">
        <is>
          <t>L3-M4</t>
        </is>
      </c>
      <c r="B34" s="9" t="inlineStr">
        <is>
          <t>L3</t>
        </is>
      </c>
      <c r="C34" s="9" t="inlineStr">
        <is>
          <t>LENT</t>
        </is>
      </c>
      <c r="D34" s="9" t="inlineStr">
        <is>
          <t>maîtrise</t>
        </is>
      </c>
      <c r="E34" s="10" t="inlineStr">
        <is>
          <t>50m lent (2')</t>
        </is>
      </c>
      <c r="F34" s="8" t="n">
        <v>50</v>
      </c>
      <c r="G34" s="8" t="n"/>
      <c r="H34" s="8" t="inlineStr">
        <is>
          <t>2'</t>
        </is>
      </c>
      <c r="I34" s="8" t="n"/>
      <c r="J34" s="8" t="n"/>
      <c r="K34" s="8" t="n"/>
      <c r="L34" s="8" t="n">
        <v>3</v>
      </c>
      <c r="M34" s="8" t="inlineStr">
        <is>
          <t>7'</t>
        </is>
      </c>
      <c r="N34" s="9" t="inlineStr">
        <is>
          <t>hypercapnique et/ou hypoxique</t>
        </is>
      </c>
      <c r="O34" s="10" t="inlineStr">
        <is>
          <t>Pouvoir réaliser la distance 3 fois dans la même séance avec contraintes hypercapniques et/ou hypoxiques.</t>
        </is>
      </c>
      <c r="P34" s="10" t="inlineStr">
        <is>
          <t>AA - Plan d'entrainement confirmés (L3) V.2.2024, p. 3</t>
        </is>
      </c>
    </row>
    <row r="35" ht="28" customHeight="1">
      <c r="A35" s="8" t="inlineStr">
        <is>
          <t>L3-M5</t>
        </is>
      </c>
      <c r="B35" s="9" t="inlineStr">
        <is>
          <t>L3</t>
        </is>
      </c>
      <c r="C35" s="9" t="inlineStr">
        <is>
          <t>BRASSE</t>
        </is>
      </c>
      <c r="D35" s="9" t="inlineStr">
        <is>
          <t>maîtrise</t>
        </is>
      </c>
      <c r="E35" s="10" t="inlineStr">
        <is>
          <t>65m en brasse</t>
        </is>
      </c>
      <c r="F35" s="8" t="n">
        <v>65</v>
      </c>
      <c r="G35" s="8" t="n"/>
      <c r="H35" s="8" t="n"/>
      <c r="I35" s="8" t="n"/>
      <c r="J35" s="8" t="n"/>
      <c r="K35" s="8" t="n"/>
      <c r="L35" s="8" t="n">
        <v>3</v>
      </c>
      <c r="M35" s="8" t="inlineStr">
        <is>
          <t>7'</t>
        </is>
      </c>
      <c r="N35" s="9" t="inlineStr">
        <is>
          <t>hypercapnique et/ou hypoxique</t>
        </is>
      </c>
      <c r="O35" s="10" t="inlineStr">
        <is>
          <t>Pouvoir réaliser la distance 3 fois dans la même séance avec contraintes hypercapniques et/ou hypoxiques.</t>
        </is>
      </c>
      <c r="P35" s="10" t="inlineStr">
        <is>
          <t>AA - Plan d'entrainement confirmés (L3) V.2.2024, p. 3</t>
        </is>
      </c>
    </row>
    <row r="36" ht="28" customHeight="1">
      <c r="A36" s="8" t="inlineStr">
        <is>
          <t>L3-A1</t>
        </is>
      </c>
      <c r="B36" s="9" t="inlineStr">
        <is>
          <t>L3</t>
        </is>
      </c>
      <c r="C36" s="9" t="inlineStr">
        <is>
          <t>DIST</t>
        </is>
      </c>
      <c r="D36" s="9" t="inlineStr">
        <is>
          <t>acquisition</t>
        </is>
      </c>
      <c r="E36" s="10" t="inlineStr">
        <is>
          <t>125m dyn</t>
        </is>
      </c>
      <c r="F36" s="8" t="n">
        <v>125</v>
      </c>
      <c r="G36" s="8" t="n"/>
      <c r="H36" s="8" t="n"/>
      <c r="I36" s="8" t="n"/>
      <c r="J36" s="8" t="n"/>
      <c r="K36" s="8" t="n"/>
      <c r="L36" s="8" t="n">
        <v>1</v>
      </c>
      <c r="M36" s="8" t="n"/>
      <c r="N36" s="9" t="inlineStr">
        <is>
          <t>meilleures conditions</t>
        </is>
      </c>
      <c r="O36" s="10" t="inlineStr">
        <is>
          <t>Pouvoir réaliser la distance ou l'exercice une fois en étant mis dans les meilleures conditions.</t>
        </is>
      </c>
      <c r="P36" s="10" t="inlineStr">
        <is>
          <t>AA - Plan d'entrainement confirmés (L3) V.2.2024, p. 3</t>
        </is>
      </c>
    </row>
    <row r="37" ht="28" customHeight="1">
      <c r="A37" s="8" t="inlineStr">
        <is>
          <t>L3-A2</t>
        </is>
      </c>
      <c r="B37" s="9" t="inlineStr">
        <is>
          <t>L3</t>
        </is>
      </c>
      <c r="C37" s="9" t="inlineStr">
        <is>
          <t>SERIE_HC</t>
        </is>
      </c>
      <c r="D37" s="9" t="inlineStr">
        <is>
          <t>acquisition</t>
        </is>
      </c>
      <c r="E37" s="10" t="inlineStr">
        <is>
          <t>4 x 50m départ 1'</t>
        </is>
      </c>
      <c r="F37" s="8" t="n">
        <v>50</v>
      </c>
      <c r="G37" s="8" t="n"/>
      <c r="H37" s="8" t="n"/>
      <c r="I37" s="8" t="inlineStr">
        <is>
          <t>1'</t>
        </is>
      </c>
      <c r="J37" s="8" t="n"/>
      <c r="K37" s="8" t="n">
        <v>4</v>
      </c>
      <c r="L37" s="8" t="n">
        <v>1</v>
      </c>
      <c r="M37" s="8" t="n"/>
      <c r="N37" s="9" t="inlineStr">
        <is>
          <t>meilleures conditions</t>
        </is>
      </c>
      <c r="O37" s="10" t="inlineStr">
        <is>
          <t>Pouvoir réaliser la distance ou l'exercice une fois en étant mis dans les meilleures conditions.</t>
        </is>
      </c>
      <c r="P37" s="10" t="inlineStr">
        <is>
          <t>AA - Plan d'entrainement confirmés (L3) V.2.2024, p. 3</t>
        </is>
      </c>
    </row>
    <row r="38" ht="28" customHeight="1">
      <c r="A38" s="8" t="inlineStr">
        <is>
          <t>L3-A3</t>
        </is>
      </c>
      <c r="B38" s="9" t="inlineStr">
        <is>
          <t>L3</t>
        </is>
      </c>
      <c r="C38" s="9" t="inlineStr">
        <is>
          <t>STA_DYN</t>
        </is>
      </c>
      <c r="D38" s="9" t="inlineStr">
        <is>
          <t>acquisition</t>
        </is>
      </c>
      <c r="E38" s="10" t="inlineStr">
        <is>
          <t>1'30'' de STA + 75m</t>
        </is>
      </c>
      <c r="F38" s="8" t="n">
        <v>75</v>
      </c>
      <c r="G38" s="8" t="inlineStr">
        <is>
          <t>1'30''</t>
        </is>
      </c>
      <c r="H38" s="8" t="n"/>
      <c r="I38" s="8" t="n"/>
      <c r="J38" s="8" t="n"/>
      <c r="K38" s="8" t="n"/>
      <c r="L38" s="8" t="n">
        <v>1</v>
      </c>
      <c r="M38" s="8" t="n"/>
      <c r="N38" s="9" t="inlineStr">
        <is>
          <t>meilleures conditions</t>
        </is>
      </c>
      <c r="O38" s="10" t="inlineStr">
        <is>
          <t>Pouvoir réaliser la distance ou l'exercice une fois en étant mis dans les meilleures conditions.</t>
        </is>
      </c>
      <c r="P38" s="10" t="inlineStr">
        <is>
          <t>AA - Plan d'entrainement confirmés (L3) V.2.2024, p. 3</t>
        </is>
      </c>
    </row>
    <row r="39" ht="28" customHeight="1">
      <c r="A39" s="8" t="inlineStr">
        <is>
          <t>L3-A4</t>
        </is>
      </c>
      <c r="B39" s="9" t="inlineStr">
        <is>
          <t>L3</t>
        </is>
      </c>
      <c r="C39" s="9" t="inlineStr">
        <is>
          <t>LENT</t>
        </is>
      </c>
      <c r="D39" s="9" t="inlineStr">
        <is>
          <t>acquisition</t>
        </is>
      </c>
      <c r="E39" s="10" t="inlineStr">
        <is>
          <t>50m lent (2'30'')</t>
        </is>
      </c>
      <c r="F39" s="8" t="n">
        <v>50</v>
      </c>
      <c r="G39" s="8" t="n"/>
      <c r="H39" s="8" t="inlineStr">
        <is>
          <t>2'30''</t>
        </is>
      </c>
      <c r="I39" s="8" t="n"/>
      <c r="J39" s="8" t="n"/>
      <c r="K39" s="8" t="n"/>
      <c r="L39" s="8" t="n">
        <v>1</v>
      </c>
      <c r="M39" s="8" t="n"/>
      <c r="N39" s="9" t="inlineStr">
        <is>
          <t>meilleures conditions</t>
        </is>
      </c>
      <c r="O39" s="10" t="inlineStr">
        <is>
          <t>Pouvoir réaliser la distance ou l'exercice une fois en étant mis dans les meilleures conditions.</t>
        </is>
      </c>
      <c r="P39" s="10" t="inlineStr">
        <is>
          <t>AA - Plan d'entrainement confirmés (L3) V.2.2024, p. 3</t>
        </is>
      </c>
    </row>
    <row r="40" ht="28" customHeight="1">
      <c r="A40" s="8" t="inlineStr">
        <is>
          <t>L3-A5</t>
        </is>
      </c>
      <c r="B40" s="9" t="inlineStr">
        <is>
          <t>L3</t>
        </is>
      </c>
      <c r="C40" s="9" t="inlineStr">
        <is>
          <t>BRASSE</t>
        </is>
      </c>
      <c r="D40" s="9" t="inlineStr">
        <is>
          <t>acquisition</t>
        </is>
      </c>
      <c r="E40" s="10" t="inlineStr">
        <is>
          <t>75m en brasse</t>
        </is>
      </c>
      <c r="F40" s="8" t="n">
        <v>75</v>
      </c>
      <c r="G40" s="8" t="n"/>
      <c r="H40" s="8" t="n"/>
      <c r="I40" s="8" t="n"/>
      <c r="J40" s="8" t="n"/>
      <c r="K40" s="8" t="n"/>
      <c r="L40" s="8" t="n">
        <v>1</v>
      </c>
      <c r="M40" s="8" t="n"/>
      <c r="N40" s="9" t="inlineStr">
        <is>
          <t>meilleures conditions</t>
        </is>
      </c>
      <c r="O40" s="10" t="inlineStr">
        <is>
          <t>Pouvoir réaliser la distance ou l'exercice une fois en étant mis dans les meilleures conditions.</t>
        </is>
      </c>
      <c r="P40" s="10" t="inlineStr">
        <is>
          <t>AA - Plan d'entrainement confirmés (L3) V.2.2024, p. 3</t>
        </is>
      </c>
    </row>
    <row r="41" ht="28" customHeight="1">
      <c r="A41" s="8" t="inlineStr">
        <is>
          <t>L4-M1</t>
        </is>
      </c>
      <c r="B41" s="9" t="inlineStr">
        <is>
          <t>L4</t>
        </is>
      </c>
      <c r="C41" s="9" t="inlineStr">
        <is>
          <t>DIST</t>
        </is>
      </c>
      <c r="D41" s="9" t="inlineStr">
        <is>
          <t>maîtrise</t>
        </is>
      </c>
      <c r="E41" s="10" t="inlineStr">
        <is>
          <t>125m dyn</t>
        </is>
      </c>
      <c r="F41" s="8" t="n">
        <v>125</v>
      </c>
      <c r="G41" s="8" t="n"/>
      <c r="H41" s="8" t="n"/>
      <c r="I41" s="8" t="n"/>
      <c r="J41" s="8" t="n"/>
      <c r="K41" s="8" t="n"/>
      <c r="L41" s="8" t="n"/>
      <c r="M41" s="8" t="n"/>
      <c r="N41" s="9" t="inlineStr">
        <is>
          <t>aucune contrainte particulière</t>
        </is>
      </c>
      <c r="O41" s="10" t="inlineStr">
        <is>
          <t>Pouvoir réaliser la distance sans contrainte particulière, régulièrement, sans incident. — critère qualitatif, non calculable.</t>
        </is>
      </c>
      <c r="P41" s="10" t="inlineStr">
        <is>
          <t>AA - Plan d'entrainement experts (L4) V.1.2025, p. 3</t>
        </is>
      </c>
    </row>
    <row r="42" ht="28" customHeight="1">
      <c r="A42" s="8" t="inlineStr">
        <is>
          <t>L4-M2</t>
        </is>
      </c>
      <c r="B42" s="9" t="inlineStr">
        <is>
          <t>L4</t>
        </is>
      </c>
      <c r="C42" s="9" t="inlineStr">
        <is>
          <t>SERIE_HC</t>
        </is>
      </c>
      <c r="D42" s="9" t="inlineStr">
        <is>
          <t>maîtrise</t>
        </is>
      </c>
      <c r="E42" s="10" t="inlineStr">
        <is>
          <t>4 x 50m départ 1'</t>
        </is>
      </c>
      <c r="F42" s="8" t="n">
        <v>50</v>
      </c>
      <c r="G42" s="8" t="n"/>
      <c r="H42" s="8" t="n"/>
      <c r="I42" s="8" t="inlineStr">
        <is>
          <t>1'</t>
        </is>
      </c>
      <c r="J42" s="8" t="n"/>
      <c r="K42" s="8" t="n">
        <v>4</v>
      </c>
      <c r="L42" s="8" t="n"/>
      <c r="M42" s="8" t="n"/>
      <c r="N42" s="9" t="inlineStr">
        <is>
          <t>aucune contrainte particulière</t>
        </is>
      </c>
      <c r="O42" s="10" t="inlineStr">
        <is>
          <t>Pouvoir réaliser la distance sans contrainte particulière, régulièrement, sans incident. — critère qualitatif, non calculable.</t>
        </is>
      </c>
      <c r="P42" s="10" t="inlineStr">
        <is>
          <t>AA - Plan d'entrainement experts (L4) V.1.2025, p. 3</t>
        </is>
      </c>
    </row>
    <row r="43" ht="28" customHeight="1">
      <c r="A43" s="8" t="inlineStr">
        <is>
          <t>L4-M3</t>
        </is>
      </c>
      <c r="B43" s="9" t="inlineStr">
        <is>
          <t>L4</t>
        </is>
      </c>
      <c r="C43" s="9" t="inlineStr">
        <is>
          <t>STA_DYN</t>
        </is>
      </c>
      <c r="D43" s="9" t="inlineStr">
        <is>
          <t>maîtrise</t>
        </is>
      </c>
      <c r="E43" s="10" t="inlineStr">
        <is>
          <t>1'30 de STA + 75m</t>
        </is>
      </c>
      <c r="F43" s="8" t="n">
        <v>75</v>
      </c>
      <c r="G43" s="8" t="inlineStr">
        <is>
          <t>1'30</t>
        </is>
      </c>
      <c r="H43" s="8" t="n"/>
      <c r="I43" s="8" t="n"/>
      <c r="J43" s="8" t="n"/>
      <c r="K43" s="8" t="n"/>
      <c r="L43" s="8" t="n"/>
      <c r="M43" s="8" t="n"/>
      <c r="N43" s="9" t="inlineStr">
        <is>
          <t>aucune contrainte particulière</t>
        </is>
      </c>
      <c r="O43" s="10" t="inlineStr">
        <is>
          <t>Pouvoir réaliser la distance sans contrainte particulière, régulièrement, sans incident. — critère qualitatif, non calculable.</t>
        </is>
      </c>
      <c r="P43" s="10" t="inlineStr">
        <is>
          <t>AA - Plan d'entrainement experts (L4) V.1.2025, p. 3</t>
        </is>
      </c>
    </row>
    <row r="44" ht="28" customHeight="1">
      <c r="A44" s="8" t="inlineStr">
        <is>
          <t>L4-M4</t>
        </is>
      </c>
      <c r="B44" s="9" t="inlineStr">
        <is>
          <t>L4</t>
        </is>
      </c>
      <c r="C44" s="9" t="inlineStr">
        <is>
          <t>LENT</t>
        </is>
      </c>
      <c r="D44" s="9" t="inlineStr">
        <is>
          <t>maîtrise</t>
        </is>
      </c>
      <c r="E44" s="10" t="inlineStr">
        <is>
          <t>50m lent (2'30)</t>
        </is>
      </c>
      <c r="F44" s="8" t="n">
        <v>50</v>
      </c>
      <c r="G44" s="8" t="n"/>
      <c r="H44" s="8" t="inlineStr">
        <is>
          <t>2'30</t>
        </is>
      </c>
      <c r="I44" s="8" t="n"/>
      <c r="J44" s="8" t="n"/>
      <c r="K44" s="8" t="n"/>
      <c r="L44" s="8" t="n"/>
      <c r="M44" s="8" t="n"/>
      <c r="N44" s="9" t="inlineStr">
        <is>
          <t>aucune contrainte particulière</t>
        </is>
      </c>
      <c r="O44" s="10" t="inlineStr">
        <is>
          <t>Pouvoir réaliser la distance sans contrainte particulière, régulièrement, sans incident. — critère qualitatif, non calculable.</t>
        </is>
      </c>
      <c r="P44" s="10" t="inlineStr">
        <is>
          <t>AA - Plan d'entrainement experts (L4) V.1.2025, p. 3</t>
        </is>
      </c>
    </row>
    <row r="45" ht="28" customHeight="1">
      <c r="A45" s="8" t="inlineStr">
        <is>
          <t>L4-M5</t>
        </is>
      </c>
      <c r="B45" s="9" t="inlineStr">
        <is>
          <t>L4</t>
        </is>
      </c>
      <c r="C45" s="9" t="inlineStr">
        <is>
          <t>BRASSE</t>
        </is>
      </c>
      <c r="D45" s="9" t="inlineStr">
        <is>
          <t>maîtrise</t>
        </is>
      </c>
      <c r="E45" s="10" t="inlineStr">
        <is>
          <t>75m en brasse</t>
        </is>
      </c>
      <c r="F45" s="8" t="n">
        <v>75</v>
      </c>
      <c r="G45" s="8" t="n"/>
      <c r="H45" s="8" t="n"/>
      <c r="I45" s="8" t="n"/>
      <c r="J45" s="8" t="n"/>
      <c r="K45" s="8" t="n"/>
      <c r="L45" s="8" t="n"/>
      <c r="M45" s="8" t="n"/>
      <c r="N45" s="9" t="inlineStr">
        <is>
          <t>aucune contrainte particulière</t>
        </is>
      </c>
      <c r="O45" s="10" t="inlineStr">
        <is>
          <t>Pouvoir réaliser la distance sans contrainte particulière, régulièrement, sans incident. — critère qualitatif, non calculable.</t>
        </is>
      </c>
      <c r="P45" s="10" t="inlineStr">
        <is>
          <t>AA - Plan d'entrainement experts (L4) V.1.2025, p. 3</t>
        </is>
      </c>
    </row>
    <row r="46" ht="28" customHeight="1">
      <c r="A46" s="8" t="inlineStr">
        <is>
          <t>L4-A1</t>
        </is>
      </c>
      <c r="B46" s="9" t="inlineStr">
        <is>
          <t>L4</t>
        </is>
      </c>
      <c r="C46" s="9" t="inlineStr">
        <is>
          <t>DIST</t>
        </is>
      </c>
      <c r="D46" s="9" t="inlineStr">
        <is>
          <t>acquisition</t>
        </is>
      </c>
      <c r="E46" s="10" t="inlineStr">
        <is>
          <t>150m dyn</t>
        </is>
      </c>
      <c r="F46" s="8" t="n">
        <v>150</v>
      </c>
      <c r="G46" s="8" t="n"/>
      <c r="H46" s="8" t="n"/>
      <c r="I46" s="8" t="n"/>
      <c r="J46" s="8" t="n"/>
      <c r="K46" s="8" t="n"/>
      <c r="L46" s="8" t="n">
        <v>1</v>
      </c>
      <c r="M46" s="8" t="n"/>
      <c r="N46" s="9" t="inlineStr">
        <is>
          <t>meilleures conditions</t>
        </is>
      </c>
      <c r="O46" s="10" t="inlineStr">
        <is>
          <t>Pouvoir réaliser la distance ou l'exercice une fois de temps en temps en étant mis dans les meilleures conditions.</t>
        </is>
      </c>
      <c r="P46" s="10" t="inlineStr">
        <is>
          <t>AA - Plan d'entrainement experts (L4) V.1.2025, p. 3</t>
        </is>
      </c>
    </row>
    <row r="47" ht="28" customHeight="1">
      <c r="A47" s="8" t="inlineStr">
        <is>
          <t>L4-A2</t>
        </is>
      </c>
      <c r="B47" s="9" t="inlineStr">
        <is>
          <t>L4</t>
        </is>
      </c>
      <c r="C47" s="9" t="inlineStr">
        <is>
          <t>SERIE_HC</t>
        </is>
      </c>
      <c r="D47" s="9" t="inlineStr">
        <is>
          <t>acquisition</t>
        </is>
      </c>
      <c r="E47" s="10" t="inlineStr">
        <is>
          <t>4 x 50m départ 55''</t>
        </is>
      </c>
      <c r="F47" s="8" t="n">
        <v>50</v>
      </c>
      <c r="G47" s="8" t="n"/>
      <c r="H47" s="8" t="n"/>
      <c r="I47" s="8" t="inlineStr">
        <is>
          <t>55''</t>
        </is>
      </c>
      <c r="J47" s="8" t="n"/>
      <c r="K47" s="8" t="n">
        <v>4</v>
      </c>
      <c r="L47" s="8" t="n">
        <v>1</v>
      </c>
      <c r="M47" s="8" t="n"/>
      <c r="N47" s="9" t="inlineStr">
        <is>
          <t>meilleures conditions</t>
        </is>
      </c>
      <c r="O47" s="10" t="inlineStr">
        <is>
          <t>Pouvoir réaliser la distance ou l'exercice une fois de temps en temps en étant mis dans les meilleures conditions.</t>
        </is>
      </c>
      <c r="P47" s="10" t="inlineStr">
        <is>
          <t>AA - Plan d'entrainement experts (L4) V.1.2025, p. 3</t>
        </is>
      </c>
    </row>
    <row r="48" ht="28" customHeight="1">
      <c r="A48" s="8" t="inlineStr">
        <is>
          <t>L4-A3</t>
        </is>
      </c>
      <c r="B48" s="9" t="inlineStr">
        <is>
          <t>L4</t>
        </is>
      </c>
      <c r="C48" s="9" t="inlineStr">
        <is>
          <t>STA_DYN</t>
        </is>
      </c>
      <c r="D48" s="9" t="inlineStr">
        <is>
          <t>acquisition</t>
        </is>
      </c>
      <c r="E48" s="10" t="inlineStr">
        <is>
          <t>2' de STA + 75m</t>
        </is>
      </c>
      <c r="F48" s="8" t="n">
        <v>75</v>
      </c>
      <c r="G48" s="8" t="inlineStr">
        <is>
          <t>2'</t>
        </is>
      </c>
      <c r="H48" s="8" t="n"/>
      <c r="I48" s="8" t="n"/>
      <c r="J48" s="8" t="n"/>
      <c r="K48" s="8" t="n"/>
      <c r="L48" s="8" t="n">
        <v>1</v>
      </c>
      <c r="M48" s="8" t="n"/>
      <c r="N48" s="9" t="inlineStr">
        <is>
          <t>meilleures conditions</t>
        </is>
      </c>
      <c r="O48" s="10" t="inlineStr">
        <is>
          <t>Pouvoir réaliser la distance ou l'exercice une fois de temps en temps en étant mis dans les meilleures conditions.</t>
        </is>
      </c>
      <c r="P48" s="10" t="inlineStr">
        <is>
          <t>AA - Plan d'entrainement experts (L4) V.1.2025, p. 3</t>
        </is>
      </c>
    </row>
    <row r="49" ht="28" customHeight="1">
      <c r="A49" s="8" t="inlineStr">
        <is>
          <t>L4-A4</t>
        </is>
      </c>
      <c r="B49" s="9" t="inlineStr">
        <is>
          <t>L4</t>
        </is>
      </c>
      <c r="C49" s="9" t="inlineStr">
        <is>
          <t>LENT</t>
        </is>
      </c>
      <c r="D49" s="9" t="inlineStr">
        <is>
          <t>acquisition</t>
        </is>
      </c>
      <c r="E49" s="10" t="inlineStr">
        <is>
          <t>50m lent (3')</t>
        </is>
      </c>
      <c r="F49" s="8" t="n">
        <v>50</v>
      </c>
      <c r="G49" s="8" t="n"/>
      <c r="H49" s="8" t="inlineStr">
        <is>
          <t>3'</t>
        </is>
      </c>
      <c r="I49" s="8" t="n"/>
      <c r="J49" s="8" t="n"/>
      <c r="K49" s="8" t="n"/>
      <c r="L49" s="8" t="n">
        <v>1</v>
      </c>
      <c r="M49" s="8" t="n"/>
      <c r="N49" s="9" t="inlineStr">
        <is>
          <t>meilleures conditions</t>
        </is>
      </c>
      <c r="O49" s="10" t="inlineStr">
        <is>
          <t>Pouvoir réaliser la distance ou l'exercice une fois de temps en temps en étant mis dans les meilleures conditions.</t>
        </is>
      </c>
      <c r="P49" s="10" t="inlineStr">
        <is>
          <t>AA - Plan d'entrainement experts (L4) V.1.2025, p. 3</t>
        </is>
      </c>
    </row>
    <row r="50" ht="28" customHeight="1">
      <c r="A50" s="8" t="inlineStr">
        <is>
          <t>L4-A5</t>
        </is>
      </c>
      <c r="B50" s="9" t="inlineStr">
        <is>
          <t>L4</t>
        </is>
      </c>
      <c r="C50" s="9" t="inlineStr">
        <is>
          <t>BRASSE</t>
        </is>
      </c>
      <c r="D50" s="9" t="inlineStr">
        <is>
          <t>acquisition</t>
        </is>
      </c>
      <c r="E50" s="10" t="inlineStr">
        <is>
          <t>100m en brasse</t>
        </is>
      </c>
      <c r="F50" s="8" t="n">
        <v>100</v>
      </c>
      <c r="G50" s="8" t="n"/>
      <c r="H50" s="8" t="n"/>
      <c r="I50" s="8" t="n"/>
      <c r="J50" s="8" t="n"/>
      <c r="K50" s="8" t="n"/>
      <c r="L50" s="8" t="n">
        <v>1</v>
      </c>
      <c r="M50" s="8" t="n"/>
      <c r="N50" s="9" t="inlineStr">
        <is>
          <t>meilleures conditions</t>
        </is>
      </c>
      <c r="O50" s="10" t="inlineStr">
        <is>
          <t>Pouvoir réaliser la distance ou l'exercice une fois de temps en temps en étant mis dans les meilleures conditions.</t>
        </is>
      </c>
      <c r="P50" s="10" t="inlineStr">
        <is>
          <t>AA - Plan d'entrainement experts (L4) V.1.2025, p. 3</t>
        </is>
      </c>
    </row>
    <row r="51">
      <c r="A51" s="8" t="n"/>
      <c r="B51" s="9" t="n"/>
      <c r="C51" s="9" t="n"/>
      <c r="D51" s="9" t="n"/>
      <c r="E51" s="10" t="n"/>
      <c r="F51" s="8" t="n"/>
      <c r="G51" s="8" t="n"/>
      <c r="H51" s="8" t="n"/>
      <c r="I51" s="8" t="n"/>
      <c r="J51" s="8" t="n"/>
      <c r="K51" s="8" t="n"/>
      <c r="L51" s="8" t="n"/>
      <c r="M51" s="8" t="n"/>
      <c r="N51" s="9" t="n"/>
      <c r="O51" s="10" t="n"/>
      <c r="P51" s="10" t="n"/>
    </row>
  </sheetData>
  <dataValidations count="4">
    <dataValidation sqref="B5:B51" showDropDown="0" showInputMessage="0" showErrorMessage="0" allowBlank="1" type="list">
      <formula1>"L1,L2,L3,L4,LC,DNF1,DNF2,STA1,STA2,STAC"</formula1>
    </dataValidation>
    <dataValidation sqref="C5:C51" showDropDown="0" showInputMessage="0" showErrorMessage="0" allowBlank="1" type="list">
      <formula1>"DIST,SERIE_HC,SERIE_CT,STA_DYN,LENT,BRASSE,VOL_PUL"</formula1>
    </dataValidation>
    <dataValidation sqref="D5:D51" showDropDown="0" showInputMessage="0" showErrorMessage="0" allowBlank="1" type="list">
      <formula1>"maîtrise,acquisition"</formula1>
    </dataValidation>
    <dataValidation sqref="N5:N51" showDropDown="0" showInputMessage="0" showErrorMessage="0" allowBlank="1" type="list">
      <formula1>"hypercapnique et/ou hypoxique,meilleures conditions,aucune contrainte particulière"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F4E5F"/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2" customWidth="1" min="2" max="2"/>
    <col width="8" customWidth="1" min="3" max="3"/>
    <col width="14" customWidth="1" min="4" max="4"/>
    <col width="50" customWidth="1" min="5" max="5"/>
  </cols>
  <sheetData>
    <row r="1" ht="18" customHeight="1">
      <c r="A1" s="4" t="inlineStr">
        <is>
          <t>Niveau attendu par compétence et par groupe</t>
        </is>
      </c>
    </row>
    <row r="2">
      <c r="A2" s="5" t="inlineStr">
        <is>
          <t>Une seule table pour toutes les lignes : c'est ce qui garantit la cohérence d'ensemble de la progression.</t>
        </is>
      </c>
    </row>
    <row r="4" ht="32" customHeight="1">
      <c r="A4" s="7" t="inlineStr">
        <is>
          <t>Compétence</t>
        </is>
      </c>
      <c r="B4" s="7" t="inlineStr">
        <is>
          <t>Libellé</t>
        </is>
      </c>
      <c r="C4" s="7" t="inlineStr">
        <is>
          <t>Groupe</t>
        </is>
      </c>
      <c r="D4" s="7" t="inlineStr">
        <is>
          <t>Niveau attendu</t>
        </is>
      </c>
      <c r="E4" s="7" t="inlineStr">
        <is>
          <t>Commentaire</t>
        </is>
      </c>
    </row>
    <row r="5">
      <c r="A5" s="9" t="inlineStr">
        <is>
          <t>LEST</t>
        </is>
      </c>
      <c r="B5" s="8" t="inlineStr">
        <is>
          <t>Lestage</t>
        </is>
      </c>
      <c r="C5" s="9" t="inlineStr">
        <is>
          <t>L1</t>
        </is>
      </c>
      <c r="D5" s="9" t="inlineStr">
        <is>
          <t>en cours</t>
        </is>
      </c>
      <c r="E5" s="10" t="n"/>
    </row>
    <row r="6">
      <c r="A6" s="9" t="inlineStr">
        <is>
          <t>LEST</t>
        </is>
      </c>
      <c r="B6" s="8" t="inlineStr">
        <is>
          <t>Lestage</t>
        </is>
      </c>
      <c r="C6" s="9" t="inlineStr">
        <is>
          <t>L2</t>
        </is>
      </c>
      <c r="D6" s="9" t="inlineStr">
        <is>
          <t>acquis</t>
        </is>
      </c>
      <c r="E6" s="10" t="n"/>
    </row>
    <row r="7">
      <c r="A7" s="9" t="inlineStr">
        <is>
          <t>LEST</t>
        </is>
      </c>
      <c r="B7" s="8" t="inlineStr">
        <is>
          <t>Lestage</t>
        </is>
      </c>
      <c r="C7" s="9" t="inlineStr">
        <is>
          <t>L3</t>
        </is>
      </c>
      <c r="D7" s="9" t="inlineStr">
        <is>
          <t>acquis</t>
        </is>
      </c>
      <c r="E7" s="10" t="n"/>
    </row>
    <row r="8">
      <c r="A8" s="9" t="inlineStr">
        <is>
          <t>LEST</t>
        </is>
      </c>
      <c r="B8" s="8" t="inlineStr">
        <is>
          <t>Lestage</t>
        </is>
      </c>
      <c r="C8" s="9" t="inlineStr">
        <is>
          <t>L4</t>
        </is>
      </c>
      <c r="D8" s="9" t="inlineStr">
        <is>
          <t>expert</t>
        </is>
      </c>
      <c r="E8" s="10" t="n"/>
    </row>
    <row r="9">
      <c r="A9" s="9" t="inlineStr">
        <is>
          <t>LEST</t>
        </is>
      </c>
      <c r="B9" s="8" t="inlineStr">
        <is>
          <t>Lestage</t>
        </is>
      </c>
      <c r="C9" s="9" t="inlineStr">
        <is>
          <t>LC</t>
        </is>
      </c>
      <c r="D9" s="9" t="inlineStr">
        <is>
          <t>expert</t>
        </is>
      </c>
      <c r="E9" s="10" t="n"/>
    </row>
    <row r="10">
      <c r="A10" s="9" t="inlineStr">
        <is>
          <t>HYDRO</t>
        </is>
      </c>
      <c r="B10" s="8" t="inlineStr">
        <is>
          <t>Hydrodynamisme</t>
        </is>
      </c>
      <c r="C10" s="9" t="inlineStr">
        <is>
          <t>L1</t>
        </is>
      </c>
      <c r="D10" s="9" t="inlineStr">
        <is>
          <t>en cours</t>
        </is>
      </c>
      <c r="E10" s="10" t="n"/>
    </row>
    <row r="11">
      <c r="A11" s="9" t="inlineStr">
        <is>
          <t>HYDRO</t>
        </is>
      </c>
      <c r="B11" s="8" t="inlineStr">
        <is>
          <t>Hydrodynamisme</t>
        </is>
      </c>
      <c r="C11" s="9" t="inlineStr">
        <is>
          <t>L2</t>
        </is>
      </c>
      <c r="D11" s="9" t="inlineStr">
        <is>
          <t>acquis</t>
        </is>
      </c>
      <c r="E11" s="10" t="n"/>
    </row>
    <row r="12">
      <c r="A12" s="9" t="inlineStr">
        <is>
          <t>HYDRO</t>
        </is>
      </c>
      <c r="B12" s="8" t="inlineStr">
        <is>
          <t>Hydrodynamisme</t>
        </is>
      </c>
      <c r="C12" s="9" t="inlineStr">
        <is>
          <t>L3</t>
        </is>
      </c>
      <c r="D12" s="9" t="inlineStr">
        <is>
          <t>acquis</t>
        </is>
      </c>
      <c r="E12" s="10" t="n"/>
    </row>
    <row r="13">
      <c r="A13" s="9" t="inlineStr">
        <is>
          <t>HYDRO</t>
        </is>
      </c>
      <c r="B13" s="8" t="inlineStr">
        <is>
          <t>Hydrodynamisme</t>
        </is>
      </c>
      <c r="C13" s="9" t="inlineStr">
        <is>
          <t>L4</t>
        </is>
      </c>
      <c r="D13" s="9" t="inlineStr">
        <is>
          <t>expert</t>
        </is>
      </c>
      <c r="E13" s="10" t="n"/>
    </row>
    <row r="14">
      <c r="A14" s="9" t="inlineStr">
        <is>
          <t>HYDRO</t>
        </is>
      </c>
      <c r="B14" s="8" t="inlineStr">
        <is>
          <t>Hydrodynamisme</t>
        </is>
      </c>
      <c r="C14" s="9" t="inlineStr">
        <is>
          <t>LC</t>
        </is>
      </c>
      <c r="D14" s="9" t="inlineStr">
        <is>
          <t>expert</t>
        </is>
      </c>
      <c r="E14" s="10" t="n"/>
    </row>
    <row r="15">
      <c r="A15" s="9" t="inlineStr">
        <is>
          <t>PALM_BI</t>
        </is>
      </c>
      <c r="B15" s="8" t="inlineStr">
        <is>
          <t>Palmage bi-palmes</t>
        </is>
      </c>
      <c r="C15" s="9" t="inlineStr">
        <is>
          <t>L1</t>
        </is>
      </c>
      <c r="D15" s="9" t="inlineStr">
        <is>
          <t>en cours</t>
        </is>
      </c>
      <c r="E15" s="10" t="n"/>
    </row>
    <row r="16">
      <c r="A16" s="9" t="inlineStr">
        <is>
          <t>PALM_BI</t>
        </is>
      </c>
      <c r="B16" s="8" t="inlineStr">
        <is>
          <t>Palmage bi-palmes</t>
        </is>
      </c>
      <c r="C16" s="9" t="inlineStr">
        <is>
          <t>L2</t>
        </is>
      </c>
      <c r="D16" s="9" t="inlineStr">
        <is>
          <t>acquis</t>
        </is>
      </c>
      <c r="E16" s="10" t="n"/>
    </row>
    <row r="17">
      <c r="A17" s="9" t="inlineStr">
        <is>
          <t>PALM_BI</t>
        </is>
      </c>
      <c r="B17" s="8" t="inlineStr">
        <is>
          <t>Palmage bi-palmes</t>
        </is>
      </c>
      <c r="C17" s="9" t="inlineStr">
        <is>
          <t>L3</t>
        </is>
      </c>
      <c r="D17" s="9" t="inlineStr">
        <is>
          <t>acquis</t>
        </is>
      </c>
      <c r="E17" s="10" t="n"/>
    </row>
    <row r="18">
      <c r="A18" s="9" t="inlineStr">
        <is>
          <t>PALM_BI</t>
        </is>
      </c>
      <c r="B18" s="8" t="inlineStr">
        <is>
          <t>Palmage bi-palmes</t>
        </is>
      </c>
      <c r="C18" s="9" t="inlineStr">
        <is>
          <t>L4</t>
        </is>
      </c>
      <c r="D18" s="9" t="inlineStr">
        <is>
          <t>expert</t>
        </is>
      </c>
      <c r="E18" s="10" t="n"/>
    </row>
    <row r="19">
      <c r="A19" s="9" t="inlineStr">
        <is>
          <t>PALM_BI</t>
        </is>
      </c>
      <c r="B19" s="8" t="inlineStr">
        <is>
          <t>Palmage bi-palmes</t>
        </is>
      </c>
      <c r="C19" s="9" t="inlineStr">
        <is>
          <t>LC</t>
        </is>
      </c>
      <c r="D19" s="9" t="inlineStr">
        <is>
          <t>expert</t>
        </is>
      </c>
      <c r="E19" s="10" t="n"/>
    </row>
    <row r="20">
      <c r="A20" s="9" t="inlineStr">
        <is>
          <t>PALM_MONO</t>
        </is>
      </c>
      <c r="B20" s="8" t="inlineStr">
        <is>
          <t>Palmage monopalme</t>
        </is>
      </c>
      <c r="C20" s="9" t="inlineStr">
        <is>
          <t>L1</t>
        </is>
      </c>
      <c r="D20" s="9" t="inlineStr">
        <is>
          <t>non acquis</t>
        </is>
      </c>
      <c r="E20" s="10" t="n"/>
    </row>
    <row r="21">
      <c r="A21" s="9" t="inlineStr">
        <is>
          <t>PALM_MONO</t>
        </is>
      </c>
      <c r="B21" s="8" t="inlineStr">
        <is>
          <t>Palmage monopalme</t>
        </is>
      </c>
      <c r="C21" s="9" t="inlineStr">
        <is>
          <t>L2</t>
        </is>
      </c>
      <c r="D21" s="9" t="inlineStr">
        <is>
          <t>non acquis</t>
        </is>
      </c>
      <c r="E21" s="10" t="n"/>
    </row>
    <row r="22">
      <c r="A22" s="9" t="inlineStr">
        <is>
          <t>PALM_MONO</t>
        </is>
      </c>
      <c r="B22" s="8" t="inlineStr">
        <is>
          <t>Palmage monopalme</t>
        </is>
      </c>
      <c r="C22" s="9" t="inlineStr">
        <is>
          <t>L3</t>
        </is>
      </c>
      <c r="D22" s="9" t="inlineStr">
        <is>
          <t>en cours</t>
        </is>
      </c>
      <c r="E22" s="10" t="n"/>
    </row>
    <row r="23">
      <c r="A23" s="9" t="inlineStr">
        <is>
          <t>PALM_MONO</t>
        </is>
      </c>
      <c r="B23" s="8" t="inlineStr">
        <is>
          <t>Palmage monopalme</t>
        </is>
      </c>
      <c r="C23" s="9" t="inlineStr">
        <is>
          <t>L4</t>
        </is>
      </c>
      <c r="D23" s="9" t="inlineStr">
        <is>
          <t>acquis</t>
        </is>
      </c>
      <c r="E23" s="10" t="n"/>
    </row>
    <row r="24">
      <c r="A24" s="9" t="inlineStr">
        <is>
          <t>PALM_MONO</t>
        </is>
      </c>
      <c r="B24" s="8" t="inlineStr">
        <is>
          <t>Palmage monopalme</t>
        </is>
      </c>
      <c r="C24" s="9" t="inlineStr">
        <is>
          <t>LC</t>
        </is>
      </c>
      <c r="D24" s="9" t="inlineStr">
        <is>
          <t>expert</t>
        </is>
      </c>
      <c r="E24" s="10" t="n"/>
    </row>
    <row r="25">
      <c r="A25" s="9" t="inlineStr">
        <is>
          <t>VIRAGE</t>
        </is>
      </c>
      <c r="B25" s="8" t="inlineStr">
        <is>
          <t>Virage</t>
        </is>
      </c>
      <c r="C25" s="9" t="inlineStr">
        <is>
          <t>L1</t>
        </is>
      </c>
      <c r="D25" s="9" t="inlineStr">
        <is>
          <t>en cours</t>
        </is>
      </c>
      <c r="E25" s="10" t="n"/>
    </row>
    <row r="26">
      <c r="A26" s="9" t="inlineStr">
        <is>
          <t>VIRAGE</t>
        </is>
      </c>
      <c r="B26" s="8" t="inlineStr">
        <is>
          <t>Virage</t>
        </is>
      </c>
      <c r="C26" s="9" t="inlineStr">
        <is>
          <t>L2</t>
        </is>
      </c>
      <c r="D26" s="9" t="inlineStr">
        <is>
          <t>acquis</t>
        </is>
      </c>
      <c r="E26" s="10" t="n"/>
    </row>
    <row r="27">
      <c r="A27" s="9" t="inlineStr">
        <is>
          <t>VIRAGE</t>
        </is>
      </c>
      <c r="B27" s="8" t="inlineStr">
        <is>
          <t>Virage</t>
        </is>
      </c>
      <c r="C27" s="9" t="inlineStr">
        <is>
          <t>L3</t>
        </is>
      </c>
      <c r="D27" s="9" t="inlineStr">
        <is>
          <t>acquis</t>
        </is>
      </c>
      <c r="E27" s="10" t="n"/>
    </row>
    <row r="28">
      <c r="A28" s="9" t="inlineStr">
        <is>
          <t>VIRAGE</t>
        </is>
      </c>
      <c r="B28" s="8" t="inlineStr">
        <is>
          <t>Virage</t>
        </is>
      </c>
      <c r="C28" s="9" t="inlineStr">
        <is>
          <t>L4</t>
        </is>
      </c>
      <c r="D28" s="9" t="inlineStr">
        <is>
          <t>expert</t>
        </is>
      </c>
      <c r="E28" s="10" t="n"/>
    </row>
    <row r="29">
      <c r="A29" s="9" t="inlineStr">
        <is>
          <t>VIRAGE</t>
        </is>
      </c>
      <c r="B29" s="8" t="inlineStr">
        <is>
          <t>Virage</t>
        </is>
      </c>
      <c r="C29" s="9" t="inlineStr">
        <is>
          <t>LC</t>
        </is>
      </c>
      <c r="D29" s="9" t="inlineStr">
        <is>
          <t>expert</t>
        </is>
      </c>
      <c r="E29" s="10" t="n"/>
    </row>
    <row r="30">
      <c r="A30" s="9" t="inlineStr">
        <is>
          <t>VENTIL</t>
        </is>
      </c>
      <c r="B30" s="8" t="inlineStr">
        <is>
          <t>Ventilation</t>
        </is>
      </c>
      <c r="C30" s="9" t="inlineStr">
        <is>
          <t>L1</t>
        </is>
      </c>
      <c r="D30" s="9" t="inlineStr">
        <is>
          <t>en cours</t>
        </is>
      </c>
      <c r="E30" s="10" t="n"/>
    </row>
    <row r="31">
      <c r="A31" s="9" t="inlineStr">
        <is>
          <t>VENTIL</t>
        </is>
      </c>
      <c r="B31" s="8" t="inlineStr">
        <is>
          <t>Ventilation</t>
        </is>
      </c>
      <c r="C31" s="9" t="inlineStr">
        <is>
          <t>L2</t>
        </is>
      </c>
      <c r="D31" s="9" t="inlineStr">
        <is>
          <t>en cours</t>
        </is>
      </c>
      <c r="E31" s="10" t="n"/>
    </row>
    <row r="32">
      <c r="A32" s="9" t="inlineStr">
        <is>
          <t>VENTIL</t>
        </is>
      </c>
      <c r="B32" s="8" t="inlineStr">
        <is>
          <t>Ventilation</t>
        </is>
      </c>
      <c r="C32" s="9" t="inlineStr">
        <is>
          <t>L3</t>
        </is>
      </c>
      <c r="D32" s="9" t="inlineStr">
        <is>
          <t>acquis</t>
        </is>
      </c>
      <c r="E32" s="10" t="n"/>
    </row>
    <row r="33">
      <c r="A33" s="9" t="inlineStr">
        <is>
          <t>VENTIL</t>
        </is>
      </c>
      <c r="B33" s="8" t="inlineStr">
        <is>
          <t>Ventilation</t>
        </is>
      </c>
      <c r="C33" s="9" t="inlineStr">
        <is>
          <t>L4</t>
        </is>
      </c>
      <c r="D33" s="9" t="inlineStr">
        <is>
          <t>expert</t>
        </is>
      </c>
      <c r="E33" s="10" t="n"/>
    </row>
    <row r="34">
      <c r="A34" s="9" t="inlineStr">
        <is>
          <t>VENTIL</t>
        </is>
      </c>
      <c r="B34" s="8" t="inlineStr">
        <is>
          <t>Ventilation</t>
        </is>
      </c>
      <c r="C34" s="9" t="inlineStr">
        <is>
          <t>LC</t>
        </is>
      </c>
      <c r="D34" s="9" t="inlineStr">
        <is>
          <t>expert</t>
        </is>
      </c>
      <c r="E34" s="10" t="n"/>
    </row>
    <row r="35">
      <c r="A35" s="9" t="inlineStr">
        <is>
          <t>SAUV</t>
        </is>
      </c>
      <c r="B35" s="8" t="inlineStr">
        <is>
          <t>Sauvetage</t>
        </is>
      </c>
      <c r="C35" s="9" t="inlineStr">
        <is>
          <t>L1</t>
        </is>
      </c>
      <c r="D35" s="9" t="inlineStr">
        <is>
          <t>non acquis</t>
        </is>
      </c>
      <c r="E35" s="10" t="n"/>
    </row>
    <row r="36">
      <c r="A36" s="9" t="inlineStr">
        <is>
          <t>SAUV</t>
        </is>
      </c>
      <c r="B36" s="8" t="inlineStr">
        <is>
          <t>Sauvetage</t>
        </is>
      </c>
      <c r="C36" s="9" t="inlineStr">
        <is>
          <t>L2</t>
        </is>
      </c>
      <c r="D36" s="9" t="inlineStr">
        <is>
          <t>en cours</t>
        </is>
      </c>
      <c r="E36" s="10" t="n"/>
    </row>
    <row r="37">
      <c r="A37" s="9" t="inlineStr">
        <is>
          <t>SAUV</t>
        </is>
      </c>
      <c r="B37" s="8" t="inlineStr">
        <is>
          <t>Sauvetage</t>
        </is>
      </c>
      <c r="C37" s="9" t="inlineStr">
        <is>
          <t>L3</t>
        </is>
      </c>
      <c r="D37" s="9" t="inlineStr">
        <is>
          <t>acquis</t>
        </is>
      </c>
      <c r="E37" s="10" t="n"/>
    </row>
    <row r="38">
      <c r="A38" s="9" t="inlineStr">
        <is>
          <t>SAUV</t>
        </is>
      </c>
      <c r="B38" s="8" t="inlineStr">
        <is>
          <t>Sauvetage</t>
        </is>
      </c>
      <c r="C38" s="9" t="inlineStr">
        <is>
          <t>L4</t>
        </is>
      </c>
      <c r="D38" s="9" t="inlineStr">
        <is>
          <t>expert</t>
        </is>
      </c>
      <c r="E38" s="10" t="n"/>
    </row>
    <row r="39">
      <c r="A39" s="9" t="inlineStr">
        <is>
          <t>SAUV</t>
        </is>
      </c>
      <c r="B39" s="8" t="inlineStr">
        <is>
          <t>Sauvetage</t>
        </is>
      </c>
      <c r="C39" s="9" t="inlineStr">
        <is>
          <t>LC</t>
        </is>
      </c>
      <c r="D39" s="9" t="inlineStr">
        <is>
          <t>expert</t>
        </is>
      </c>
      <c r="E39" s="10" t="n"/>
    </row>
    <row r="40">
      <c r="A40" s="9" t="inlineStr">
        <is>
          <t>BRASSE</t>
        </is>
      </c>
      <c r="B40" s="8" t="inlineStr">
        <is>
          <t>Brasse DNF</t>
        </is>
      </c>
      <c r="C40" s="9" t="inlineStr">
        <is>
          <t>L1</t>
        </is>
      </c>
      <c r="D40" s="9" t="inlineStr">
        <is>
          <t>en cours</t>
        </is>
      </c>
      <c r="E40" s="10" t="n"/>
    </row>
    <row r="41">
      <c r="A41" s="9" t="inlineStr">
        <is>
          <t>BRASSE</t>
        </is>
      </c>
      <c r="B41" s="8" t="inlineStr">
        <is>
          <t>Brasse DNF</t>
        </is>
      </c>
      <c r="C41" s="9" t="inlineStr">
        <is>
          <t>L2</t>
        </is>
      </c>
      <c r="D41" s="9" t="inlineStr">
        <is>
          <t>acquis</t>
        </is>
      </c>
      <c r="E41" s="10" t="n"/>
    </row>
    <row r="42">
      <c r="A42" s="9" t="inlineStr">
        <is>
          <t>BRASSE</t>
        </is>
      </c>
      <c r="B42" s="8" t="inlineStr">
        <is>
          <t>Brasse DNF</t>
        </is>
      </c>
      <c r="C42" s="9" t="inlineStr">
        <is>
          <t>L3</t>
        </is>
      </c>
      <c r="D42" s="9" t="inlineStr">
        <is>
          <t>acquis</t>
        </is>
      </c>
      <c r="E42" s="10" t="n"/>
    </row>
    <row r="43">
      <c r="A43" s="9" t="inlineStr">
        <is>
          <t>BRASSE</t>
        </is>
      </c>
      <c r="B43" s="8" t="inlineStr">
        <is>
          <t>Brasse DNF</t>
        </is>
      </c>
      <c r="C43" s="9" t="inlineStr">
        <is>
          <t>L4</t>
        </is>
      </c>
      <c r="D43" s="9" t="inlineStr">
        <is>
          <t>expert</t>
        </is>
      </c>
      <c r="E43" s="10" t="n"/>
    </row>
    <row r="44">
      <c r="A44" s="9" t="inlineStr">
        <is>
          <t>BRASSE</t>
        </is>
      </c>
      <c r="B44" s="8" t="inlineStr">
        <is>
          <t>Brasse DNF</t>
        </is>
      </c>
      <c r="C44" s="9" t="inlineStr">
        <is>
          <t>LC</t>
        </is>
      </c>
      <c r="D44" s="9" t="inlineStr">
        <is>
          <t>expert</t>
        </is>
      </c>
      <c r="E44" s="10" t="n"/>
    </row>
    <row r="45">
      <c r="A45" s="9" t="n"/>
      <c r="B45" s="8" t="n"/>
      <c r="C45" s="9" t="n"/>
      <c r="D45" s="9" t="n"/>
      <c r="E45" s="10" t="n"/>
    </row>
  </sheetData>
  <dataValidations count="3">
    <dataValidation sqref="D5:D45" showDropDown="0" showInputMessage="0" showErrorMessage="0" allowBlank="1" type="list">
      <formula1>"non acquis,en cours,acquis,expert"</formula1>
    </dataValidation>
    <dataValidation sqref="A5:A45" showDropDown="0" showInputMessage="0" showErrorMessage="0" allowBlank="1" type="list">
      <formula1>"LEST,HYDRO,PALM_BI,PALM_MONO,VIRAGE,VENTIL,SAUV,BRASSE"</formula1>
    </dataValidation>
    <dataValidation sqref="C5:C45" showDropDown="0" showInputMessage="0" showErrorMessage="0" allowBlank="1" type="list">
      <formula1>"L1,L2,L3,L4,LC,DNF1,DNF2,STA1,STA2,STAC"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F4E5F"/>
    <outlinePr summaryBelow="1" summaryRight="1"/>
    <pageSetUpPr/>
  </sheetPr>
  <dimension ref="A1:J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C10" sqref="C10"/>
    </sheetView>
  </sheetViews>
  <sheetFormatPr baseColWidth="10" defaultColWidth="8.83203125" defaultRowHeight="15"/>
  <cols>
    <col width="10" customWidth="1" min="1" max="1"/>
    <col width="11" customWidth="1" min="2" max="4"/>
    <col width="9" customWidth="1" min="5" max="5"/>
    <col width="12" customWidth="1" min="6" max="7"/>
    <col width="8" customWidth="1" min="8" max="8"/>
    <col width="42" customWidth="1" min="9" max="9"/>
    <col width="50" customWidth="1" min="10" max="10"/>
  </cols>
  <sheetData>
    <row r="1" ht="18" customHeight="1">
      <c r="A1" s="4" t="inlineStr">
        <is>
          <t>Créneaux de piscine</t>
        </is>
      </c>
    </row>
    <row r="2">
      <c r="A2" s="5" t="inlineStr">
        <is>
          <t>La structure hebdomadaire récurrente. Les groupes de niveaux accueillis sont dans l'onglet Creneaux_Groupes, avec leur date d'effet.</t>
        </is>
      </c>
    </row>
    <row r="4" ht="32" customHeight="1">
      <c r="A4" s="7" t="inlineStr">
        <is>
          <t>ID</t>
        </is>
      </c>
      <c r="B4" s="7" t="inlineStr">
        <is>
          <t>Jour</t>
        </is>
      </c>
      <c r="C4" s="7" t="inlineStr">
        <is>
          <t>Heure début</t>
        </is>
      </c>
      <c r="D4" s="7" t="inlineStr">
        <is>
          <t>Heure fin</t>
        </is>
      </c>
      <c r="E4" s="7" t="inlineStr">
        <is>
          <t>Bassin</t>
        </is>
      </c>
      <c r="F4" s="7" t="inlineStr">
        <is>
          <t>Nb de lignes ouvertes</t>
        </is>
      </c>
      <c r="G4" s="7" t="inlineStr">
        <is>
          <t>Régime</t>
        </is>
      </c>
      <c r="H4" s="7" t="inlineStr">
        <is>
          <t>Actif</t>
        </is>
      </c>
      <c r="I4" s="7" t="inlineStr">
        <is>
          <t>Libellé (calculé)</t>
        </is>
      </c>
      <c r="J4" s="7" t="inlineStr">
        <is>
          <t>Commentaire</t>
        </is>
      </c>
    </row>
    <row r="5" ht="28" customHeight="1">
      <c r="A5" s="8" t="inlineStr">
        <is>
          <t>CR-LUN</t>
        </is>
      </c>
      <c r="B5" s="9" t="inlineStr">
        <is>
          <t>lundi</t>
        </is>
      </c>
      <c r="C5" s="8" t="inlineStr">
        <is>
          <t>21h30</t>
        </is>
      </c>
      <c r="D5" s="8" t="inlineStr">
        <is>
          <t>22h30</t>
        </is>
      </c>
      <c r="E5" s="9" t="inlineStr">
        <is>
          <t>B50</t>
        </is>
      </c>
      <c r="F5" s="8" t="n">
        <v>1</v>
      </c>
      <c r="G5" s="9" t="inlineStr">
        <is>
          <t>NOMINAL</t>
        </is>
      </c>
      <c r="H5" s="9" t="inlineStr">
        <is>
          <t>oui</t>
        </is>
      </c>
      <c r="I5" s="12">
        <f>IF($A5="","",$A5&amp;" — "&amp;$B5&amp;IF($C5=""," (horaire à saisir)"," "&amp;$C5&amp;"-"&amp;$D5)&amp;IF($E5=""," "," · "&amp;$E5)&amp;" ["&amp;$A5&amp;"]")</f>
        <v/>
      </c>
      <c r="J5" s="10" t="inlineStr">
        <is>
          <t>Jour confirmé par le planning 2026-27. Horaires et groupe à saisir.</t>
        </is>
      </c>
    </row>
    <row r="6" ht="28" customHeight="1">
      <c r="A6" s="8" t="inlineStr">
        <is>
          <t>CR-MAR</t>
        </is>
      </c>
      <c r="B6" s="9" t="inlineStr">
        <is>
          <t>mardi</t>
        </is>
      </c>
      <c r="C6" s="8" t="inlineStr">
        <is>
          <t>21h30</t>
        </is>
      </c>
      <c r="D6" s="8" t="inlineStr">
        <is>
          <t>22h30</t>
        </is>
      </c>
      <c r="E6" s="9" t="inlineStr">
        <is>
          <t>B50</t>
        </is>
      </c>
      <c r="F6" s="8" t="n">
        <v>1</v>
      </c>
      <c r="G6" s="9" t="inlineStr">
        <is>
          <t>NOMINAL</t>
        </is>
      </c>
      <c r="H6" s="9" t="inlineStr">
        <is>
          <t>oui</t>
        </is>
      </c>
      <c r="I6" s="12">
        <f>IF($A6="","",$A6&amp;" — "&amp;$B6&amp;IF($C6=""," (horaire à saisir)"," "&amp;$C6&amp;"-"&amp;$D6)&amp;IF($E6=""," "," · "&amp;$E6)&amp;" ["&amp;$A6&amp;"]")</f>
        <v/>
      </c>
      <c r="J6" s="10" t="inlineStr">
        <is>
          <t>Jour confirmé par le planning 2026-27. Horaires et groupe à saisir.</t>
        </is>
      </c>
    </row>
    <row r="7" ht="28" customHeight="1">
      <c r="A7" s="8" t="inlineStr">
        <is>
          <t>CR-MER</t>
        </is>
      </c>
      <c r="B7" s="9" t="inlineStr">
        <is>
          <t>mercredi</t>
        </is>
      </c>
      <c r="C7" s="8" t="inlineStr">
        <is>
          <t>21h30</t>
        </is>
      </c>
      <c r="D7" s="8" t="inlineStr">
        <is>
          <t>22h30</t>
        </is>
      </c>
      <c r="E7" s="9" t="inlineStr">
        <is>
          <t>B50</t>
        </is>
      </c>
      <c r="F7" s="8" t="n">
        <v>1</v>
      </c>
      <c r="G7" s="9" t="inlineStr">
        <is>
          <t>NOMINAL</t>
        </is>
      </c>
      <c r="H7" s="9" t="inlineStr">
        <is>
          <t>oui</t>
        </is>
      </c>
      <c r="I7" s="12">
        <f>IF($A7="","",$A7&amp;" — "&amp;$B7&amp;IF($C7=""," (horaire à saisir)"," "&amp;$C7&amp;"-"&amp;$D7)&amp;IF($E7=""," "," · "&amp;$E7)&amp;" ["&amp;$A7&amp;"]")</f>
        <v/>
      </c>
      <c r="J7" s="10" t="inlineStr">
        <is>
          <t>Jour confirmé par le planning 2026-27. Horaires et groupe à saisir.</t>
        </is>
      </c>
    </row>
    <row r="8" ht="28" customHeight="1">
      <c r="A8" s="8" t="inlineStr">
        <is>
          <t>CR-VEN</t>
        </is>
      </c>
      <c r="B8" s="9" t="inlineStr">
        <is>
          <t>vendredi</t>
        </is>
      </c>
      <c r="C8" s="8" t="inlineStr">
        <is>
          <t>21h30</t>
        </is>
      </c>
      <c r="D8" s="8" t="inlineStr">
        <is>
          <t>22h30</t>
        </is>
      </c>
      <c r="E8" s="9" t="inlineStr">
        <is>
          <t>B50</t>
        </is>
      </c>
      <c r="F8" s="8" t="n">
        <v>1</v>
      </c>
      <c r="G8" s="9" t="inlineStr">
        <is>
          <t>NOMINAL</t>
        </is>
      </c>
      <c r="H8" s="9" t="inlineStr">
        <is>
          <t>oui</t>
        </is>
      </c>
      <c r="I8" s="12">
        <f>IF($A8="","",$A8&amp;" — "&amp;$B8&amp;IF($C8=""," (horaire à saisir)"," "&amp;$C8&amp;"-"&amp;$D8)&amp;IF($E8=""," "," · "&amp;$E8)&amp;" ["&amp;$A8&amp;"]")</f>
        <v/>
      </c>
      <c r="J8" s="10" t="inlineStr">
        <is>
          <t>Jour confirmé par le planning 2026-27. Horaires et groupe à saisir.</t>
        </is>
      </c>
    </row>
    <row r="9" ht="28" customHeight="1">
      <c r="A9" s="8" t="inlineStr">
        <is>
          <t>CR-SAM</t>
        </is>
      </c>
      <c r="B9" s="9" t="inlineStr">
        <is>
          <t>samedi</t>
        </is>
      </c>
      <c r="C9" s="8" t="inlineStr">
        <is>
          <t>10h30</t>
        </is>
      </c>
      <c r="D9" s="8" t="inlineStr">
        <is>
          <t>12h00</t>
        </is>
      </c>
      <c r="E9" s="9" t="inlineStr">
        <is>
          <t>B50</t>
        </is>
      </c>
      <c r="F9" s="8" t="n">
        <v>1</v>
      </c>
      <c r="G9" s="9" t="inlineStr">
        <is>
          <t>NOMINAL</t>
        </is>
      </c>
      <c r="H9" s="9" t="inlineStr">
        <is>
          <t>oui</t>
        </is>
      </c>
      <c r="I9" s="12">
        <f>IF($A9="","",$A9&amp;" — "&amp;$B9&amp;IF($C9=""," (horaire à saisir)"," "&amp;$C9&amp;"-"&amp;$D9)&amp;IF($E9=""," "," · "&amp;$E9)&amp;" ["&amp;$A9&amp;"]")</f>
        <v/>
      </c>
      <c r="J9" s="10" t="inlineStr">
        <is>
          <t>Jour confirmé par le planning 2026-27. Horaires et groupe à saisir.</t>
        </is>
      </c>
    </row>
    <row r="10" ht="28" customHeight="1">
      <c r="A10" s="8" t="inlineStr">
        <is>
          <t>CR-DIM</t>
        </is>
      </c>
      <c r="B10" s="9" t="inlineStr">
        <is>
          <t>dimanche</t>
        </is>
      </c>
      <c r="C10" s="8" t="n"/>
      <c r="D10" s="8" t="n"/>
      <c r="E10" s="9" t="inlineStr">
        <is>
          <t>B50</t>
        </is>
      </c>
      <c r="F10" s="8" t="n">
        <v>1</v>
      </c>
      <c r="G10" s="9" t="inlineStr">
        <is>
          <t>NOMINAL</t>
        </is>
      </c>
      <c r="H10" s="9" t="inlineStr">
        <is>
          <t>non</t>
        </is>
      </c>
      <c r="I10" s="12">
        <f>IF($A10="","",$A10&amp;" — "&amp;$B10&amp;IF($C10=""," (horaire à saisir)"," "&amp;$C10&amp;"-"&amp;$D10)&amp;IF($E10=""," "," · "&amp;$E10)&amp;" ["&amp;$A10&amp;"]")</f>
        <v/>
      </c>
      <c r="J10" s="10" t="inlineStr">
        <is>
          <t>Colonne présente dans le planning mais sans directeur de bassin.</t>
        </is>
      </c>
    </row>
    <row r="11">
      <c r="A11" s="8" t="n"/>
      <c r="B11" s="9" t="n"/>
      <c r="C11" s="8" t="n"/>
      <c r="D11" s="8" t="n"/>
      <c r="E11" s="9" t="n"/>
      <c r="F11" s="8" t="n"/>
      <c r="G11" s="9" t="n"/>
      <c r="H11" s="9" t="n"/>
      <c r="I11" s="12">
        <f>IF($A11="","",$A11&amp;" — "&amp;$B11&amp;IF($C11=""," (horaire à saisir)"," "&amp;$C11&amp;"-"&amp;$D11)&amp;IF($E11=""," "," · "&amp;$E11)&amp;" ["&amp;$A11&amp;"]")</f>
        <v/>
      </c>
      <c r="J11" s="10" t="n"/>
    </row>
  </sheetData>
  <dataValidations count="4">
    <dataValidation sqref="B5:B11" showDropDown="0" showInputMessage="0" showErrorMessage="0" allowBlank="1" type="list">
      <formula1>"lundi,mardi,mercredi,jeudi,vendredi,samedi,dimanche"</formula1>
    </dataValidation>
    <dataValidation sqref="E5:E11" showDropDown="0" showInputMessage="0" showErrorMessage="0" allowBlank="1" type="list">
      <formula1>"B50,B25"</formula1>
    </dataValidation>
    <dataValidation sqref="G5:G11" showDropDown="0" showInputMessage="0" showErrorMessage="0" allowBlank="1" type="list">
      <formula1>"NOMINAL,VACANCES,ETE,FERIE,FERMETURE"</formula1>
    </dataValidation>
    <dataValidation sqref="H5:H11" showDropDown="0" showInputMessage="0" showErrorMessage="0" allowBlank="1" type="list">
      <formula1>"oui,non"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F4E5F"/>
    <outlinePr summaryBelow="1" summaryRight="1"/>
    <pageSetUpPr/>
  </sheetPr>
  <dimension ref="A1:K8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35" sqref="A35"/>
    </sheetView>
  </sheetViews>
  <sheetFormatPr baseColWidth="10" defaultColWidth="8.83203125" defaultRowHeight="15"/>
  <cols>
    <col width="42" customWidth="1" min="1" max="1"/>
    <col width="11" customWidth="1" min="2" max="2"/>
    <col width="13" customWidth="1" min="3" max="3"/>
    <col width="15" customWidth="1" min="4" max="4"/>
    <col width="34" customWidth="1" min="5" max="5"/>
    <col width="12" customWidth="1" min="6" max="6"/>
    <col width="20" customWidth="1" min="7" max="7"/>
    <col width="14" customWidth="1" min="8" max="8"/>
    <col width="12" customWidth="1" min="9" max="9"/>
    <col width="40" customWidth="1" min="10" max="10"/>
    <col width="30" customWidth="1" min="11" max="11"/>
  </cols>
  <sheetData>
    <row r="1" ht="18" customHeight="1">
      <c r="A1" s="4" t="inlineStr">
        <is>
          <t>Groupes de niveaux et encadrants, par créneau</t>
        </is>
      </c>
    </row>
    <row r="2">
      <c r="A2" s="5" t="inlineStr">
        <is>
          <t>Le calendrier perpétuel. Un créneau peut accueillir plusieurs groupes, et un couple créneau / groupe plusieurs encadrants : une ligne par encadrant. La répartition fine se règle ensuite séance par séance dans le classeur de ligne.</t>
        </is>
      </c>
    </row>
    <row r="4" ht="32" customHeight="1">
      <c r="A4" s="7" t="inlineStr">
        <is>
          <t>Créneau</t>
        </is>
      </c>
      <c r="B4" s="7" t="inlineStr">
        <is>
          <t>Créneau (ID)</t>
        </is>
      </c>
      <c r="C4" s="7" t="inlineStr">
        <is>
          <t>Date d'effet</t>
        </is>
      </c>
      <c r="D4" s="7" t="inlineStr">
        <is>
          <t>Groupe de niveau</t>
        </is>
      </c>
      <c r="E4" s="7" t="inlineStr">
        <is>
          <t>Sélection par nom ou prénom</t>
        </is>
      </c>
      <c r="F4" s="7" t="inlineStr">
        <is>
          <t>Encadrant (ID)</t>
        </is>
      </c>
      <c r="G4" s="7" t="inlineStr">
        <is>
          <t>Nom</t>
        </is>
      </c>
      <c r="H4" s="7" t="inlineStr">
        <is>
          <t>Prénom</t>
        </is>
      </c>
      <c r="I4" s="7" t="inlineStr">
        <is>
          <t>Nb de lignes allouées</t>
        </is>
      </c>
      <c r="J4" s="7" t="inlineStr">
        <is>
          <t>Commentaire</t>
        </is>
      </c>
      <c r="K4" s="7" t="inlineStr">
        <is>
          <t>Contrôle</t>
        </is>
      </c>
    </row>
    <row r="5">
      <c r="A5" s="14" t="inlineStr">
        <is>
          <t>CR-LUN — lundi 21h30-22h30 · B50 [CR-LUN]</t>
        </is>
      </c>
      <c r="B5" s="15">
        <f>IFERROR(MID($A5,FIND("[",$A5)+1,FIND("]",$A5)-FIND("[",$A5)-1),"")</f>
        <v/>
      </c>
      <c r="C5" s="16" t="n">
        <v>46266</v>
      </c>
      <c r="D5" s="14" t="inlineStr">
        <is>
          <t>L2</t>
        </is>
      </c>
      <c r="E5" s="14" t="inlineStr">
        <is>
          <t>Sophie [P028]</t>
        </is>
      </c>
      <c r="F5" s="15">
        <f>IFERROR(MID($E5,FIND("[",$E5)+1,FIND("]",$E5)-FIND("[",$E5)-1),"")</f>
        <v/>
      </c>
      <c r="G5" s="15">
        <f>IFERROR(INDEX(Personnes!$B$5:$B$153,MATCH($F5,Personnes!$A$5:$A$153,0))&amp;"","")</f>
        <v/>
      </c>
      <c r="H5" s="15">
        <f>IFERROR(INDEX(Personnes!$C$5:$C$153,MATCH($F5,Personnes!$A$5:$A$153,0))&amp;"","")</f>
        <v/>
      </c>
      <c r="I5" s="17" t="n">
        <v>1</v>
      </c>
      <c r="J5" s="18" t="n"/>
      <c r="K5" s="15">
        <f>IF($A5="","",IF($B5="","créneau non reconnu",IF($C5="","date d’effet manquante",IF($D5="","groupe manquant",IF(COUNTIFS($B$5:$B$80,$B5,$C$5:$C$80,$C5,$D$5:$D$80,$D5,$F$5:$F$80,$F5)&gt;1,"doublon créneau/date/groupe/encadrant",IF($F5="","encadrant à désigner","ok"))))))</f>
        <v/>
      </c>
    </row>
    <row r="6">
      <c r="A6" s="14" t="inlineStr">
        <is>
          <t>CR-LUN — lundi 21h30-22h30 · B50 [CR-LUN]</t>
        </is>
      </c>
      <c r="B6" s="15">
        <f>IFERROR(MID($A6,FIND("[",$A6)+1,FIND("]",$A6)-FIND("[",$A6)-1),"")</f>
        <v/>
      </c>
      <c r="C6" s="16" t="n">
        <v>46266</v>
      </c>
      <c r="D6" s="14" t="inlineStr">
        <is>
          <t>L2</t>
        </is>
      </c>
      <c r="E6" s="14" t="inlineStr">
        <is>
          <t>Charline [P007]</t>
        </is>
      </c>
      <c r="F6" s="15">
        <f>IFERROR(MID($E6,FIND("[",$E6)+1,FIND("]",$E6)-FIND("[",$E6)-1),"")</f>
        <v/>
      </c>
      <c r="G6" s="15">
        <f>IFERROR(INDEX(Personnes!$B$5:$B$153,MATCH($F6,Personnes!$A$5:$A$153,0))&amp;"","")</f>
        <v/>
      </c>
      <c r="H6" s="15">
        <f>IFERROR(INDEX(Personnes!$C$5:$C$153,MATCH($F6,Personnes!$A$5:$A$153,0))&amp;"","")</f>
        <v/>
      </c>
      <c r="I6" s="17" t="n">
        <v>1</v>
      </c>
      <c r="J6" s="18" t="n"/>
      <c r="K6" s="15">
        <f>IF($A6="","",IF($B6="","créneau non reconnu",IF($C6="","date d’effet manquante",IF($D6="","groupe manquant",IF(COUNTIFS($B$5:$B$80,$B6,$C$5:$C$80,$C6,$D$5:$D$80,$D6,$F$5:$F$80,$F6)&gt;1,"doublon créneau/date/groupe/encadrant",IF($F6="","encadrant à désigner","ok"))))))</f>
        <v/>
      </c>
    </row>
    <row r="7">
      <c r="A7" s="14" t="inlineStr">
        <is>
          <t>CR-LUN — lundi 21h30-22h30 · B50 [CR-LUN]</t>
        </is>
      </c>
      <c r="B7" s="15">
        <f>IFERROR(MID($A7,FIND("[",$A7)+1,FIND("]",$A7)-FIND("[",$A7)-1),"")</f>
        <v/>
      </c>
      <c r="C7" s="16" t="n">
        <v>46266</v>
      </c>
      <c r="D7" s="14" t="inlineStr">
        <is>
          <t>L3</t>
        </is>
      </c>
      <c r="E7" s="14" t="inlineStr">
        <is>
          <t>Gabrielle [P035]</t>
        </is>
      </c>
      <c r="F7" s="15">
        <f>IFERROR(MID($E7,FIND("[",$E7)+1,FIND("]",$E7)-FIND("[",$E7)-1),"")</f>
        <v/>
      </c>
      <c r="G7" s="15">
        <f>IFERROR(INDEX(Personnes!$B$5:$B$153,MATCH($F7,Personnes!$A$5:$A$153,0))&amp;"","")</f>
        <v/>
      </c>
      <c r="H7" s="15">
        <f>IFERROR(INDEX(Personnes!$C$5:$C$153,MATCH($F7,Personnes!$A$5:$A$153,0))&amp;"","")</f>
        <v/>
      </c>
      <c r="I7" s="17" t="n">
        <v>1</v>
      </c>
      <c r="J7" s="18" t="n"/>
      <c r="K7" s="15">
        <f>IF($A7="","",IF($B7="","créneau non reconnu",IF($C7="","date d’effet manquante",IF($D7="","groupe manquant",IF(COUNTIFS($B$5:$B$80,$B7,$C$5:$C$80,$C7,$D$5:$D$80,$D7,$F$5:$F$80,$F7)&gt;1,"doublon créneau/date/groupe/encadrant",IF($F7="","encadrant à désigner","ok"))))))</f>
        <v/>
      </c>
    </row>
    <row r="8">
      <c r="A8" s="14" t="inlineStr">
        <is>
          <t>CR-LUN — lundi 21h30-22h30 · B50 [CR-LUN]</t>
        </is>
      </c>
      <c r="B8" s="15">
        <f>IFERROR(MID($A8,FIND("[",$A8)+1,FIND("]",$A8)-FIND("[",$A8)-1),"")</f>
        <v/>
      </c>
      <c r="C8" s="16" t="n">
        <v>46266</v>
      </c>
      <c r="D8" s="14" t="inlineStr">
        <is>
          <t>L3</t>
        </is>
      </c>
      <c r="E8" s="14" t="inlineStr">
        <is>
          <t>Etienne CDV [P011]</t>
        </is>
      </c>
      <c r="F8" s="15">
        <f>IFERROR(MID($E8,FIND("[",$E8)+1,FIND("]",$E8)-FIND("[",$E8)-1),"")</f>
        <v/>
      </c>
      <c r="G8" s="15">
        <f>IFERROR(INDEX(Personnes!$B$5:$B$153,MATCH($F8,Personnes!$A$5:$A$153,0))&amp;"","")</f>
        <v/>
      </c>
      <c r="H8" s="15">
        <f>IFERROR(INDEX(Personnes!$C$5:$C$153,MATCH($F8,Personnes!$A$5:$A$153,0))&amp;"","")</f>
        <v/>
      </c>
      <c r="I8" s="17" t="n">
        <v>1</v>
      </c>
      <c r="J8" s="18" t="n"/>
      <c r="K8" s="15">
        <f>IF($A8="","",IF($B8="","créneau non reconnu",IF($C8="","date d’effet manquante",IF($D8="","groupe manquant",IF(COUNTIFS($B$5:$B$80,$B8,$C$5:$C$80,$C8,$D$5:$D$80,$D8,$F$5:$F$80,$F8)&gt;1,"doublon créneau/date/groupe/encadrant",IF($F8="","encadrant à désigner","ok"))))))</f>
        <v/>
      </c>
    </row>
    <row r="9">
      <c r="A9" s="14" t="inlineStr">
        <is>
          <t>CR-MAR — mardi 21h30-22h30 · B50 [CR-MAR]</t>
        </is>
      </c>
      <c r="B9" s="15">
        <f>IFERROR(MID($A9,FIND("[",$A9)+1,FIND("]",$A9)-FIND("[",$A9)-1),"")</f>
        <v/>
      </c>
      <c r="C9" s="16" t="n">
        <v>46266</v>
      </c>
      <c r="D9" s="14" t="inlineStr">
        <is>
          <t>L1</t>
        </is>
      </c>
      <c r="E9" s="14" t="inlineStr">
        <is>
          <t>Dominique BEAUVALLET [P030]</t>
        </is>
      </c>
      <c r="F9" s="15">
        <f>IFERROR(MID($E9,FIND("[",$E9)+1,FIND("]",$E9)-FIND("[",$E9)-1),"")</f>
        <v/>
      </c>
      <c r="G9" s="15">
        <f>IFERROR(INDEX(Personnes!$B$5:$B$153,MATCH($F9,Personnes!$A$5:$A$153,0))&amp;"","")</f>
        <v/>
      </c>
      <c r="H9" s="15">
        <f>IFERROR(INDEX(Personnes!$C$5:$C$153,MATCH($F9,Personnes!$A$5:$A$153,0))&amp;"","")</f>
        <v/>
      </c>
      <c r="I9" s="17" t="n">
        <v>1</v>
      </c>
      <c r="J9" s="18" t="n"/>
      <c r="K9" s="15">
        <f>IF($A9="","",IF($B9="","créneau non reconnu",IF($C9="","date d’effet manquante",IF($D9="","groupe manquant",IF(COUNTIFS($B$5:$B$80,$B9,$C$5:$C$80,$C9,$D$5:$D$80,$D9,$F$5:$F$80,$F9)&gt;1,"doublon créneau/date/groupe/encadrant",IF($F9="","encadrant à désigner","ok"))))))</f>
        <v/>
      </c>
    </row>
    <row r="10">
      <c r="A10" s="14" t="inlineStr">
        <is>
          <t>CR-MAR — mardi 21h30-22h30 · B50 [CR-MAR]</t>
        </is>
      </c>
      <c r="B10" s="15">
        <f>IFERROR(MID($A10,FIND("[",$A10)+1,FIND("]",$A10)-FIND("[",$A10)-1),"")</f>
        <v/>
      </c>
      <c r="C10" s="16" t="n">
        <v>46266</v>
      </c>
      <c r="D10" s="14" t="inlineStr">
        <is>
          <t>L2</t>
        </is>
      </c>
      <c r="E10" s="14" t="inlineStr">
        <is>
          <t>Cyrille HANNOU [P009]</t>
        </is>
      </c>
      <c r="F10" s="15">
        <f>IFERROR(MID($E10,FIND("[",$E10)+1,FIND("]",$E10)-FIND("[",$E10)-1),"")</f>
        <v/>
      </c>
      <c r="G10" s="15">
        <f>IFERROR(INDEX(Personnes!$B$5:$B$153,MATCH($F10,Personnes!$A$5:$A$153,0))&amp;"","")</f>
        <v/>
      </c>
      <c r="H10" s="15">
        <f>IFERROR(INDEX(Personnes!$C$5:$C$153,MATCH($F10,Personnes!$A$5:$A$153,0))&amp;"","")</f>
        <v/>
      </c>
      <c r="I10" s="17" t="n">
        <v>1</v>
      </c>
      <c r="J10" s="18" t="n"/>
      <c r="K10" s="15">
        <f>IF($A10="","",IF($B10="","créneau non reconnu",IF($C10="","date d’effet manquante",IF($D10="","groupe manquant",IF(COUNTIFS($B$5:$B$80,$B10,$C$5:$C$80,$C10,$D$5:$D$80,$D10,$F$5:$F$80,$F10)&gt;1,"doublon créneau/date/groupe/encadrant",IF($F10="","encadrant à désigner","ok"))))))</f>
        <v/>
      </c>
    </row>
    <row r="11">
      <c r="A11" s="14" t="inlineStr">
        <is>
          <t>CR-MAR — mardi 21h30-22h30 · B50 [CR-MAR]</t>
        </is>
      </c>
      <c r="B11" s="15">
        <f>IFERROR(MID($A11,FIND("[",$A11)+1,FIND("]",$A11)-FIND("[",$A11)-1),"")</f>
        <v/>
      </c>
      <c r="C11" s="16" t="n">
        <v>46266</v>
      </c>
      <c r="D11" s="14" t="inlineStr">
        <is>
          <t>L2</t>
        </is>
      </c>
      <c r="E11" s="14" t="inlineStr">
        <is>
          <t>Nelly JACQUEMOT [P024]</t>
        </is>
      </c>
      <c r="F11" s="15">
        <f>IFERROR(MID($E11,FIND("[",$E11)+1,FIND("]",$E11)-FIND("[",$E11)-1),"")</f>
        <v/>
      </c>
      <c r="G11" s="15">
        <f>IFERROR(INDEX(Personnes!$B$5:$B$153,MATCH($F11,Personnes!$A$5:$A$153,0))&amp;"","")</f>
        <v/>
      </c>
      <c r="H11" s="15">
        <f>IFERROR(INDEX(Personnes!$C$5:$C$153,MATCH($F11,Personnes!$A$5:$A$153,0))&amp;"","")</f>
        <v/>
      </c>
      <c r="I11" s="17" t="n">
        <v>1</v>
      </c>
      <c r="J11" s="18" t="n"/>
      <c r="K11" s="15">
        <f>IF($A11="","",IF($B11="","créneau non reconnu",IF($C11="","date d’effet manquante",IF($D11="","groupe manquant",IF(COUNTIFS($B$5:$B$80,$B11,$C$5:$C$80,$C11,$D$5:$D$80,$D11,$F$5:$F$80,$F11)&gt;1,"doublon créneau/date/groupe/encadrant",IF($F11="","encadrant à désigner","ok"))))))</f>
        <v/>
      </c>
    </row>
    <row r="12">
      <c r="A12" s="14" t="inlineStr">
        <is>
          <t>CR-MAR — mardi 21h30-22h30 · B50 [CR-MAR]</t>
        </is>
      </c>
      <c r="B12" s="15">
        <f>IFERROR(MID($A12,FIND("[",$A12)+1,FIND("]",$A12)-FIND("[",$A12)-1),"")</f>
        <v/>
      </c>
      <c r="C12" s="16" t="n">
        <v>46266</v>
      </c>
      <c r="D12" s="14" t="inlineStr">
        <is>
          <t>L3</t>
        </is>
      </c>
      <c r="E12" s="14" t="inlineStr">
        <is>
          <t>Sandry [P036]</t>
        </is>
      </c>
      <c r="F12" s="15">
        <f>IFERROR(MID($E12,FIND("[",$E12)+1,FIND("]",$E12)-FIND("[",$E12)-1),"")</f>
        <v/>
      </c>
      <c r="G12" s="15">
        <f>IFERROR(INDEX(Personnes!$B$5:$B$153,MATCH($F12,Personnes!$A$5:$A$153,0))&amp;"","")</f>
        <v/>
      </c>
      <c r="H12" s="15">
        <f>IFERROR(INDEX(Personnes!$C$5:$C$153,MATCH($F12,Personnes!$A$5:$A$153,0))&amp;"","")</f>
        <v/>
      </c>
      <c r="I12" s="17" t="n">
        <v>1</v>
      </c>
      <c r="J12" s="18" t="n"/>
      <c r="K12" s="15">
        <f>IF($A12="","",IF($B12="","créneau non reconnu",IF($C12="","date d’effet manquante",IF($D12="","groupe manquant",IF(COUNTIFS($B$5:$B$80,$B12,$C$5:$C$80,$C12,$D$5:$D$80,$D12,$F$5:$F$80,$F12)&gt;1,"doublon créneau/date/groupe/encadrant",IF($F12="","encadrant à désigner","ok"))))))</f>
        <v/>
      </c>
    </row>
    <row r="13">
      <c r="A13" s="14" t="inlineStr">
        <is>
          <t>CR-MAR — mardi 21h30-22h30 · B50 [CR-MAR]</t>
        </is>
      </c>
      <c r="B13" s="15">
        <f>IFERROR(MID($A13,FIND("[",$A13)+1,FIND("]",$A13)-FIND("[",$A13)-1),"")</f>
        <v/>
      </c>
      <c r="C13" s="16" t="n">
        <v>46266</v>
      </c>
      <c r="D13" s="14" t="inlineStr">
        <is>
          <t>L4</t>
        </is>
      </c>
      <c r="E13" s="14" t="inlineStr">
        <is>
          <t>Philippe F [P039]</t>
        </is>
      </c>
      <c r="F13" s="15">
        <f>IFERROR(MID($E13,FIND("[",$E13)+1,FIND("]",$E13)-FIND("[",$E13)-1),"")</f>
        <v/>
      </c>
      <c r="G13" s="15">
        <f>IFERROR(INDEX(Personnes!$B$5:$B$153,MATCH($F13,Personnes!$A$5:$A$153,0))&amp;"","")</f>
        <v/>
      </c>
      <c r="H13" s="15">
        <f>IFERROR(INDEX(Personnes!$C$5:$C$153,MATCH($F13,Personnes!$A$5:$A$153,0))&amp;"","")</f>
        <v/>
      </c>
      <c r="I13" s="17" t="n">
        <v>1</v>
      </c>
      <c r="J13" s="18" t="n"/>
      <c r="K13" s="15">
        <f>IF($A13="","",IF($B13="","créneau non reconnu",IF($C13="","date d’effet manquante",IF($D13="","groupe manquant",IF(COUNTIFS($B$5:$B$80,$B13,$C$5:$C$80,$C13,$D$5:$D$80,$D13,$F$5:$F$80,$F13)&gt;1,"doublon créneau/date/groupe/encadrant",IF($F13="","encadrant à désigner","ok"))))))</f>
        <v/>
      </c>
    </row>
    <row r="14">
      <c r="A14" s="14" t="inlineStr">
        <is>
          <t>CR-MAR — mardi 21h30-22h30 · B50 [CR-MAR]</t>
        </is>
      </c>
      <c r="B14" s="15">
        <f>IFERROR(MID($A14,FIND("[",$A14)+1,FIND("]",$A14)-FIND("[",$A14)-1),"")</f>
        <v/>
      </c>
      <c r="C14" s="16" t="n">
        <v>46266</v>
      </c>
      <c r="D14" s="14" t="inlineStr">
        <is>
          <t>L4</t>
        </is>
      </c>
      <c r="E14" s="14" t="inlineStr">
        <is>
          <t>Anthony [P040]</t>
        </is>
      </c>
      <c r="F14" s="15">
        <f>IFERROR(MID($E14,FIND("[",$E14)+1,FIND("]",$E14)-FIND("[",$E14)-1),"")</f>
        <v/>
      </c>
      <c r="G14" s="15">
        <f>IFERROR(INDEX(Personnes!$B$5:$B$153,MATCH($F14,Personnes!$A$5:$A$153,0))&amp;"","")</f>
        <v/>
      </c>
      <c r="H14" s="15">
        <f>IFERROR(INDEX(Personnes!$C$5:$C$153,MATCH($F14,Personnes!$A$5:$A$153,0))&amp;"","")</f>
        <v/>
      </c>
      <c r="I14" s="17" t="n">
        <v>1</v>
      </c>
      <c r="J14" s="18" t="n"/>
      <c r="K14" s="15">
        <f>IF($A14="","",IF($B14="","créneau non reconnu",IF($C14="","date d’effet manquante",IF($D14="","groupe manquant",IF(COUNTIFS($B$5:$B$80,$B14,$C$5:$C$80,$C14,$D$5:$D$80,$D14,$F$5:$F$80,$F14)&gt;1,"doublon créneau/date/groupe/encadrant",IF($F14="","encadrant à désigner","ok"))))))</f>
        <v/>
      </c>
    </row>
    <row r="15">
      <c r="A15" s="14" t="inlineStr">
        <is>
          <t>CR-MER — mercredi 21h30-22h30 · B50 [CR-MER]</t>
        </is>
      </c>
      <c r="B15" s="15">
        <f>IFERROR(MID($A15,FIND("[",$A15)+1,FIND("]",$A15)-FIND("[",$A15)-1),"")</f>
        <v/>
      </c>
      <c r="C15" s="16" t="n">
        <v>46266</v>
      </c>
      <c r="D15" s="14" t="inlineStr">
        <is>
          <t>DNF</t>
        </is>
      </c>
      <c r="E15" s="14" t="inlineStr">
        <is>
          <t>Benjamin [P005]</t>
        </is>
      </c>
      <c r="F15" s="15">
        <f>IFERROR(MID($E15,FIND("[",$E15)+1,FIND("]",$E15)-FIND("[",$E15)-1),"")</f>
        <v/>
      </c>
      <c r="G15" s="15">
        <f>IFERROR(INDEX(Personnes!$B$5:$B$153,MATCH($F15,Personnes!$A$5:$A$153,0))&amp;"","")</f>
        <v/>
      </c>
      <c r="H15" s="15">
        <f>IFERROR(INDEX(Personnes!$C$5:$C$153,MATCH($F15,Personnes!$A$5:$A$153,0))&amp;"","")</f>
        <v/>
      </c>
      <c r="I15" s="17" t="n">
        <v>1</v>
      </c>
      <c r="J15" s="18" t="n"/>
      <c r="K15" s="15">
        <f>IF($A15="","",IF($B15="","créneau non reconnu",IF($C15="","date d’effet manquante",IF($D15="","groupe manquant",IF(COUNTIFS($B$5:$B$80,$B15,$C$5:$C$80,$C15,$D$5:$D$80,$D15,$F$5:$F$80,$F15)&gt;1,"doublon créneau/date/groupe/encadrant",IF($F15="","encadrant à désigner","ok"))))))</f>
        <v/>
      </c>
    </row>
    <row r="16">
      <c r="A16" s="14" t="inlineStr">
        <is>
          <t>CR-MER — mercredi 21h30-22h30 · B50 [CR-MER]</t>
        </is>
      </c>
      <c r="B16" s="15">
        <f>IFERROR(MID($A16,FIND("[",$A16)+1,FIND("]",$A16)-FIND("[",$A16)-1),"")</f>
        <v/>
      </c>
      <c r="C16" s="16" t="n">
        <v>46266</v>
      </c>
      <c r="D16" s="14" t="inlineStr">
        <is>
          <t>DNF</t>
        </is>
      </c>
      <c r="E16" s="14" t="inlineStr">
        <is>
          <t>Yvan [P046]</t>
        </is>
      </c>
      <c r="F16" s="15">
        <f>IFERROR(MID($E16,FIND("[",$E16)+1,FIND("]",$E16)-FIND("[",$E16)-1),"")</f>
        <v/>
      </c>
      <c r="G16" s="15">
        <f>IFERROR(INDEX(Personnes!$B$5:$B$153,MATCH($F16,Personnes!$A$5:$A$153,0))&amp;"","")</f>
        <v/>
      </c>
      <c r="H16" s="15">
        <f>IFERROR(INDEX(Personnes!$C$5:$C$153,MATCH($F16,Personnes!$A$5:$A$153,0))&amp;"","")</f>
        <v/>
      </c>
      <c r="I16" s="17" t="n">
        <v>1</v>
      </c>
      <c r="J16" s="18" t="n"/>
      <c r="K16" s="15">
        <f>IF($A16="","",IF($B16="","créneau non reconnu",IF($C16="","date d’effet manquante",IF($D16="","groupe manquant",IF(COUNTIFS($B$5:$B$80,$B16,$C$5:$C$80,$C16,$D$5:$D$80,$D16,$F$5:$F$80,$F16)&gt;1,"doublon créneau/date/groupe/encadrant",IF($F16="","encadrant à désigner","ok"))))))</f>
        <v/>
      </c>
    </row>
    <row r="17">
      <c r="A17" s="14" t="inlineStr">
        <is>
          <t>CR-MER — mercredi 21h30-22h30 · B50 [CR-MER]</t>
        </is>
      </c>
      <c r="B17" s="15">
        <f>IFERROR(MID($A17,FIND("[",$A17)+1,FIND("]",$A17)-FIND("[",$A17)-1),"")</f>
        <v/>
      </c>
      <c r="C17" s="16" t="n">
        <v>46266</v>
      </c>
      <c r="D17" s="14" t="inlineStr">
        <is>
          <t>DNF</t>
        </is>
      </c>
      <c r="E17" s="14" t="inlineStr">
        <is>
          <t>Kasia [P047]</t>
        </is>
      </c>
      <c r="F17" s="15">
        <f>IFERROR(MID($E17,FIND("[",$E17)+1,FIND("]",$E17)-FIND("[",$E17)-1),"")</f>
        <v/>
      </c>
      <c r="G17" s="15">
        <f>IFERROR(INDEX(Personnes!$B$5:$B$153,MATCH($F17,Personnes!$A$5:$A$153,0))&amp;"","")</f>
        <v/>
      </c>
      <c r="H17" s="15">
        <f>IFERROR(INDEX(Personnes!$C$5:$C$153,MATCH($F17,Personnes!$A$5:$A$153,0))&amp;"","")</f>
        <v/>
      </c>
      <c r="I17" s="17" t="n">
        <v>1</v>
      </c>
      <c r="J17" s="18" t="n"/>
      <c r="K17" s="15">
        <f>IF($A17="","",IF($B17="","créneau non reconnu",IF($C17="","date d’effet manquante",IF($D17="","groupe manquant",IF(COUNTIFS($B$5:$B$80,$B17,$C$5:$C$80,$C17,$D$5:$D$80,$D17,$F$5:$F$80,$F17)&gt;1,"doublon créneau/date/groupe/encadrant",IF($F17="","encadrant à désigner","ok"))))))</f>
        <v/>
      </c>
    </row>
    <row r="18">
      <c r="A18" s="14" t="inlineStr">
        <is>
          <t>CR-MER — mercredi 21h30-22h30 · B50 [CR-MER]</t>
        </is>
      </c>
      <c r="B18" s="15">
        <f>IFERROR(MID($A18,FIND("[",$A18)+1,FIND("]",$A18)-FIND("[",$A18)-1),"")</f>
        <v/>
      </c>
      <c r="C18" s="16" t="n">
        <v>46266</v>
      </c>
      <c r="D18" s="14" t="inlineStr">
        <is>
          <t>DNF</t>
        </is>
      </c>
      <c r="E18" s="14" t="inlineStr">
        <is>
          <t>Alain P [P044]</t>
        </is>
      </c>
      <c r="F18" s="15">
        <f>IFERROR(MID($E18,FIND("[",$E18)+1,FIND("]",$E18)-FIND("[",$E18)-1),"")</f>
        <v/>
      </c>
      <c r="G18" s="15">
        <f>IFERROR(INDEX(Personnes!$B$5:$B$153,MATCH($F18,Personnes!$A$5:$A$153,0))&amp;"","")</f>
        <v/>
      </c>
      <c r="H18" s="15">
        <f>IFERROR(INDEX(Personnes!$C$5:$C$153,MATCH($F18,Personnes!$A$5:$A$153,0))&amp;"","")</f>
        <v/>
      </c>
      <c r="I18" s="17" t="n">
        <v>1</v>
      </c>
      <c r="J18" s="18" t="n"/>
      <c r="K18" s="15">
        <f>IF($A18="","",IF($B18="","créneau non reconnu",IF($C18="","date d’effet manquante",IF($D18="","groupe manquant",IF(COUNTIFS($B$5:$B$80,$B18,$C$5:$C$80,$C18,$D$5:$D$80,$D18,$F$5:$F$80,$F18)&gt;1,"doublon créneau/date/groupe/encadrant",IF($F18="","encadrant à désigner","ok"))))))</f>
        <v/>
      </c>
    </row>
    <row r="19">
      <c r="A19" s="14" t="inlineStr">
        <is>
          <t>CR-MER — mercredi 21h30-22h30 · B50 [CR-MER]</t>
        </is>
      </c>
      <c r="B19" s="15">
        <f>IFERROR(MID($A19,FIND("[",$A19)+1,FIND("]",$A19)-FIND("[",$A19)-1),"")</f>
        <v/>
      </c>
      <c r="C19" s="16" t="n">
        <v>46266</v>
      </c>
      <c r="D19" s="14" t="inlineStr">
        <is>
          <t>L4</t>
        </is>
      </c>
      <c r="E19" s="14" t="inlineStr">
        <is>
          <t>PA [P041]</t>
        </is>
      </c>
      <c r="F19" s="15">
        <f>IFERROR(MID($E19,FIND("[",$E19)+1,FIND("]",$E19)-FIND("[",$E19)-1),"")</f>
        <v/>
      </c>
      <c r="G19" s="15">
        <f>IFERROR(INDEX(Personnes!$B$5:$B$153,MATCH($F19,Personnes!$A$5:$A$153,0))&amp;"","")</f>
        <v/>
      </c>
      <c r="H19" s="15">
        <f>IFERROR(INDEX(Personnes!$C$5:$C$153,MATCH($F19,Personnes!$A$5:$A$153,0))&amp;"","")</f>
        <v/>
      </c>
      <c r="I19" s="17" t="n">
        <v>1</v>
      </c>
      <c r="J19" s="18" t="n"/>
      <c r="K19" s="15">
        <f>IF($A19="","",IF($B19="","créneau non reconnu",IF($C19="","date d’effet manquante",IF($D19="","groupe manquant",IF(COUNTIFS($B$5:$B$80,$B19,$C$5:$C$80,$C19,$D$5:$D$80,$D19,$F$5:$F$80,$F19)&gt;1,"doublon créneau/date/groupe/encadrant",IF($F19="","encadrant à désigner","ok"))))))</f>
        <v/>
      </c>
    </row>
    <row r="20">
      <c r="A20" s="14" t="inlineStr">
        <is>
          <t>CR-VEN — vendredi 21h30-22h30 · B50 [CR-VEN]</t>
        </is>
      </c>
      <c r="B20" s="15">
        <f>IFERROR(MID($A20,FIND("[",$A20)+1,FIND("]",$A20)-FIND("[",$A20)-1),"")</f>
        <v/>
      </c>
      <c r="C20" s="16" t="n">
        <v>46266</v>
      </c>
      <c r="D20" s="14" t="inlineStr">
        <is>
          <t>L1</t>
        </is>
      </c>
      <c r="E20" s="14" t="inlineStr">
        <is>
          <t>Victorinne [P031]</t>
        </is>
      </c>
      <c r="F20" s="15">
        <f>IFERROR(MID($E20,FIND("[",$E20)+1,FIND("]",$E20)-FIND("[",$E20)-1),"")</f>
        <v/>
      </c>
      <c r="G20" s="15">
        <f>IFERROR(INDEX(Personnes!$B$5:$B$153,MATCH($F20,Personnes!$A$5:$A$153,0))&amp;"","")</f>
        <v/>
      </c>
      <c r="H20" s="15">
        <f>IFERROR(INDEX(Personnes!$C$5:$C$153,MATCH($F20,Personnes!$A$5:$A$153,0))&amp;"","")</f>
        <v/>
      </c>
      <c r="I20" s="17" t="n">
        <v>1</v>
      </c>
      <c r="J20" s="18" t="n"/>
      <c r="K20" s="15">
        <f>IF($A20="","",IF($B20="","créneau non reconnu",IF($C20="","date d’effet manquante",IF($D20="","groupe manquant",IF(COUNTIFS($B$5:$B$80,$B20,$C$5:$C$80,$C20,$D$5:$D$80,$D20,$F$5:$F$80,$F20)&gt;1,"doublon créneau/date/groupe/encadrant",IF($F20="","encadrant à désigner","ok"))))))</f>
        <v/>
      </c>
    </row>
    <row r="21">
      <c r="A21" s="14" t="inlineStr">
        <is>
          <t>CR-VEN — vendredi 21h30-22h30 · B50 [CR-VEN]</t>
        </is>
      </c>
      <c r="B21" s="15">
        <f>IFERROR(MID($A21,FIND("[",$A21)+1,FIND("]",$A21)-FIND("[",$A21)-1),"")</f>
        <v/>
      </c>
      <c r="C21" s="16" t="n">
        <v>46266</v>
      </c>
      <c r="D21" s="14" t="inlineStr">
        <is>
          <t>L2</t>
        </is>
      </c>
      <c r="E21" s="14" t="inlineStr">
        <is>
          <t>François [P033]</t>
        </is>
      </c>
      <c r="F21" s="15">
        <f>IFERROR(MID($E21,FIND("[",$E21)+1,FIND("]",$E21)-FIND("[",$E21)-1),"")</f>
        <v/>
      </c>
      <c r="G21" s="15">
        <f>IFERROR(INDEX(Personnes!$B$5:$B$153,MATCH($F21,Personnes!$A$5:$A$153,0))&amp;"","")</f>
        <v/>
      </c>
      <c r="H21" s="15">
        <f>IFERROR(INDEX(Personnes!$C$5:$C$153,MATCH($F21,Personnes!$A$5:$A$153,0))&amp;"","")</f>
        <v/>
      </c>
      <c r="I21" s="17" t="n">
        <v>1</v>
      </c>
      <c r="J21" s="18" t="n"/>
      <c r="K21" s="15">
        <f>IF($A21="","",IF($B21="","créneau non reconnu",IF($C21="","date d’effet manquante",IF($D21="","groupe manquant",IF(COUNTIFS($B$5:$B$80,$B21,$C$5:$C$80,$C21,$D$5:$D$80,$D21,$F$5:$F$80,$F21)&gt;1,"doublon créneau/date/groupe/encadrant",IF($F21="","encadrant à désigner","ok"))))))</f>
        <v/>
      </c>
    </row>
    <row r="22">
      <c r="A22" s="14" t="inlineStr">
        <is>
          <t>CR-VEN — vendredi 21h30-22h30 · B50 [CR-VEN]</t>
        </is>
      </c>
      <c r="B22" s="15">
        <f>IFERROR(MID($A22,FIND("[",$A22)+1,FIND("]",$A22)-FIND("[",$A22)-1),"")</f>
        <v/>
      </c>
      <c r="C22" s="16" t="n">
        <v>46266</v>
      </c>
      <c r="D22" s="14" t="inlineStr">
        <is>
          <t>L3</t>
        </is>
      </c>
      <c r="E22" s="14" t="inlineStr">
        <is>
          <t>Fred [P037]</t>
        </is>
      </c>
      <c r="F22" s="15">
        <f>IFERROR(MID($E22,FIND("[",$E22)+1,FIND("]",$E22)-FIND("[",$E22)-1),"")</f>
        <v/>
      </c>
      <c r="G22" s="15">
        <f>IFERROR(INDEX(Personnes!$B$5:$B$153,MATCH($F22,Personnes!$A$5:$A$153,0))&amp;"","")</f>
        <v/>
      </c>
      <c r="H22" s="15">
        <f>IFERROR(INDEX(Personnes!$C$5:$C$153,MATCH($F22,Personnes!$A$5:$A$153,0))&amp;"","")</f>
        <v/>
      </c>
      <c r="I22" s="17" t="n">
        <v>1</v>
      </c>
      <c r="J22" s="18" t="n"/>
      <c r="K22" s="15">
        <f>IF($A22="","",IF($B22="","créneau non reconnu",IF($C22="","date d’effet manquante",IF($D22="","groupe manquant",IF(COUNTIFS($B$5:$B$80,$B22,$C$5:$C$80,$C22,$D$5:$D$80,$D22,$F$5:$F$80,$F22)&gt;1,"doublon créneau/date/groupe/encadrant",IF($F22="","encadrant à désigner","ok"))))))</f>
        <v/>
      </c>
    </row>
    <row r="23">
      <c r="A23" s="14" t="inlineStr">
        <is>
          <t>CR-VEN — vendredi 21h30-22h30 · B50 [CR-VEN]</t>
        </is>
      </c>
      <c r="B23" s="15">
        <f>IFERROR(MID($A23,FIND("[",$A23)+1,FIND("]",$A23)-FIND("[",$A23)-1),"")</f>
        <v/>
      </c>
      <c r="C23" s="16" t="n">
        <v>46266</v>
      </c>
      <c r="D23" s="14" t="inlineStr">
        <is>
          <t>L4</t>
        </is>
      </c>
      <c r="E23" s="14" t="inlineStr">
        <is>
          <t>David [P042]</t>
        </is>
      </c>
      <c r="F23" s="15">
        <f>IFERROR(MID($E23,FIND("[",$E23)+1,FIND("]",$E23)-FIND("[",$E23)-1),"")</f>
        <v/>
      </c>
      <c r="G23" s="15">
        <f>IFERROR(INDEX(Personnes!$B$5:$B$153,MATCH($F23,Personnes!$A$5:$A$153,0))&amp;"","")</f>
        <v/>
      </c>
      <c r="H23" s="15">
        <f>IFERROR(INDEX(Personnes!$C$5:$C$153,MATCH($F23,Personnes!$A$5:$A$153,0))&amp;"","")</f>
        <v/>
      </c>
      <c r="I23" s="17" t="n">
        <v>1</v>
      </c>
      <c r="J23" s="18" t="n"/>
      <c r="K23" s="15">
        <f>IF($A23="","",IF($B23="","créneau non reconnu",IF($C23="","date d’effet manquante",IF($D23="","groupe manquant",IF(COUNTIFS($B$5:$B$80,$B23,$C$5:$C$80,$C23,$D$5:$D$80,$D23,$F$5:$F$80,$F23)&gt;1,"doublon créneau/date/groupe/encadrant",IF($F23="","encadrant à désigner","ok"))))))</f>
        <v/>
      </c>
    </row>
    <row r="24">
      <c r="A24" s="14" t="inlineStr">
        <is>
          <t>CR-SAM — samedi 10h30-12h00 · B50 [CR-SAM]</t>
        </is>
      </c>
      <c r="B24" s="15">
        <f>IFERROR(MID($A24,FIND("[",$A24)+1,FIND("]",$A24)-FIND("[",$A24)-1),"")</f>
        <v/>
      </c>
      <c r="C24" s="16" t="n">
        <v>46266</v>
      </c>
      <c r="D24" s="14" t="inlineStr">
        <is>
          <t>L1</t>
        </is>
      </c>
      <c r="E24" s="14" t="inlineStr">
        <is>
          <t>Michael [P032]</t>
        </is>
      </c>
      <c r="F24" s="15">
        <f>IFERROR(MID($E24,FIND("[",$E24)+1,FIND("]",$E24)-FIND("[",$E24)-1),"")</f>
        <v/>
      </c>
      <c r="G24" s="15">
        <f>IFERROR(INDEX(Personnes!$B$5:$B$153,MATCH($F24,Personnes!$A$5:$A$153,0))&amp;"","")</f>
        <v/>
      </c>
      <c r="H24" s="15">
        <f>IFERROR(INDEX(Personnes!$C$5:$C$153,MATCH($F24,Personnes!$A$5:$A$153,0))&amp;"","")</f>
        <v/>
      </c>
      <c r="I24" s="17" t="n">
        <v>1</v>
      </c>
      <c r="J24" s="18" t="n"/>
      <c r="K24" s="15">
        <f>IF($A24="","",IF($B24="","créneau non reconnu",IF($C24="","date d’effet manquante",IF($D24="","groupe manquant",IF(COUNTIFS($B$5:$B$80,$B24,$C$5:$C$80,$C24,$D$5:$D$80,$D24,$F$5:$F$80,$F24)&gt;1,"doublon créneau/date/groupe/encadrant",IF($F24="","encadrant à désigner","ok"))))))</f>
        <v/>
      </c>
    </row>
    <row r="25">
      <c r="A25" s="14" t="inlineStr">
        <is>
          <t>CR-SAM — samedi 10h30-12h00 · B50 [CR-SAM]</t>
        </is>
      </c>
      <c r="B25" s="15">
        <f>IFERROR(MID($A25,FIND("[",$A25)+1,FIND("]",$A25)-FIND("[",$A25)-1),"")</f>
        <v/>
      </c>
      <c r="C25" s="16" t="n">
        <v>46266</v>
      </c>
      <c r="D25" s="14" t="inlineStr">
        <is>
          <t>L2</t>
        </is>
      </c>
      <c r="E25" s="14" t="inlineStr">
        <is>
          <t>Edward LICHTNER [P010]</t>
        </is>
      </c>
      <c r="F25" s="15">
        <f>IFERROR(MID($E25,FIND("[",$E25)+1,FIND("]",$E25)-FIND("[",$E25)-1),"")</f>
        <v/>
      </c>
      <c r="G25" s="15">
        <f>IFERROR(INDEX(Personnes!$B$5:$B$153,MATCH($F25,Personnes!$A$5:$A$153,0))&amp;"","")</f>
        <v/>
      </c>
      <c r="H25" s="15">
        <f>IFERROR(INDEX(Personnes!$C$5:$C$153,MATCH($F25,Personnes!$A$5:$A$153,0))&amp;"","")</f>
        <v/>
      </c>
      <c r="I25" s="17" t="n">
        <v>1</v>
      </c>
      <c r="J25" s="18" t="n"/>
      <c r="K25" s="15">
        <f>IF($A25="","",IF($B25="","créneau non reconnu",IF($C25="","date d’effet manquante",IF($D25="","groupe manquant",IF(COUNTIFS($B$5:$B$80,$B25,$C$5:$C$80,$C25,$D$5:$D$80,$D25,$F$5:$F$80,$F25)&gt;1,"doublon créneau/date/groupe/encadrant",IF($F25="","encadrant à désigner","ok"))))))</f>
        <v/>
      </c>
    </row>
    <row r="26">
      <c r="A26" s="14" t="inlineStr">
        <is>
          <t>CR-SAM — samedi 10h30-12h00 · B50 [CR-SAM]</t>
        </is>
      </c>
      <c r="B26" s="15">
        <f>IFERROR(MID($A26,FIND("[",$A26)+1,FIND("]",$A26)-FIND("[",$A26)-1),"")</f>
        <v/>
      </c>
      <c r="C26" s="16" t="n">
        <v>46266</v>
      </c>
      <c r="D26" s="14" t="inlineStr">
        <is>
          <t>L3</t>
        </is>
      </c>
      <c r="E26" s="14" t="inlineStr">
        <is>
          <t>Etienne COLIN DE VERDIERE [P011]</t>
        </is>
      </c>
      <c r="F26" s="15">
        <f>IFERROR(MID($E26,FIND("[",$E26)+1,FIND("]",$E26)-FIND("[",$E26)-1),"")</f>
        <v/>
      </c>
      <c r="G26" s="15">
        <f>IFERROR(INDEX(Personnes!$B$5:$B$153,MATCH($F26,Personnes!$A$5:$A$153,0))&amp;"","")</f>
        <v/>
      </c>
      <c r="H26" s="15">
        <f>IFERROR(INDEX(Personnes!$C$5:$C$153,MATCH($F26,Personnes!$A$5:$A$153,0))&amp;"","")</f>
        <v/>
      </c>
      <c r="I26" s="17" t="n">
        <v>1</v>
      </c>
      <c r="J26" s="18" t="n"/>
      <c r="K26" s="15">
        <f>IF($A26="","",IF($B26="","créneau non reconnu",IF($C26="","date d’effet manquante",IF($D26="","groupe manquant",IF(COUNTIFS($B$5:$B$80,$B26,$C$5:$C$80,$C26,$D$5:$D$80,$D26,$F$5:$F$80,$F26)&gt;1,"doublon créneau/date/groupe/encadrant",IF($F26="","encadrant à désigner","ok"))))))</f>
        <v/>
      </c>
    </row>
    <row r="27">
      <c r="A27" s="14" t="inlineStr">
        <is>
          <t>CR-SAM — samedi 10h30-12h00 · B50 [CR-SAM]</t>
        </is>
      </c>
      <c r="B27" s="15">
        <f>IFERROR(MID($A27,FIND("[",$A27)+1,FIND("]",$A27)-FIND("[",$A27)-1),"")</f>
        <v/>
      </c>
      <c r="C27" s="16" t="n">
        <v>46266</v>
      </c>
      <c r="D27" s="14" t="inlineStr">
        <is>
          <t>L3</t>
        </is>
      </c>
      <c r="E27" s="14" t="inlineStr">
        <is>
          <t>Alain GUEVEL [P001]</t>
        </is>
      </c>
      <c r="F27" s="15">
        <f>IFERROR(MID($E27,FIND("[",$E27)+1,FIND("]",$E27)-FIND("[",$E27)-1),"")</f>
        <v/>
      </c>
      <c r="G27" s="15">
        <f>IFERROR(INDEX(Personnes!$B$5:$B$153,MATCH($F27,Personnes!$A$5:$A$153,0))&amp;"","")</f>
        <v/>
      </c>
      <c r="H27" s="15">
        <f>IFERROR(INDEX(Personnes!$C$5:$C$153,MATCH($F27,Personnes!$A$5:$A$153,0))&amp;"","")</f>
        <v/>
      </c>
      <c r="I27" s="17" t="n">
        <v>1</v>
      </c>
      <c r="J27" s="18" t="n"/>
      <c r="K27" s="15">
        <f>IF($A27="","",IF($B27="","créneau non reconnu",IF($C27="","date d’effet manquante",IF($D27="","groupe manquant",IF(COUNTIFS($B$5:$B$80,$B27,$C$5:$C$80,$C27,$D$5:$D$80,$D27,$F$5:$F$80,$F27)&gt;1,"doublon créneau/date/groupe/encadrant",IF($F27="","encadrant à désigner","ok"))))))</f>
        <v/>
      </c>
    </row>
    <row r="28">
      <c r="A28" s="14" t="inlineStr">
        <is>
          <t>CR-SAM — samedi 10h30-12h00 · B50 [CR-SAM]</t>
        </is>
      </c>
      <c r="B28" s="15">
        <f>IFERROR(MID($A28,FIND("[",$A28)+1,FIND("]",$A28)-FIND("[",$A28)-1),"")</f>
        <v/>
      </c>
      <c r="C28" s="16" t="n">
        <v>46266</v>
      </c>
      <c r="D28" s="14" t="inlineStr">
        <is>
          <t>L4</t>
        </is>
      </c>
      <c r="E28" s="14" t="inlineStr">
        <is>
          <t>Alain P [P044]</t>
        </is>
      </c>
      <c r="F28" s="15">
        <f>IFERROR(MID($E28,FIND("[",$E28)+1,FIND("]",$E28)-FIND("[",$E28)-1),"")</f>
        <v/>
      </c>
      <c r="G28" s="15">
        <f>IFERROR(INDEX(Personnes!$B$5:$B$153,MATCH($F28,Personnes!$A$5:$A$153,0))&amp;"","")</f>
        <v/>
      </c>
      <c r="H28" s="15">
        <f>IFERROR(INDEX(Personnes!$C$5:$C$153,MATCH($F28,Personnes!$A$5:$A$153,0))&amp;"","")</f>
        <v/>
      </c>
      <c r="I28" s="17" t="n">
        <v>1</v>
      </c>
      <c r="J28" s="18" t="n"/>
      <c r="K28" s="15">
        <f>IF($A28="","",IF($B28="","créneau non reconnu",IF($C28="","date d’effet manquante",IF($D28="","groupe manquant",IF(COUNTIFS($B$5:$B$80,$B28,$C$5:$C$80,$C28,$D$5:$D$80,$D28,$F$5:$F$80,$F28)&gt;1,"doublon créneau/date/groupe/encadrant",IF($F28="","encadrant à désigner","ok"))))))</f>
        <v/>
      </c>
    </row>
    <row r="29">
      <c r="A29" s="14" t="inlineStr">
        <is>
          <t>CR-SAM — samedi 10h30-12h00 · B50 [CR-SAM]</t>
        </is>
      </c>
      <c r="B29" s="15">
        <f>IFERROR(MID($A29,FIND("[",$A29)+1,FIND("]",$A29)-FIND("[",$A29)-1),"")</f>
        <v/>
      </c>
      <c r="C29" s="16" t="n">
        <v>46266</v>
      </c>
      <c r="D29" s="14" t="inlineStr">
        <is>
          <t>L4</t>
        </is>
      </c>
      <c r="E29" s="14" t="inlineStr">
        <is>
          <t>Céline [P043]</t>
        </is>
      </c>
      <c r="F29" s="15">
        <f>IFERROR(MID($E29,FIND("[",$E29)+1,FIND("]",$E29)-FIND("[",$E29)-1),"")</f>
        <v/>
      </c>
      <c r="G29" s="15">
        <f>IFERROR(INDEX(Personnes!$B$5:$B$153,MATCH($F29,Personnes!$A$5:$A$153,0))&amp;"","")</f>
        <v/>
      </c>
      <c r="H29" s="15">
        <f>IFERROR(INDEX(Personnes!$C$5:$C$153,MATCH($F29,Personnes!$A$5:$A$153,0))&amp;"","")</f>
        <v/>
      </c>
      <c r="I29" s="17" t="n">
        <v>1</v>
      </c>
      <c r="J29" s="18" t="n"/>
      <c r="K29" s="15">
        <f>IF($A29="","",IF($B29="","créneau non reconnu",IF($C29="","date d’effet manquante",IF($D29="","groupe manquant",IF(COUNTIFS($B$5:$B$80,$B29,$C$5:$C$80,$C29,$D$5:$D$80,$D29,$F$5:$F$80,$F29)&gt;1,"doublon créneau/date/groupe/encadrant",IF($F29="","encadrant à désigner","ok"))))))</f>
        <v/>
      </c>
    </row>
    <row r="30">
      <c r="A30" s="14" t="inlineStr">
        <is>
          <t>CR-SAM — samedi 10h30-12h00 · B50 [CR-SAM]</t>
        </is>
      </c>
      <c r="B30" s="15">
        <f>IFERROR(MID($A30,FIND("[",$A30)+1,FIND("]",$A30)-FIND("[",$A30)-1),"")</f>
        <v/>
      </c>
      <c r="C30" s="16" t="n">
        <v>46266</v>
      </c>
      <c r="D30" s="14" t="inlineStr">
        <is>
          <t>LC</t>
        </is>
      </c>
      <c r="E30" s="14" t="inlineStr">
        <is>
          <t>Danny [P045]</t>
        </is>
      </c>
      <c r="F30" s="15">
        <f>IFERROR(MID($E30,FIND("[",$E30)+1,FIND("]",$E30)-FIND("[",$E30)-1),"")</f>
        <v/>
      </c>
      <c r="G30" s="15">
        <f>IFERROR(INDEX(Personnes!$B$5:$B$153,MATCH($F30,Personnes!$A$5:$A$153,0))&amp;"","")</f>
        <v/>
      </c>
      <c r="H30" s="15">
        <f>IFERROR(INDEX(Personnes!$C$5:$C$153,MATCH($F30,Personnes!$A$5:$A$153,0))&amp;"","")</f>
        <v/>
      </c>
      <c r="I30" s="17" t="n">
        <v>1</v>
      </c>
      <c r="J30" s="18" t="n"/>
      <c r="K30" s="15">
        <f>IF($A30="","",IF($B30="","créneau non reconnu",IF($C30="","date d’effet manquante",IF($D30="","groupe manquant",IF(COUNTIFS($B$5:$B$80,$B30,$C$5:$C$80,$C30,$D$5:$D$80,$D30,$F$5:$F$80,$F30)&gt;1,"doublon créneau/date/groupe/encadrant",IF($F30="","encadrant à désigner","ok"))))))</f>
        <v/>
      </c>
    </row>
    <row r="31">
      <c r="A31" s="14" t="inlineStr">
        <is>
          <t>CR-MER — mercredi 21h30-22h30 · B50 [CR-MER]</t>
        </is>
      </c>
      <c r="B31" s="15">
        <f>IFERROR(MID($A31,FIND("[",$A31)+1,FIND("]",$A31)-FIND("[",$A31)-1),"")</f>
        <v/>
      </c>
      <c r="C31" s="16" t="n">
        <v>46266</v>
      </c>
      <c r="D31" s="14" t="inlineStr">
        <is>
          <t>L3</t>
        </is>
      </c>
      <c r="E31" s="14" t="inlineStr">
        <is>
          <t>Gabrielle [P035]</t>
        </is>
      </c>
      <c r="F31" s="15">
        <f>IFERROR(MID($E31,FIND("[",$E31)+1,FIND("]",$E31)-FIND("[",$E31)-1),"")</f>
        <v/>
      </c>
      <c r="G31" s="15">
        <f>IFERROR(INDEX(Personnes!$B$5:$B$153,MATCH($F31,Personnes!$A$5:$A$153,0))&amp;"","")</f>
        <v/>
      </c>
      <c r="H31" s="15">
        <f>IFERROR(INDEX(Personnes!$C$5:$C$153,MATCH($F31,Personnes!$A$5:$A$153,0))&amp;"","")</f>
        <v/>
      </c>
      <c r="I31" s="17" t="n">
        <v>1</v>
      </c>
      <c r="J31" s="18" t="n"/>
      <c r="K31" s="15">
        <f>IF($A31="","",IF($B31="","créneau non reconnu",IF($C31="","date d’effet manquante",IF($D31="","groupe manquant",IF(COUNTIFS($B$5:$B$80,$B31,$C$5:$C$80,$C31,$D$5:$D$80,$D31,$F$5:$F$80,$F31)&gt;1,"doublon créneau/date/groupe/encadrant",IF($F31="","encadrant à désigner","ok"))))))</f>
        <v/>
      </c>
    </row>
    <row r="32">
      <c r="A32" s="14" t="inlineStr">
        <is>
          <t>CR-VEN — vendredi 21h30-22h30 · B50 [CR-VEN]</t>
        </is>
      </c>
      <c r="B32" s="15">
        <f>IFERROR(MID($A32,FIND("[",$A32)+1,FIND("]",$A32)-FIND("[",$A32)-1),"")</f>
        <v/>
      </c>
      <c r="C32" s="16" t="n">
        <v>46266</v>
      </c>
      <c r="D32" s="14" t="inlineStr">
        <is>
          <t>STA</t>
        </is>
      </c>
      <c r="E32" s="14" t="inlineStr">
        <is>
          <t>Victorinne CHARDONNET [P031]</t>
        </is>
      </c>
      <c r="F32" s="15">
        <f>IFERROR(MID($E32,FIND("[",$E32)+1,FIND("]",$E32)-FIND("[",$E32)-1),"")</f>
        <v/>
      </c>
      <c r="G32" s="15">
        <f>IFERROR(INDEX(Personnes!$B$5:$B$153,MATCH($F32,Personnes!$A$5:$A$153,0))&amp;"","")</f>
        <v/>
      </c>
      <c r="H32" s="15">
        <f>IFERROR(INDEX(Personnes!$C$5:$C$153,MATCH($F32,Personnes!$A$5:$A$153,0))&amp;"","")</f>
        <v/>
      </c>
      <c r="I32" s="17" t="n">
        <v>1</v>
      </c>
      <c r="J32" s="18" t="n"/>
      <c r="K32" s="15">
        <f>IF($A32="","",IF($B32="","créneau non reconnu",IF($C32="","date d’effet manquante",IF($D32="","groupe manquant",IF(COUNTIFS($B$5:$B$80,$B32,$C$5:$C$80,$C32,$D$5:$D$80,$D32,$F$5:$F$80,$F32)&gt;1,"doublon créneau/date/groupe/encadrant",IF($F32="","encadrant à désigner","ok"))))))</f>
        <v/>
      </c>
    </row>
    <row r="33">
      <c r="A33" s="14" t="inlineStr">
        <is>
          <t>CR-VEN — vendredi 21h30-22h30 · B50 [CR-VEN]</t>
        </is>
      </c>
      <c r="B33" s="15">
        <f>IFERROR(MID($A33,FIND("[",$A33)+1,FIND("]",$A33)-FIND("[",$A33)-1),"")</f>
        <v/>
      </c>
      <c r="C33" s="16" t="n">
        <v>46266</v>
      </c>
      <c r="D33" s="14" t="inlineStr">
        <is>
          <t>STA</t>
        </is>
      </c>
      <c r="E33" s="14" t="inlineStr">
        <is>
          <t>François MEMHELD [P033]</t>
        </is>
      </c>
      <c r="F33" s="15">
        <f>IFERROR(MID($E33,FIND("[",$E33)+1,FIND("]",$E33)-FIND("[",$E33)-1),"")</f>
        <v/>
      </c>
      <c r="G33" s="15">
        <f>IFERROR(INDEX(Personnes!$B$5:$B$153,MATCH($F33,Personnes!$A$5:$A$153,0))&amp;"","")</f>
        <v/>
      </c>
      <c r="H33" s="15">
        <f>IFERROR(INDEX(Personnes!$C$5:$C$153,MATCH($F33,Personnes!$A$5:$A$153,0))&amp;"","")</f>
        <v/>
      </c>
      <c r="I33" s="17" t="n">
        <v>1</v>
      </c>
      <c r="J33" s="18" t="n"/>
      <c r="K33" s="15">
        <f>IF($A33="","",IF($B33="","créneau non reconnu",IF($C33="","date d’effet manquante",IF($D33="","groupe manquant",IF(COUNTIFS($B$5:$B$80,$B33,$C$5:$C$80,$C33,$D$5:$D$80,$D33,$F$5:$F$80,$F33)&gt;1,"doublon créneau/date/groupe/encadrant",IF($F33="","encadrant à désigner","ok"))))))</f>
        <v/>
      </c>
    </row>
    <row r="34">
      <c r="A34" s="14" t="inlineStr">
        <is>
          <t>CR-VEN — vendredi 21h30-22h30 · B50 [CR-VEN]</t>
        </is>
      </c>
      <c r="B34" s="15">
        <f>IFERROR(MID($A34,FIND("[",$A34)+1,FIND("]",$A34)-FIND("[",$A34)-1),"")</f>
        <v/>
      </c>
      <c r="C34" s="16" t="n">
        <v>46266</v>
      </c>
      <c r="D34" s="14" t="inlineStr">
        <is>
          <t>STA</t>
        </is>
      </c>
      <c r="E34" s="14" t="inlineStr">
        <is>
          <t>Guillaume BOULANT [P049]</t>
        </is>
      </c>
      <c r="F34" s="15">
        <f>IFERROR(MID($E34,FIND("[",$E34)+1,FIND("]",$E34)-FIND("[",$E34)-1),"")</f>
        <v/>
      </c>
      <c r="G34" s="15">
        <f>IFERROR(INDEX(Personnes!$B$5:$B$153,MATCH($F34,Personnes!$A$5:$A$153,0))&amp;"","")</f>
        <v/>
      </c>
      <c r="H34" s="15">
        <f>IFERROR(INDEX(Personnes!$C$5:$C$153,MATCH($F34,Personnes!$A$5:$A$153,0))&amp;"","")</f>
        <v/>
      </c>
      <c r="I34" s="17" t="n">
        <v>1</v>
      </c>
      <c r="J34" s="18" t="n"/>
      <c r="K34" s="15">
        <f>IF($A34="","",IF($B34="","créneau non reconnu",IF($C34="","date d’effet manquante",IF($D34="","groupe manquant",IF(COUNTIFS($B$5:$B$80,$B34,$C$5:$C$80,$C34,$D$5:$D$80,$D34,$F$5:$F$80,$F34)&gt;1,"doublon créneau/date/groupe/encadrant",IF($F34="","encadrant à désigner","ok"))))))</f>
        <v/>
      </c>
    </row>
    <row r="35">
      <c r="A35" s="14" t="n"/>
      <c r="B35" s="15">
        <f>IFERROR(MID($A35,FIND("[",$A35)+1,FIND("]",$A35)-FIND("[",$A35)-1),"")</f>
        <v/>
      </c>
      <c r="C35" s="16" t="n"/>
      <c r="D35" s="14" t="n"/>
      <c r="E35" s="14" t="n"/>
      <c r="F35" s="15">
        <f>IFERROR(MID($E35,FIND("[",$E35)+1,FIND("]",$E35)-FIND("[",$E35)-1),"")</f>
        <v/>
      </c>
      <c r="G35" s="15">
        <f>IFERROR(INDEX(Personnes!$B$5:$B$153,MATCH($F35,Personnes!$A$5:$A$153,0))&amp;"","")</f>
        <v/>
      </c>
      <c r="H35" s="15">
        <f>IFERROR(INDEX(Personnes!$C$5:$C$153,MATCH($F35,Personnes!$A$5:$A$153,0))&amp;"","")</f>
        <v/>
      </c>
      <c r="I35" s="17" t="n"/>
      <c r="J35" s="18" t="n"/>
      <c r="K35" s="15">
        <f>IF($A35="","",IF($B35="","créneau non reconnu",IF($C35="","date d’effet manquante",IF($D35="","groupe manquant",IF(COUNTIFS($B$5:$B$80,$B35,$C$5:$C$80,$C35,$D$5:$D$80,$D35,$F$5:$F$80,$F35)&gt;1,"doublon créneau/date/groupe/encadrant",IF($F35="","encadrant à désigner","ok"))))))</f>
        <v/>
      </c>
    </row>
    <row r="36">
      <c r="A36" s="14" t="n"/>
      <c r="B36" s="15">
        <f>IFERROR(MID($A36,FIND("[",$A36)+1,FIND("]",$A36)-FIND("[",$A36)-1),"")</f>
        <v/>
      </c>
      <c r="C36" s="16" t="n"/>
      <c r="D36" s="14" t="n"/>
      <c r="E36" s="14" t="n"/>
      <c r="F36" s="15">
        <f>IFERROR(MID($E36,FIND("[",$E36)+1,FIND("]",$E36)-FIND("[",$E36)-1),"")</f>
        <v/>
      </c>
      <c r="G36" s="15">
        <f>IFERROR(INDEX(Personnes!$B$5:$B$153,MATCH($F36,Personnes!$A$5:$A$153,0))&amp;"","")</f>
        <v/>
      </c>
      <c r="H36" s="15">
        <f>IFERROR(INDEX(Personnes!$C$5:$C$153,MATCH($F36,Personnes!$A$5:$A$153,0))&amp;"","")</f>
        <v/>
      </c>
      <c r="I36" s="17" t="n"/>
      <c r="J36" s="18" t="n"/>
      <c r="K36" s="15">
        <f>IF($A36="","",IF($B36="","créneau non reconnu",IF($C36="","date d’effet manquante",IF($D36="","groupe manquant",IF(COUNTIFS($B$5:$B$80,$B36,$C$5:$C$80,$C36,$D$5:$D$80,$D36,$F$5:$F$80,$F36)&gt;1,"doublon créneau/date/groupe/encadrant",IF($F36="","encadrant à désigner","ok"))))))</f>
        <v/>
      </c>
    </row>
    <row r="37">
      <c r="A37" s="14" t="n"/>
      <c r="B37" s="15">
        <f>IFERROR(MID($A37,FIND("[",$A37)+1,FIND("]",$A37)-FIND("[",$A37)-1),"")</f>
        <v/>
      </c>
      <c r="C37" s="16" t="n"/>
      <c r="D37" s="14" t="n"/>
      <c r="E37" s="14" t="n"/>
      <c r="F37" s="15">
        <f>IFERROR(MID($E37,FIND("[",$E37)+1,FIND("]",$E37)-FIND("[",$E37)-1),"")</f>
        <v/>
      </c>
      <c r="G37" s="15">
        <f>IFERROR(INDEX(Personnes!$B$5:$B$153,MATCH($F37,Personnes!$A$5:$A$153,0))&amp;"","")</f>
        <v/>
      </c>
      <c r="H37" s="15">
        <f>IFERROR(INDEX(Personnes!$C$5:$C$153,MATCH($F37,Personnes!$A$5:$A$153,0))&amp;"","")</f>
        <v/>
      </c>
      <c r="I37" s="17" t="n"/>
      <c r="J37" s="18" t="n"/>
      <c r="K37" s="15">
        <f>IF($A37="","",IF($B37="","créneau non reconnu",IF($C37="","date d’effet manquante",IF($D37="","groupe manquant",IF(COUNTIFS($B$5:$B$80,$B37,$C$5:$C$80,$C37,$D$5:$D$80,$D37,$F$5:$F$80,$F37)&gt;1,"doublon créneau/date/groupe/encadrant",IF($F37="","encadrant à désigner","ok"))))))</f>
        <v/>
      </c>
    </row>
    <row r="38">
      <c r="A38" s="14" t="n"/>
      <c r="B38" s="15">
        <f>IFERROR(MID($A38,FIND("[",$A38)+1,FIND("]",$A38)-FIND("[",$A38)-1),"")</f>
        <v/>
      </c>
      <c r="C38" s="16" t="n"/>
      <c r="D38" s="14" t="n"/>
      <c r="E38" s="14" t="n"/>
      <c r="F38" s="15">
        <f>IFERROR(MID($E38,FIND("[",$E38)+1,FIND("]",$E38)-FIND("[",$E38)-1),"")</f>
        <v/>
      </c>
      <c r="G38" s="15">
        <f>IFERROR(INDEX(Personnes!$B$5:$B$153,MATCH($F38,Personnes!$A$5:$A$153,0))&amp;"","")</f>
        <v/>
      </c>
      <c r="H38" s="15">
        <f>IFERROR(INDEX(Personnes!$C$5:$C$153,MATCH($F38,Personnes!$A$5:$A$153,0))&amp;"","")</f>
        <v/>
      </c>
      <c r="I38" s="17" t="n"/>
      <c r="J38" s="18" t="n"/>
      <c r="K38" s="15">
        <f>IF($A38="","",IF($B38="","créneau non reconnu",IF($C38="","date d’effet manquante",IF($D38="","groupe manquant",IF(COUNTIFS($B$5:$B$80,$B38,$C$5:$C$80,$C38,$D$5:$D$80,$D38,$F$5:$F$80,$F38)&gt;1,"doublon créneau/date/groupe/encadrant",IF($F38="","encadrant à désigner","ok"))))))</f>
        <v/>
      </c>
    </row>
    <row r="39">
      <c r="A39" s="14" t="n"/>
      <c r="B39" s="15">
        <f>IFERROR(MID($A39,FIND("[",$A39)+1,FIND("]",$A39)-FIND("[",$A39)-1),"")</f>
        <v/>
      </c>
      <c r="C39" s="16" t="n"/>
      <c r="D39" s="14" t="n"/>
      <c r="E39" s="14" t="n"/>
      <c r="F39" s="15">
        <f>IFERROR(MID($E39,FIND("[",$E39)+1,FIND("]",$E39)-FIND("[",$E39)-1),"")</f>
        <v/>
      </c>
      <c r="G39" s="15">
        <f>IFERROR(INDEX(Personnes!$B$5:$B$153,MATCH($F39,Personnes!$A$5:$A$153,0))&amp;"","")</f>
        <v/>
      </c>
      <c r="H39" s="15">
        <f>IFERROR(INDEX(Personnes!$C$5:$C$153,MATCH($F39,Personnes!$A$5:$A$153,0))&amp;"","")</f>
        <v/>
      </c>
      <c r="I39" s="17" t="n"/>
      <c r="J39" s="18" t="n"/>
      <c r="K39" s="15">
        <f>IF($A39="","",IF($B39="","créneau non reconnu",IF($C39="","date d’effet manquante",IF($D39="","groupe manquant",IF(COUNTIFS($B$5:$B$80,$B39,$C$5:$C$80,$C39,$D$5:$D$80,$D39,$F$5:$F$80,$F39)&gt;1,"doublon créneau/date/groupe/encadrant",IF($F39="","encadrant à désigner","ok"))))))</f>
        <v/>
      </c>
    </row>
    <row r="40">
      <c r="A40" s="14" t="n"/>
      <c r="B40" s="15">
        <f>IFERROR(MID($A40,FIND("[",$A40)+1,FIND("]",$A40)-FIND("[",$A40)-1),"")</f>
        <v/>
      </c>
      <c r="C40" s="16" t="n"/>
      <c r="D40" s="14" t="n"/>
      <c r="E40" s="14" t="n"/>
      <c r="F40" s="15">
        <f>IFERROR(MID($E40,FIND("[",$E40)+1,FIND("]",$E40)-FIND("[",$E40)-1),"")</f>
        <v/>
      </c>
      <c r="G40" s="15">
        <f>IFERROR(INDEX(Personnes!$B$5:$B$153,MATCH($F40,Personnes!$A$5:$A$153,0))&amp;"","")</f>
        <v/>
      </c>
      <c r="H40" s="15">
        <f>IFERROR(INDEX(Personnes!$C$5:$C$153,MATCH($F40,Personnes!$A$5:$A$153,0))&amp;"","")</f>
        <v/>
      </c>
      <c r="I40" s="17" t="n"/>
      <c r="J40" s="18" t="n"/>
      <c r="K40" s="15">
        <f>IF($A40="","",IF($B40="","créneau non reconnu",IF($C40="","date d’effet manquante",IF($D40="","groupe manquant",IF(COUNTIFS($B$5:$B$80,$B40,$C$5:$C$80,$C40,$D$5:$D$80,$D40,$F$5:$F$80,$F40)&gt;1,"doublon créneau/date/groupe/encadrant",IF($F40="","encadrant à désigner","ok"))))))</f>
        <v/>
      </c>
    </row>
    <row r="41">
      <c r="A41" s="14" t="n"/>
      <c r="B41" s="15">
        <f>IFERROR(MID($A41,FIND("[",$A41)+1,FIND("]",$A41)-FIND("[",$A41)-1),"")</f>
        <v/>
      </c>
      <c r="C41" s="16" t="n"/>
      <c r="D41" s="14" t="n"/>
      <c r="E41" s="14" t="n"/>
      <c r="F41" s="15">
        <f>IFERROR(MID($E41,FIND("[",$E41)+1,FIND("]",$E41)-FIND("[",$E41)-1),"")</f>
        <v/>
      </c>
      <c r="G41" s="15">
        <f>IFERROR(INDEX(Personnes!$B$5:$B$153,MATCH($F41,Personnes!$A$5:$A$153,0))&amp;"","")</f>
        <v/>
      </c>
      <c r="H41" s="15">
        <f>IFERROR(INDEX(Personnes!$C$5:$C$153,MATCH($F41,Personnes!$A$5:$A$153,0))&amp;"","")</f>
        <v/>
      </c>
      <c r="I41" s="17" t="n"/>
      <c r="J41" s="18" t="n"/>
      <c r="K41" s="15">
        <f>IF($A41="","",IF($B41="","créneau non reconnu",IF($C41="","date d’effet manquante",IF($D41="","groupe manquant",IF(COUNTIFS($B$5:$B$80,$B41,$C$5:$C$80,$C41,$D$5:$D$80,$D41,$F$5:$F$80,$F41)&gt;1,"doublon créneau/date/groupe/encadrant",IF($F41="","encadrant à désigner","ok"))))))</f>
        <v/>
      </c>
    </row>
    <row r="42">
      <c r="A42" s="14" t="n"/>
      <c r="B42" s="15">
        <f>IFERROR(MID($A42,FIND("[",$A42)+1,FIND("]",$A42)-FIND("[",$A42)-1),"")</f>
        <v/>
      </c>
      <c r="C42" s="16" t="n"/>
      <c r="D42" s="14" t="n"/>
      <c r="E42" s="14" t="n"/>
      <c r="F42" s="15">
        <f>IFERROR(MID($E42,FIND("[",$E42)+1,FIND("]",$E42)-FIND("[",$E42)-1),"")</f>
        <v/>
      </c>
      <c r="G42" s="15">
        <f>IFERROR(INDEX(Personnes!$B$5:$B$153,MATCH($F42,Personnes!$A$5:$A$153,0))&amp;"","")</f>
        <v/>
      </c>
      <c r="H42" s="15">
        <f>IFERROR(INDEX(Personnes!$C$5:$C$153,MATCH($F42,Personnes!$A$5:$A$153,0))&amp;"","")</f>
        <v/>
      </c>
      <c r="I42" s="17" t="n"/>
      <c r="J42" s="18" t="n"/>
      <c r="K42" s="15">
        <f>IF($A42="","",IF($B42="","créneau non reconnu",IF($C42="","date d’effet manquante",IF($D42="","groupe manquant",IF(COUNTIFS($B$5:$B$80,$B42,$C$5:$C$80,$C42,$D$5:$D$80,$D42,$F$5:$F$80,$F42)&gt;1,"doublon créneau/date/groupe/encadrant",IF($F42="","encadrant à désigner","ok"))))))</f>
        <v/>
      </c>
    </row>
    <row r="43">
      <c r="A43" s="14" t="n"/>
      <c r="B43" s="15">
        <f>IFERROR(MID($A43,FIND("[",$A43)+1,FIND("]",$A43)-FIND("[",$A43)-1),"")</f>
        <v/>
      </c>
      <c r="C43" s="16" t="n"/>
      <c r="D43" s="14" t="n"/>
      <c r="E43" s="14" t="n"/>
      <c r="F43" s="15">
        <f>IFERROR(MID($E43,FIND("[",$E43)+1,FIND("]",$E43)-FIND("[",$E43)-1),"")</f>
        <v/>
      </c>
      <c r="G43" s="15">
        <f>IFERROR(INDEX(Personnes!$B$5:$B$153,MATCH($F43,Personnes!$A$5:$A$153,0))&amp;"","")</f>
        <v/>
      </c>
      <c r="H43" s="15">
        <f>IFERROR(INDEX(Personnes!$C$5:$C$153,MATCH($F43,Personnes!$A$5:$A$153,0))&amp;"","")</f>
        <v/>
      </c>
      <c r="I43" s="17" t="n"/>
      <c r="J43" s="18" t="n"/>
      <c r="K43" s="15">
        <f>IF($A43="","",IF($B43="","créneau non reconnu",IF($C43="","date d’effet manquante",IF($D43="","groupe manquant",IF(COUNTIFS($B$5:$B$80,$B43,$C$5:$C$80,$C43,$D$5:$D$80,$D43,$F$5:$F$80,$F43)&gt;1,"doublon créneau/date/groupe/encadrant",IF($F43="","encadrant à désigner","ok"))))))</f>
        <v/>
      </c>
    </row>
    <row r="44">
      <c r="A44" s="14" t="n"/>
      <c r="B44" s="15">
        <f>IFERROR(MID($A44,FIND("[",$A44)+1,FIND("]",$A44)-FIND("[",$A44)-1),"")</f>
        <v/>
      </c>
      <c r="C44" s="16" t="n"/>
      <c r="D44" s="14" t="n"/>
      <c r="E44" s="14" t="n"/>
      <c r="F44" s="15">
        <f>IFERROR(MID($E44,FIND("[",$E44)+1,FIND("]",$E44)-FIND("[",$E44)-1),"")</f>
        <v/>
      </c>
      <c r="G44" s="15">
        <f>IFERROR(INDEX(Personnes!$B$5:$B$153,MATCH($F44,Personnes!$A$5:$A$153,0))&amp;"","")</f>
        <v/>
      </c>
      <c r="H44" s="15">
        <f>IFERROR(INDEX(Personnes!$C$5:$C$153,MATCH($F44,Personnes!$A$5:$A$153,0))&amp;"","")</f>
        <v/>
      </c>
      <c r="I44" s="17" t="n"/>
      <c r="J44" s="18" t="n"/>
      <c r="K44" s="15">
        <f>IF($A44="","",IF($B44="","créneau non reconnu",IF($C44="","date d’effet manquante",IF($D44="","groupe manquant",IF(COUNTIFS($B$5:$B$80,$B44,$C$5:$C$80,$C44,$D$5:$D$80,$D44,$F$5:$F$80,$F44)&gt;1,"doublon créneau/date/groupe/encadrant",IF($F44="","encadrant à désigner","ok"))))))</f>
        <v/>
      </c>
    </row>
    <row r="45">
      <c r="A45" s="14" t="n"/>
      <c r="B45" s="15">
        <f>IFERROR(MID($A45,FIND("[",$A45)+1,FIND("]",$A45)-FIND("[",$A45)-1),"")</f>
        <v/>
      </c>
      <c r="C45" s="16" t="n"/>
      <c r="D45" s="14" t="n"/>
      <c r="E45" s="14" t="n"/>
      <c r="F45" s="15">
        <f>IFERROR(MID($E45,FIND("[",$E45)+1,FIND("]",$E45)-FIND("[",$E45)-1),"")</f>
        <v/>
      </c>
      <c r="G45" s="15">
        <f>IFERROR(INDEX(Personnes!$B$5:$B$153,MATCH($F45,Personnes!$A$5:$A$153,0))&amp;"","")</f>
        <v/>
      </c>
      <c r="H45" s="15">
        <f>IFERROR(INDEX(Personnes!$C$5:$C$153,MATCH($F45,Personnes!$A$5:$A$153,0))&amp;"","")</f>
        <v/>
      </c>
      <c r="I45" s="17" t="n"/>
      <c r="J45" s="18" t="n"/>
      <c r="K45" s="15">
        <f>IF($A45="","",IF($B45="","créneau non reconnu",IF($C45="","date d’effet manquante",IF($D45="","groupe manquant",IF(COUNTIFS($B$5:$B$80,$B45,$C$5:$C$80,$C45,$D$5:$D$80,$D45,$F$5:$F$80,$F45)&gt;1,"doublon créneau/date/groupe/encadrant",IF($F45="","encadrant à désigner","ok"))))))</f>
        <v/>
      </c>
    </row>
    <row r="46">
      <c r="A46" s="14" t="n"/>
      <c r="B46" s="15">
        <f>IFERROR(MID($A46,FIND("[",$A46)+1,FIND("]",$A46)-FIND("[",$A46)-1),"")</f>
        <v/>
      </c>
      <c r="C46" s="16" t="n"/>
      <c r="D46" s="14" t="n"/>
      <c r="E46" s="14" t="n"/>
      <c r="F46" s="15">
        <f>IFERROR(MID($E46,FIND("[",$E46)+1,FIND("]",$E46)-FIND("[",$E46)-1),"")</f>
        <v/>
      </c>
      <c r="G46" s="15">
        <f>IFERROR(INDEX(Personnes!$B$5:$B$153,MATCH($F46,Personnes!$A$5:$A$153,0))&amp;"","")</f>
        <v/>
      </c>
      <c r="H46" s="15">
        <f>IFERROR(INDEX(Personnes!$C$5:$C$153,MATCH($F46,Personnes!$A$5:$A$153,0))&amp;"","")</f>
        <v/>
      </c>
      <c r="I46" s="17" t="n"/>
      <c r="J46" s="18" t="n"/>
      <c r="K46" s="15">
        <f>IF($A46="","",IF($B46="","créneau non reconnu",IF($C46="","date d’effet manquante",IF($D46="","groupe manquant",IF(COUNTIFS($B$5:$B$80,$B46,$C$5:$C$80,$C46,$D$5:$D$80,$D46,$F$5:$F$80,$F46)&gt;1,"doublon créneau/date/groupe/encadrant",IF($F46="","encadrant à désigner","ok"))))))</f>
        <v/>
      </c>
    </row>
    <row r="47">
      <c r="A47" s="14" t="n"/>
      <c r="B47" s="15">
        <f>IFERROR(MID($A47,FIND("[",$A47)+1,FIND("]",$A47)-FIND("[",$A47)-1),"")</f>
        <v/>
      </c>
      <c r="C47" s="16" t="n"/>
      <c r="D47" s="14" t="n"/>
      <c r="E47" s="14" t="n"/>
      <c r="F47" s="15">
        <f>IFERROR(MID($E47,FIND("[",$E47)+1,FIND("]",$E47)-FIND("[",$E47)-1),"")</f>
        <v/>
      </c>
      <c r="G47" s="15">
        <f>IFERROR(INDEX(Personnes!$B$5:$B$153,MATCH($F47,Personnes!$A$5:$A$153,0))&amp;"","")</f>
        <v/>
      </c>
      <c r="H47" s="15">
        <f>IFERROR(INDEX(Personnes!$C$5:$C$153,MATCH($F47,Personnes!$A$5:$A$153,0))&amp;"","")</f>
        <v/>
      </c>
      <c r="I47" s="17" t="n"/>
      <c r="J47" s="18" t="n"/>
      <c r="K47" s="15">
        <f>IF($A47="","",IF($B47="","créneau non reconnu",IF($C47="","date d’effet manquante",IF($D47="","groupe manquant",IF(COUNTIFS($B$5:$B$80,$B47,$C$5:$C$80,$C47,$D$5:$D$80,$D47,$F$5:$F$80,$F47)&gt;1,"doublon créneau/date/groupe/encadrant",IF($F47="","encadrant à désigner","ok"))))))</f>
        <v/>
      </c>
    </row>
    <row r="48">
      <c r="A48" s="14" t="n"/>
      <c r="B48" s="15">
        <f>IFERROR(MID($A48,FIND("[",$A48)+1,FIND("]",$A48)-FIND("[",$A48)-1),"")</f>
        <v/>
      </c>
      <c r="C48" s="16" t="n"/>
      <c r="D48" s="14" t="n"/>
      <c r="E48" s="14" t="n"/>
      <c r="F48" s="15">
        <f>IFERROR(MID($E48,FIND("[",$E48)+1,FIND("]",$E48)-FIND("[",$E48)-1),"")</f>
        <v/>
      </c>
      <c r="G48" s="15">
        <f>IFERROR(INDEX(Personnes!$B$5:$B$153,MATCH($F48,Personnes!$A$5:$A$153,0))&amp;"","")</f>
        <v/>
      </c>
      <c r="H48" s="15">
        <f>IFERROR(INDEX(Personnes!$C$5:$C$153,MATCH($F48,Personnes!$A$5:$A$153,0))&amp;"","")</f>
        <v/>
      </c>
      <c r="I48" s="17" t="n"/>
      <c r="J48" s="18" t="n"/>
      <c r="K48" s="15">
        <f>IF($A48="","",IF($B48="","créneau non reconnu",IF($C48="","date d’effet manquante",IF($D48="","groupe manquant",IF(COUNTIFS($B$5:$B$80,$B48,$C$5:$C$80,$C48,$D$5:$D$80,$D48,$F$5:$F$80,$F48)&gt;1,"doublon créneau/date/groupe/encadrant",IF($F48="","encadrant à désigner","ok"))))))</f>
        <v/>
      </c>
    </row>
    <row r="49">
      <c r="A49" s="14" t="n"/>
      <c r="B49" s="15">
        <f>IFERROR(MID($A49,FIND("[",$A49)+1,FIND("]",$A49)-FIND("[",$A49)-1),"")</f>
        <v/>
      </c>
      <c r="C49" s="16" t="n"/>
      <c r="D49" s="14" t="n"/>
      <c r="E49" s="14" t="n"/>
      <c r="F49" s="15">
        <f>IFERROR(MID($E49,FIND("[",$E49)+1,FIND("]",$E49)-FIND("[",$E49)-1),"")</f>
        <v/>
      </c>
      <c r="G49" s="15">
        <f>IFERROR(INDEX(Personnes!$B$5:$B$153,MATCH($F49,Personnes!$A$5:$A$153,0))&amp;"","")</f>
        <v/>
      </c>
      <c r="H49" s="15">
        <f>IFERROR(INDEX(Personnes!$C$5:$C$153,MATCH($F49,Personnes!$A$5:$A$153,0))&amp;"","")</f>
        <v/>
      </c>
      <c r="I49" s="17" t="n"/>
      <c r="J49" s="18" t="n"/>
      <c r="K49" s="15">
        <f>IF($A49="","",IF($B49="","créneau non reconnu",IF($C49="","date d’effet manquante",IF($D49="","groupe manquant",IF(COUNTIFS($B$5:$B$80,$B49,$C$5:$C$80,$C49,$D$5:$D$80,$D49,$F$5:$F$80,$F49)&gt;1,"doublon créneau/date/groupe/encadrant",IF($F49="","encadrant à désigner","ok"))))))</f>
        <v/>
      </c>
    </row>
    <row r="50">
      <c r="A50" s="14" t="n"/>
      <c r="B50" s="15">
        <f>IFERROR(MID($A50,FIND("[",$A50)+1,FIND("]",$A50)-FIND("[",$A50)-1),"")</f>
        <v/>
      </c>
      <c r="C50" s="16" t="n"/>
      <c r="D50" s="14" t="n"/>
      <c r="E50" s="14" t="n"/>
      <c r="F50" s="15">
        <f>IFERROR(MID($E50,FIND("[",$E50)+1,FIND("]",$E50)-FIND("[",$E50)-1),"")</f>
        <v/>
      </c>
      <c r="G50" s="15">
        <f>IFERROR(INDEX(Personnes!$B$5:$B$153,MATCH($F50,Personnes!$A$5:$A$153,0))&amp;"","")</f>
        <v/>
      </c>
      <c r="H50" s="15">
        <f>IFERROR(INDEX(Personnes!$C$5:$C$153,MATCH($F50,Personnes!$A$5:$A$153,0))&amp;"","")</f>
        <v/>
      </c>
      <c r="I50" s="17" t="n"/>
      <c r="J50" s="18" t="n"/>
      <c r="K50" s="15">
        <f>IF($A50="","",IF($B50="","créneau non reconnu",IF($C50="","date d’effet manquante",IF($D50="","groupe manquant",IF(COUNTIFS($B$5:$B$80,$B50,$C$5:$C$80,$C50,$D$5:$D$80,$D50,$F$5:$F$80,$F50)&gt;1,"doublon créneau/date/groupe/encadrant",IF($F50="","encadrant à désigner","ok"))))))</f>
        <v/>
      </c>
    </row>
    <row r="51">
      <c r="A51" s="14" t="n"/>
      <c r="B51" s="15">
        <f>IFERROR(MID($A51,FIND("[",$A51)+1,FIND("]",$A51)-FIND("[",$A51)-1),"")</f>
        <v/>
      </c>
      <c r="C51" s="16" t="n"/>
      <c r="D51" s="14" t="n"/>
      <c r="E51" s="14" t="n"/>
      <c r="F51" s="15">
        <f>IFERROR(MID($E51,FIND("[",$E51)+1,FIND("]",$E51)-FIND("[",$E51)-1),"")</f>
        <v/>
      </c>
      <c r="G51" s="15">
        <f>IFERROR(INDEX(Personnes!$B$5:$B$153,MATCH($F51,Personnes!$A$5:$A$153,0))&amp;"","")</f>
        <v/>
      </c>
      <c r="H51" s="15">
        <f>IFERROR(INDEX(Personnes!$C$5:$C$153,MATCH($F51,Personnes!$A$5:$A$153,0))&amp;"","")</f>
        <v/>
      </c>
      <c r="I51" s="17" t="n"/>
      <c r="J51" s="18" t="n"/>
      <c r="K51" s="15">
        <f>IF($A51="","",IF($B51="","créneau non reconnu",IF($C51="","date d’effet manquante",IF($D51="","groupe manquant",IF(COUNTIFS($B$5:$B$80,$B51,$C$5:$C$80,$C51,$D$5:$D$80,$D51,$F$5:$F$80,$F51)&gt;1,"doublon créneau/date/groupe/encadrant",IF($F51="","encadrant à désigner","ok"))))))</f>
        <v/>
      </c>
    </row>
    <row r="52">
      <c r="A52" s="14" t="n"/>
      <c r="B52" s="15">
        <f>IFERROR(MID($A52,FIND("[",$A52)+1,FIND("]",$A52)-FIND("[",$A52)-1),"")</f>
        <v/>
      </c>
      <c r="C52" s="16" t="n"/>
      <c r="D52" s="14" t="n"/>
      <c r="E52" s="14" t="n"/>
      <c r="F52" s="15">
        <f>IFERROR(MID($E52,FIND("[",$E52)+1,FIND("]",$E52)-FIND("[",$E52)-1),"")</f>
        <v/>
      </c>
      <c r="G52" s="15">
        <f>IFERROR(INDEX(Personnes!$B$5:$B$153,MATCH($F52,Personnes!$A$5:$A$153,0))&amp;"","")</f>
        <v/>
      </c>
      <c r="H52" s="15">
        <f>IFERROR(INDEX(Personnes!$C$5:$C$153,MATCH($F52,Personnes!$A$5:$A$153,0))&amp;"","")</f>
        <v/>
      </c>
      <c r="I52" s="17" t="n"/>
      <c r="J52" s="18" t="n"/>
      <c r="K52" s="15">
        <f>IF($A52="","",IF($B52="","créneau non reconnu",IF($C52="","date d’effet manquante",IF($D52="","groupe manquant",IF(COUNTIFS($B$5:$B$80,$B52,$C$5:$C$80,$C52,$D$5:$D$80,$D52,$F$5:$F$80,$F52)&gt;1,"doublon créneau/date/groupe/encadrant",IF($F52="","encadrant à désigner","ok"))))))</f>
        <v/>
      </c>
    </row>
    <row r="53">
      <c r="A53" s="14" t="n"/>
      <c r="B53" s="15">
        <f>IFERROR(MID($A53,FIND("[",$A53)+1,FIND("]",$A53)-FIND("[",$A53)-1),"")</f>
        <v/>
      </c>
      <c r="C53" s="16" t="n"/>
      <c r="D53" s="14" t="n"/>
      <c r="E53" s="14" t="n"/>
      <c r="F53" s="15">
        <f>IFERROR(MID($E53,FIND("[",$E53)+1,FIND("]",$E53)-FIND("[",$E53)-1),"")</f>
        <v/>
      </c>
      <c r="G53" s="15">
        <f>IFERROR(INDEX(Personnes!$B$5:$B$153,MATCH($F53,Personnes!$A$5:$A$153,0))&amp;"","")</f>
        <v/>
      </c>
      <c r="H53" s="15">
        <f>IFERROR(INDEX(Personnes!$C$5:$C$153,MATCH($F53,Personnes!$A$5:$A$153,0))&amp;"","")</f>
        <v/>
      </c>
      <c r="I53" s="17" t="n"/>
      <c r="J53" s="18" t="n"/>
      <c r="K53" s="15">
        <f>IF($A53="","",IF($B53="","créneau non reconnu",IF($C53="","date d’effet manquante",IF($D53="","groupe manquant",IF(COUNTIFS($B$5:$B$80,$B53,$C$5:$C$80,$C53,$D$5:$D$80,$D53,$F$5:$F$80,$F53)&gt;1,"doublon créneau/date/groupe/encadrant",IF($F53="","encadrant à désigner","ok"))))))</f>
        <v/>
      </c>
    </row>
    <row r="54">
      <c r="A54" s="14" t="n"/>
      <c r="B54" s="15">
        <f>IFERROR(MID($A54,FIND("[",$A54)+1,FIND("]",$A54)-FIND("[",$A54)-1),"")</f>
        <v/>
      </c>
      <c r="C54" s="16" t="n"/>
      <c r="D54" s="14" t="n"/>
      <c r="E54" s="14" t="n"/>
      <c r="F54" s="15">
        <f>IFERROR(MID($E54,FIND("[",$E54)+1,FIND("]",$E54)-FIND("[",$E54)-1),"")</f>
        <v/>
      </c>
      <c r="G54" s="15">
        <f>IFERROR(INDEX(Personnes!$B$5:$B$153,MATCH($F54,Personnes!$A$5:$A$153,0))&amp;"","")</f>
        <v/>
      </c>
      <c r="H54" s="15">
        <f>IFERROR(INDEX(Personnes!$C$5:$C$153,MATCH($F54,Personnes!$A$5:$A$153,0))&amp;"","")</f>
        <v/>
      </c>
      <c r="I54" s="17" t="n"/>
      <c r="J54" s="18" t="n"/>
      <c r="K54" s="15">
        <f>IF($A54="","",IF($B54="","créneau non reconnu",IF($C54="","date d’effet manquante",IF($D54="","groupe manquant",IF(COUNTIFS($B$5:$B$80,$B54,$C$5:$C$80,$C54,$D$5:$D$80,$D54,$F$5:$F$80,$F54)&gt;1,"doublon créneau/date/groupe/encadrant",IF($F54="","encadrant à désigner","ok"))))))</f>
        <v/>
      </c>
    </row>
    <row r="55">
      <c r="A55" s="14" t="n"/>
      <c r="B55" s="15">
        <f>IFERROR(MID($A55,FIND("[",$A55)+1,FIND("]",$A55)-FIND("[",$A55)-1),"")</f>
        <v/>
      </c>
      <c r="C55" s="16" t="n"/>
      <c r="D55" s="14" t="n"/>
      <c r="E55" s="14" t="n"/>
      <c r="F55" s="15">
        <f>IFERROR(MID($E55,FIND("[",$E55)+1,FIND("]",$E55)-FIND("[",$E55)-1),"")</f>
        <v/>
      </c>
      <c r="G55" s="15">
        <f>IFERROR(INDEX(Personnes!$B$5:$B$153,MATCH($F55,Personnes!$A$5:$A$153,0))&amp;"","")</f>
        <v/>
      </c>
      <c r="H55" s="15">
        <f>IFERROR(INDEX(Personnes!$C$5:$C$153,MATCH($F55,Personnes!$A$5:$A$153,0))&amp;"","")</f>
        <v/>
      </c>
      <c r="I55" s="17" t="n"/>
      <c r="J55" s="18" t="n"/>
      <c r="K55" s="15">
        <f>IF($A55="","",IF($B55="","créneau non reconnu",IF($C55="","date d’effet manquante",IF($D55="","groupe manquant",IF(COUNTIFS($B$5:$B$80,$B55,$C$5:$C$80,$C55,$D$5:$D$80,$D55,$F$5:$F$80,$F55)&gt;1,"doublon créneau/date/groupe/encadrant",IF($F55="","encadrant à désigner","ok"))))))</f>
        <v/>
      </c>
    </row>
    <row r="56">
      <c r="A56" s="14" t="n"/>
      <c r="B56" s="15">
        <f>IFERROR(MID($A56,FIND("[",$A56)+1,FIND("]",$A56)-FIND("[",$A56)-1),"")</f>
        <v/>
      </c>
      <c r="C56" s="16" t="n"/>
      <c r="D56" s="14" t="n"/>
      <c r="E56" s="14" t="n"/>
      <c r="F56" s="15">
        <f>IFERROR(MID($E56,FIND("[",$E56)+1,FIND("]",$E56)-FIND("[",$E56)-1),"")</f>
        <v/>
      </c>
      <c r="G56" s="15">
        <f>IFERROR(INDEX(Personnes!$B$5:$B$153,MATCH($F56,Personnes!$A$5:$A$153,0))&amp;"","")</f>
        <v/>
      </c>
      <c r="H56" s="15">
        <f>IFERROR(INDEX(Personnes!$C$5:$C$153,MATCH($F56,Personnes!$A$5:$A$153,0))&amp;"","")</f>
        <v/>
      </c>
      <c r="I56" s="17" t="n"/>
      <c r="J56" s="18" t="n"/>
      <c r="K56" s="15">
        <f>IF($A56="","",IF($B56="","créneau non reconnu",IF($C56="","date d’effet manquante",IF($D56="","groupe manquant",IF(COUNTIFS($B$5:$B$80,$B56,$C$5:$C$80,$C56,$D$5:$D$80,$D56,$F$5:$F$80,$F56)&gt;1,"doublon créneau/date/groupe/encadrant",IF($F56="","encadrant à désigner","ok"))))))</f>
        <v/>
      </c>
    </row>
    <row r="57">
      <c r="A57" s="14" t="n"/>
      <c r="B57" s="15">
        <f>IFERROR(MID($A57,FIND("[",$A57)+1,FIND("]",$A57)-FIND("[",$A57)-1),"")</f>
        <v/>
      </c>
      <c r="C57" s="16" t="n"/>
      <c r="D57" s="14" t="n"/>
      <c r="E57" s="14" t="n"/>
      <c r="F57" s="15">
        <f>IFERROR(MID($E57,FIND("[",$E57)+1,FIND("]",$E57)-FIND("[",$E57)-1),"")</f>
        <v/>
      </c>
      <c r="G57" s="15">
        <f>IFERROR(INDEX(Personnes!$B$5:$B$153,MATCH($F57,Personnes!$A$5:$A$153,0))&amp;"","")</f>
        <v/>
      </c>
      <c r="H57" s="15">
        <f>IFERROR(INDEX(Personnes!$C$5:$C$153,MATCH($F57,Personnes!$A$5:$A$153,0))&amp;"","")</f>
        <v/>
      </c>
      <c r="I57" s="17" t="n"/>
      <c r="J57" s="18" t="n"/>
      <c r="K57" s="15">
        <f>IF($A57="","",IF($B57="","créneau non reconnu",IF($C57="","date d’effet manquante",IF($D57="","groupe manquant",IF(COUNTIFS($B$5:$B$80,$B57,$C$5:$C$80,$C57,$D$5:$D$80,$D57,$F$5:$F$80,$F57)&gt;1,"doublon créneau/date/groupe/encadrant",IF($F57="","encadrant à désigner","ok"))))))</f>
        <v/>
      </c>
    </row>
    <row r="58">
      <c r="A58" s="14" t="n"/>
      <c r="B58" s="15">
        <f>IFERROR(MID($A58,FIND("[",$A58)+1,FIND("]",$A58)-FIND("[",$A58)-1),"")</f>
        <v/>
      </c>
      <c r="C58" s="16" t="n"/>
      <c r="D58" s="14" t="n"/>
      <c r="E58" s="14" t="n"/>
      <c r="F58" s="15">
        <f>IFERROR(MID($E58,FIND("[",$E58)+1,FIND("]",$E58)-FIND("[",$E58)-1),"")</f>
        <v/>
      </c>
      <c r="G58" s="15">
        <f>IFERROR(INDEX(Personnes!$B$5:$B$153,MATCH($F58,Personnes!$A$5:$A$153,0))&amp;"","")</f>
        <v/>
      </c>
      <c r="H58" s="15">
        <f>IFERROR(INDEX(Personnes!$C$5:$C$153,MATCH($F58,Personnes!$A$5:$A$153,0))&amp;"","")</f>
        <v/>
      </c>
      <c r="I58" s="17" t="n"/>
      <c r="J58" s="18" t="n"/>
      <c r="K58" s="15">
        <f>IF($A58="","",IF($B58="","créneau non reconnu",IF($C58="","date d’effet manquante",IF($D58="","groupe manquant",IF(COUNTIFS($B$5:$B$80,$B58,$C$5:$C$80,$C58,$D$5:$D$80,$D58,$F$5:$F$80,$F58)&gt;1,"doublon créneau/date/groupe/encadrant",IF($F58="","encadrant à désigner","ok"))))))</f>
        <v/>
      </c>
    </row>
    <row r="59">
      <c r="A59" s="14" t="n"/>
      <c r="B59" s="15">
        <f>IFERROR(MID($A59,FIND("[",$A59)+1,FIND("]",$A59)-FIND("[",$A59)-1),"")</f>
        <v/>
      </c>
      <c r="C59" s="16" t="n"/>
      <c r="D59" s="14" t="n"/>
      <c r="E59" s="14" t="n"/>
      <c r="F59" s="15">
        <f>IFERROR(MID($E59,FIND("[",$E59)+1,FIND("]",$E59)-FIND("[",$E59)-1),"")</f>
        <v/>
      </c>
      <c r="G59" s="15">
        <f>IFERROR(INDEX(Personnes!$B$5:$B$153,MATCH($F59,Personnes!$A$5:$A$153,0))&amp;"","")</f>
        <v/>
      </c>
      <c r="H59" s="15">
        <f>IFERROR(INDEX(Personnes!$C$5:$C$153,MATCH($F59,Personnes!$A$5:$A$153,0))&amp;"","")</f>
        <v/>
      </c>
      <c r="I59" s="17" t="n"/>
      <c r="J59" s="18" t="n"/>
      <c r="K59" s="15">
        <f>IF($A59="","",IF($B59="","créneau non reconnu",IF($C59="","date d’effet manquante",IF($D59="","groupe manquant",IF(COUNTIFS($B$5:$B$80,$B59,$C$5:$C$80,$C59,$D$5:$D$80,$D59,$F$5:$F$80,$F59)&gt;1,"doublon créneau/date/groupe/encadrant",IF($F59="","encadrant à désigner","ok"))))))</f>
        <v/>
      </c>
    </row>
    <row r="60">
      <c r="A60" s="14" t="n"/>
      <c r="B60" s="15">
        <f>IFERROR(MID($A60,FIND("[",$A60)+1,FIND("]",$A60)-FIND("[",$A60)-1),"")</f>
        <v/>
      </c>
      <c r="C60" s="16" t="n"/>
      <c r="D60" s="14" t="n"/>
      <c r="E60" s="14" t="n"/>
      <c r="F60" s="15">
        <f>IFERROR(MID($E60,FIND("[",$E60)+1,FIND("]",$E60)-FIND("[",$E60)-1),"")</f>
        <v/>
      </c>
      <c r="G60" s="15">
        <f>IFERROR(INDEX(Personnes!$B$5:$B$153,MATCH($F60,Personnes!$A$5:$A$153,0))&amp;"","")</f>
        <v/>
      </c>
      <c r="H60" s="15">
        <f>IFERROR(INDEX(Personnes!$C$5:$C$153,MATCH($F60,Personnes!$A$5:$A$153,0))&amp;"","")</f>
        <v/>
      </c>
      <c r="I60" s="17" t="n"/>
      <c r="J60" s="18" t="n"/>
      <c r="K60" s="15">
        <f>IF($A60="","",IF($B60="","créneau non reconnu",IF($C60="","date d’effet manquante",IF($D60="","groupe manquant",IF(COUNTIFS($B$5:$B$80,$B60,$C$5:$C$80,$C60,$D$5:$D$80,$D60,$F$5:$F$80,$F60)&gt;1,"doublon créneau/date/groupe/encadrant",IF($F60="","encadrant à désigner","ok"))))))</f>
        <v/>
      </c>
    </row>
    <row r="61">
      <c r="A61" s="14" t="n"/>
      <c r="B61" s="15">
        <f>IFERROR(MID($A61,FIND("[",$A61)+1,FIND("]",$A61)-FIND("[",$A61)-1),"")</f>
        <v/>
      </c>
      <c r="C61" s="16" t="n"/>
      <c r="D61" s="14" t="n"/>
      <c r="E61" s="14" t="n"/>
      <c r="F61" s="15">
        <f>IFERROR(MID($E61,FIND("[",$E61)+1,FIND("]",$E61)-FIND("[",$E61)-1),"")</f>
        <v/>
      </c>
      <c r="G61" s="15">
        <f>IFERROR(INDEX(Personnes!$B$5:$B$153,MATCH($F61,Personnes!$A$5:$A$153,0))&amp;"","")</f>
        <v/>
      </c>
      <c r="H61" s="15">
        <f>IFERROR(INDEX(Personnes!$C$5:$C$153,MATCH($F61,Personnes!$A$5:$A$153,0))&amp;"","")</f>
        <v/>
      </c>
      <c r="I61" s="17" t="n"/>
      <c r="J61" s="18" t="n"/>
      <c r="K61" s="15">
        <f>IF($A61="","",IF($B61="","créneau non reconnu",IF($C61="","date d’effet manquante",IF($D61="","groupe manquant",IF(COUNTIFS($B$5:$B$80,$B61,$C$5:$C$80,$C61,$D$5:$D$80,$D61,$F$5:$F$80,$F61)&gt;1,"doublon créneau/date/groupe/encadrant",IF($F61="","encadrant à désigner","ok"))))))</f>
        <v/>
      </c>
    </row>
    <row r="62">
      <c r="A62" s="14" t="n"/>
      <c r="B62" s="15">
        <f>IFERROR(MID($A62,FIND("[",$A62)+1,FIND("]",$A62)-FIND("[",$A62)-1),"")</f>
        <v/>
      </c>
      <c r="C62" s="16" t="n"/>
      <c r="D62" s="14" t="n"/>
      <c r="E62" s="14" t="n"/>
      <c r="F62" s="15">
        <f>IFERROR(MID($E62,FIND("[",$E62)+1,FIND("]",$E62)-FIND("[",$E62)-1),"")</f>
        <v/>
      </c>
      <c r="G62" s="15">
        <f>IFERROR(INDEX(Personnes!$B$5:$B$153,MATCH($F62,Personnes!$A$5:$A$153,0))&amp;"","")</f>
        <v/>
      </c>
      <c r="H62" s="15">
        <f>IFERROR(INDEX(Personnes!$C$5:$C$153,MATCH($F62,Personnes!$A$5:$A$153,0))&amp;"","")</f>
        <v/>
      </c>
      <c r="I62" s="17" t="n"/>
      <c r="J62" s="18" t="n"/>
      <c r="K62" s="15">
        <f>IF($A62="","",IF($B62="","créneau non reconnu",IF($C62="","date d’effet manquante",IF($D62="","groupe manquant",IF(COUNTIFS($B$5:$B$80,$B62,$C$5:$C$80,$C62,$D$5:$D$80,$D62,$F$5:$F$80,$F62)&gt;1,"doublon créneau/date/groupe/encadrant",IF($F62="","encadrant à désigner","ok"))))))</f>
        <v/>
      </c>
    </row>
    <row r="63">
      <c r="A63" s="14" t="n"/>
      <c r="B63" s="15">
        <f>IFERROR(MID($A63,FIND("[",$A63)+1,FIND("]",$A63)-FIND("[",$A63)-1),"")</f>
        <v/>
      </c>
      <c r="C63" s="16" t="n"/>
      <c r="D63" s="14" t="n"/>
      <c r="E63" s="14" t="n"/>
      <c r="F63" s="15">
        <f>IFERROR(MID($E63,FIND("[",$E63)+1,FIND("]",$E63)-FIND("[",$E63)-1),"")</f>
        <v/>
      </c>
      <c r="G63" s="15">
        <f>IFERROR(INDEX(Personnes!$B$5:$B$153,MATCH($F63,Personnes!$A$5:$A$153,0))&amp;"","")</f>
        <v/>
      </c>
      <c r="H63" s="15">
        <f>IFERROR(INDEX(Personnes!$C$5:$C$153,MATCH($F63,Personnes!$A$5:$A$153,0))&amp;"","")</f>
        <v/>
      </c>
      <c r="I63" s="17" t="n"/>
      <c r="J63" s="18" t="n"/>
      <c r="K63" s="15">
        <f>IF($A63="","",IF($B63="","créneau non reconnu",IF($C63="","date d’effet manquante",IF($D63="","groupe manquant",IF(COUNTIFS($B$5:$B$80,$B63,$C$5:$C$80,$C63,$D$5:$D$80,$D63,$F$5:$F$80,$F63)&gt;1,"doublon créneau/date/groupe/encadrant",IF($F63="","encadrant à désigner","ok"))))))</f>
        <v/>
      </c>
    </row>
    <row r="64">
      <c r="A64" s="14" t="n"/>
      <c r="B64" s="15">
        <f>IFERROR(MID($A64,FIND("[",$A64)+1,FIND("]",$A64)-FIND("[",$A64)-1),"")</f>
        <v/>
      </c>
      <c r="C64" s="16" t="n"/>
      <c r="D64" s="14" t="n"/>
      <c r="E64" s="14" t="n"/>
      <c r="F64" s="15">
        <f>IFERROR(MID($E64,FIND("[",$E64)+1,FIND("]",$E64)-FIND("[",$E64)-1),"")</f>
        <v/>
      </c>
      <c r="G64" s="15">
        <f>IFERROR(INDEX(Personnes!$B$5:$B$153,MATCH($F64,Personnes!$A$5:$A$153,0))&amp;"","")</f>
        <v/>
      </c>
      <c r="H64" s="15">
        <f>IFERROR(INDEX(Personnes!$C$5:$C$153,MATCH($F64,Personnes!$A$5:$A$153,0))&amp;"","")</f>
        <v/>
      </c>
      <c r="I64" s="17" t="n"/>
      <c r="J64" s="18" t="n"/>
      <c r="K64" s="15">
        <f>IF($A64="","",IF($B64="","créneau non reconnu",IF($C64="","date d’effet manquante",IF($D64="","groupe manquant",IF(COUNTIFS($B$5:$B$80,$B64,$C$5:$C$80,$C64,$D$5:$D$80,$D64,$F$5:$F$80,$F64)&gt;1,"doublon créneau/date/groupe/encadrant",IF($F64="","encadrant à désigner","ok"))))))</f>
        <v/>
      </c>
    </row>
    <row r="65">
      <c r="A65" s="14" t="n"/>
      <c r="B65" s="15">
        <f>IFERROR(MID($A65,FIND("[",$A65)+1,FIND("]",$A65)-FIND("[",$A65)-1),"")</f>
        <v/>
      </c>
      <c r="C65" s="16" t="n"/>
      <c r="D65" s="14" t="n"/>
      <c r="E65" s="14" t="n"/>
      <c r="F65" s="15">
        <f>IFERROR(MID($E65,FIND("[",$E65)+1,FIND("]",$E65)-FIND("[",$E65)-1),"")</f>
        <v/>
      </c>
      <c r="G65" s="15">
        <f>IFERROR(INDEX(Personnes!$B$5:$B$153,MATCH($F65,Personnes!$A$5:$A$153,0))&amp;"","")</f>
        <v/>
      </c>
      <c r="H65" s="15">
        <f>IFERROR(INDEX(Personnes!$C$5:$C$153,MATCH($F65,Personnes!$A$5:$A$153,0))&amp;"","")</f>
        <v/>
      </c>
      <c r="I65" s="17" t="n"/>
      <c r="J65" s="18" t="n"/>
      <c r="K65" s="15">
        <f>IF($A65="","",IF($B65="","créneau non reconnu",IF($C65="","date d’effet manquante",IF($D65="","groupe manquant",IF(COUNTIFS($B$5:$B$80,$B65,$C$5:$C$80,$C65,$D$5:$D$80,$D65,$F$5:$F$80,$F65)&gt;1,"doublon créneau/date/groupe/encadrant",IF($F65="","encadrant à désigner","ok"))))))</f>
        <v/>
      </c>
    </row>
    <row r="66">
      <c r="A66" s="14" t="n"/>
      <c r="B66" s="15">
        <f>IFERROR(MID($A66,FIND("[",$A66)+1,FIND("]",$A66)-FIND("[",$A66)-1),"")</f>
        <v/>
      </c>
      <c r="C66" s="16" t="n"/>
      <c r="D66" s="14" t="n"/>
      <c r="E66" s="14" t="n"/>
      <c r="F66" s="15">
        <f>IFERROR(MID($E66,FIND("[",$E66)+1,FIND("]",$E66)-FIND("[",$E66)-1),"")</f>
        <v/>
      </c>
      <c r="G66" s="15">
        <f>IFERROR(INDEX(Personnes!$B$5:$B$153,MATCH($F66,Personnes!$A$5:$A$153,0))&amp;"","")</f>
        <v/>
      </c>
      <c r="H66" s="15">
        <f>IFERROR(INDEX(Personnes!$C$5:$C$153,MATCH($F66,Personnes!$A$5:$A$153,0))&amp;"","")</f>
        <v/>
      </c>
      <c r="I66" s="17" t="n"/>
      <c r="J66" s="18" t="n"/>
      <c r="K66" s="15">
        <f>IF($A66="","",IF($B66="","créneau non reconnu",IF($C66="","date d’effet manquante",IF($D66="","groupe manquant",IF(COUNTIFS($B$5:$B$80,$B66,$C$5:$C$80,$C66,$D$5:$D$80,$D66,$F$5:$F$80,$F66)&gt;1,"doublon créneau/date/groupe/encadrant",IF($F66="","encadrant à désigner","ok"))))))</f>
        <v/>
      </c>
    </row>
    <row r="67">
      <c r="A67" s="14" t="n"/>
      <c r="B67" s="15">
        <f>IFERROR(MID($A67,FIND("[",$A67)+1,FIND("]",$A67)-FIND("[",$A67)-1),"")</f>
        <v/>
      </c>
      <c r="C67" s="16" t="n"/>
      <c r="D67" s="14" t="n"/>
      <c r="E67" s="14" t="n"/>
      <c r="F67" s="15">
        <f>IFERROR(MID($E67,FIND("[",$E67)+1,FIND("]",$E67)-FIND("[",$E67)-1),"")</f>
        <v/>
      </c>
      <c r="G67" s="15">
        <f>IFERROR(INDEX(Personnes!$B$5:$B$153,MATCH($F67,Personnes!$A$5:$A$153,0))&amp;"","")</f>
        <v/>
      </c>
      <c r="H67" s="15">
        <f>IFERROR(INDEX(Personnes!$C$5:$C$153,MATCH($F67,Personnes!$A$5:$A$153,0))&amp;"","")</f>
        <v/>
      </c>
      <c r="I67" s="17" t="n"/>
      <c r="J67" s="18" t="n"/>
      <c r="K67" s="15">
        <f>IF($A67="","",IF($B67="","créneau non reconnu",IF($C67="","date d’effet manquante",IF($D67="","groupe manquant",IF(COUNTIFS($B$5:$B$80,$B67,$C$5:$C$80,$C67,$D$5:$D$80,$D67,$F$5:$F$80,$F67)&gt;1,"doublon créneau/date/groupe/encadrant",IF($F67="","encadrant à désigner","ok"))))))</f>
        <v/>
      </c>
    </row>
    <row r="68">
      <c r="A68" s="14" t="n"/>
      <c r="B68" s="15">
        <f>IFERROR(MID($A68,FIND("[",$A68)+1,FIND("]",$A68)-FIND("[",$A68)-1),"")</f>
        <v/>
      </c>
      <c r="C68" s="16" t="n"/>
      <c r="D68" s="14" t="n"/>
      <c r="E68" s="14" t="n"/>
      <c r="F68" s="15">
        <f>IFERROR(MID($E68,FIND("[",$E68)+1,FIND("]",$E68)-FIND("[",$E68)-1),"")</f>
        <v/>
      </c>
      <c r="G68" s="15">
        <f>IFERROR(INDEX(Personnes!$B$5:$B$153,MATCH($F68,Personnes!$A$5:$A$153,0))&amp;"","")</f>
        <v/>
      </c>
      <c r="H68" s="15">
        <f>IFERROR(INDEX(Personnes!$C$5:$C$153,MATCH($F68,Personnes!$A$5:$A$153,0))&amp;"","")</f>
        <v/>
      </c>
      <c r="I68" s="17" t="n"/>
      <c r="J68" s="18" t="n"/>
      <c r="K68" s="15">
        <f>IF($A68="","",IF($B68="","créneau non reconnu",IF($C68="","date d’effet manquante",IF($D68="","groupe manquant",IF(COUNTIFS($B$5:$B$80,$B68,$C$5:$C$80,$C68,$D$5:$D$80,$D68,$F$5:$F$80,$F68)&gt;1,"doublon créneau/date/groupe/encadrant",IF($F68="","encadrant à désigner","ok"))))))</f>
        <v/>
      </c>
    </row>
    <row r="69">
      <c r="A69" s="14" t="n"/>
      <c r="B69" s="15">
        <f>IFERROR(MID($A69,FIND("[",$A69)+1,FIND("]",$A69)-FIND("[",$A69)-1),"")</f>
        <v/>
      </c>
      <c r="C69" s="16" t="n"/>
      <c r="D69" s="14" t="n"/>
      <c r="E69" s="14" t="n"/>
      <c r="F69" s="15">
        <f>IFERROR(MID($E69,FIND("[",$E69)+1,FIND("]",$E69)-FIND("[",$E69)-1),"")</f>
        <v/>
      </c>
      <c r="G69" s="15">
        <f>IFERROR(INDEX(Personnes!$B$5:$B$153,MATCH($F69,Personnes!$A$5:$A$153,0))&amp;"","")</f>
        <v/>
      </c>
      <c r="H69" s="15">
        <f>IFERROR(INDEX(Personnes!$C$5:$C$153,MATCH($F69,Personnes!$A$5:$A$153,0))&amp;"","")</f>
        <v/>
      </c>
      <c r="I69" s="17" t="n"/>
      <c r="J69" s="18" t="n"/>
      <c r="K69" s="15">
        <f>IF($A69="","",IF($B69="","créneau non reconnu",IF($C69="","date d’effet manquante",IF($D69="","groupe manquant",IF(COUNTIFS($B$5:$B$80,$B69,$C$5:$C$80,$C69,$D$5:$D$80,$D69,$F$5:$F$80,$F69)&gt;1,"doublon créneau/date/groupe/encadrant",IF($F69="","encadrant à désigner","ok"))))))</f>
        <v/>
      </c>
    </row>
    <row r="70">
      <c r="A70" s="14" t="n"/>
      <c r="B70" s="15">
        <f>IFERROR(MID($A70,FIND("[",$A70)+1,FIND("]",$A70)-FIND("[",$A70)-1),"")</f>
        <v/>
      </c>
      <c r="C70" s="16" t="n"/>
      <c r="D70" s="14" t="n"/>
      <c r="E70" s="14" t="n"/>
      <c r="F70" s="15">
        <f>IFERROR(MID($E70,FIND("[",$E70)+1,FIND("]",$E70)-FIND("[",$E70)-1),"")</f>
        <v/>
      </c>
      <c r="G70" s="15">
        <f>IFERROR(INDEX(Personnes!$B$5:$B$153,MATCH($F70,Personnes!$A$5:$A$153,0))&amp;"","")</f>
        <v/>
      </c>
      <c r="H70" s="15">
        <f>IFERROR(INDEX(Personnes!$C$5:$C$153,MATCH($F70,Personnes!$A$5:$A$153,0))&amp;"","")</f>
        <v/>
      </c>
      <c r="I70" s="17" t="n"/>
      <c r="J70" s="18" t="n"/>
      <c r="K70" s="15">
        <f>IF($A70="","",IF($B70="","créneau non reconnu",IF($C70="","date d’effet manquante",IF($D70="","groupe manquant",IF(COUNTIFS($B$5:$B$80,$B70,$C$5:$C$80,$C70,$D$5:$D$80,$D70,$F$5:$F$80,$F70)&gt;1,"doublon créneau/date/groupe/encadrant",IF($F70="","encadrant à désigner","ok"))))))</f>
        <v/>
      </c>
    </row>
    <row r="71">
      <c r="A71" s="14" t="n"/>
      <c r="B71" s="15">
        <f>IFERROR(MID($A71,FIND("[",$A71)+1,FIND("]",$A71)-FIND("[",$A71)-1),"")</f>
        <v/>
      </c>
      <c r="C71" s="16" t="n"/>
      <c r="D71" s="14" t="n"/>
      <c r="E71" s="14" t="n"/>
      <c r="F71" s="15">
        <f>IFERROR(MID($E71,FIND("[",$E71)+1,FIND("]",$E71)-FIND("[",$E71)-1),"")</f>
        <v/>
      </c>
      <c r="G71" s="15">
        <f>IFERROR(INDEX(Personnes!$B$5:$B$153,MATCH($F71,Personnes!$A$5:$A$153,0))&amp;"","")</f>
        <v/>
      </c>
      <c r="H71" s="15">
        <f>IFERROR(INDEX(Personnes!$C$5:$C$153,MATCH($F71,Personnes!$A$5:$A$153,0))&amp;"","")</f>
        <v/>
      </c>
      <c r="I71" s="17" t="n"/>
      <c r="J71" s="18" t="n"/>
      <c r="K71" s="15">
        <f>IF($A71="","",IF($B71="","créneau non reconnu",IF($C71="","date d’effet manquante",IF($D71="","groupe manquant",IF(COUNTIFS($B$5:$B$80,$B71,$C$5:$C$80,$C71,$D$5:$D$80,$D71,$F$5:$F$80,$F71)&gt;1,"doublon créneau/date/groupe/encadrant",IF($F71="","encadrant à désigner","ok"))))))</f>
        <v/>
      </c>
    </row>
    <row r="72">
      <c r="A72" s="14" t="n"/>
      <c r="B72" s="15">
        <f>IFERROR(MID($A72,FIND("[",$A72)+1,FIND("]",$A72)-FIND("[",$A72)-1),"")</f>
        <v/>
      </c>
      <c r="C72" s="16" t="n"/>
      <c r="D72" s="14" t="n"/>
      <c r="E72" s="14" t="n"/>
      <c r="F72" s="15">
        <f>IFERROR(MID($E72,FIND("[",$E72)+1,FIND("]",$E72)-FIND("[",$E72)-1),"")</f>
        <v/>
      </c>
      <c r="G72" s="15">
        <f>IFERROR(INDEX(Personnes!$B$5:$B$153,MATCH($F72,Personnes!$A$5:$A$153,0))&amp;"","")</f>
        <v/>
      </c>
      <c r="H72" s="15">
        <f>IFERROR(INDEX(Personnes!$C$5:$C$153,MATCH($F72,Personnes!$A$5:$A$153,0))&amp;"","")</f>
        <v/>
      </c>
      <c r="I72" s="17" t="n"/>
      <c r="J72" s="18" t="n"/>
      <c r="K72" s="15">
        <f>IF($A72="","",IF($B72="","créneau non reconnu",IF($C72="","date d’effet manquante",IF($D72="","groupe manquant",IF(COUNTIFS($B$5:$B$80,$B72,$C$5:$C$80,$C72,$D$5:$D$80,$D72,$F$5:$F$80,$F72)&gt;1,"doublon créneau/date/groupe/encadrant",IF($F72="","encadrant à désigner","ok"))))))</f>
        <v/>
      </c>
    </row>
    <row r="73">
      <c r="A73" s="14" t="n"/>
      <c r="B73" s="15">
        <f>IFERROR(MID($A73,FIND("[",$A73)+1,FIND("]",$A73)-FIND("[",$A73)-1),"")</f>
        <v/>
      </c>
      <c r="C73" s="16" t="n"/>
      <c r="D73" s="14" t="n"/>
      <c r="E73" s="14" t="n"/>
      <c r="F73" s="15">
        <f>IFERROR(MID($E73,FIND("[",$E73)+1,FIND("]",$E73)-FIND("[",$E73)-1),"")</f>
        <v/>
      </c>
      <c r="G73" s="15">
        <f>IFERROR(INDEX(Personnes!$B$5:$B$153,MATCH($F73,Personnes!$A$5:$A$153,0))&amp;"","")</f>
        <v/>
      </c>
      <c r="H73" s="15">
        <f>IFERROR(INDEX(Personnes!$C$5:$C$153,MATCH($F73,Personnes!$A$5:$A$153,0))&amp;"","")</f>
        <v/>
      </c>
      <c r="I73" s="17" t="n"/>
      <c r="J73" s="18" t="n"/>
      <c r="K73" s="15">
        <f>IF($A73="","",IF($B73="","créneau non reconnu",IF($C73="","date d’effet manquante",IF($D73="","groupe manquant",IF(COUNTIFS($B$5:$B$80,$B73,$C$5:$C$80,$C73,$D$5:$D$80,$D73,$F$5:$F$80,$F73)&gt;1,"doublon créneau/date/groupe/encadrant",IF($F73="","encadrant à désigner","ok"))))))</f>
        <v/>
      </c>
    </row>
    <row r="74">
      <c r="A74" s="14" t="n"/>
      <c r="B74" s="15">
        <f>IFERROR(MID($A74,FIND("[",$A74)+1,FIND("]",$A74)-FIND("[",$A74)-1),"")</f>
        <v/>
      </c>
      <c r="C74" s="16" t="n"/>
      <c r="D74" s="14" t="n"/>
      <c r="E74" s="14" t="n"/>
      <c r="F74" s="15">
        <f>IFERROR(MID($E74,FIND("[",$E74)+1,FIND("]",$E74)-FIND("[",$E74)-1),"")</f>
        <v/>
      </c>
      <c r="G74" s="15">
        <f>IFERROR(INDEX(Personnes!$B$5:$B$153,MATCH($F74,Personnes!$A$5:$A$153,0))&amp;"","")</f>
        <v/>
      </c>
      <c r="H74" s="15">
        <f>IFERROR(INDEX(Personnes!$C$5:$C$153,MATCH($F74,Personnes!$A$5:$A$153,0))&amp;"","")</f>
        <v/>
      </c>
      <c r="I74" s="17" t="n"/>
      <c r="J74" s="18" t="n"/>
      <c r="K74" s="15">
        <f>IF($A74="","",IF($B74="","créneau non reconnu",IF($C74="","date d’effet manquante",IF($D74="","groupe manquant",IF(COUNTIFS($B$5:$B$80,$B74,$C$5:$C$80,$C74,$D$5:$D$80,$D74,$F$5:$F$80,$F74)&gt;1,"doublon créneau/date/groupe/encadrant",IF($F74="","encadrant à désigner","ok"))))))</f>
        <v/>
      </c>
    </row>
    <row r="75">
      <c r="A75" s="14" t="n"/>
      <c r="B75" s="15">
        <f>IFERROR(MID($A75,FIND("[",$A75)+1,FIND("]",$A75)-FIND("[",$A75)-1),"")</f>
        <v/>
      </c>
      <c r="C75" s="16" t="n"/>
      <c r="D75" s="14" t="n"/>
      <c r="E75" s="14" t="n"/>
      <c r="F75" s="15">
        <f>IFERROR(MID($E75,FIND("[",$E75)+1,FIND("]",$E75)-FIND("[",$E75)-1),"")</f>
        <v/>
      </c>
      <c r="G75" s="15">
        <f>IFERROR(INDEX(Personnes!$B$5:$B$153,MATCH($F75,Personnes!$A$5:$A$153,0))&amp;"","")</f>
        <v/>
      </c>
      <c r="H75" s="15">
        <f>IFERROR(INDEX(Personnes!$C$5:$C$153,MATCH($F75,Personnes!$A$5:$A$153,0))&amp;"","")</f>
        <v/>
      </c>
      <c r="I75" s="17" t="n"/>
      <c r="J75" s="18" t="n"/>
      <c r="K75" s="15">
        <f>IF($A75="","",IF($B75="","créneau non reconnu",IF($C75="","date d’effet manquante",IF($D75="","groupe manquant",IF(COUNTIFS($B$5:$B$80,$B75,$C$5:$C$80,$C75,$D$5:$D$80,$D75,$F$5:$F$80,$F75)&gt;1,"doublon créneau/date/groupe/encadrant",IF($F75="","encadrant à désigner","ok"))))))</f>
        <v/>
      </c>
    </row>
    <row r="76">
      <c r="A76" s="14" t="n"/>
      <c r="B76" s="15">
        <f>IFERROR(MID($A76,FIND("[",$A76)+1,FIND("]",$A76)-FIND("[",$A76)-1),"")</f>
        <v/>
      </c>
      <c r="C76" s="16" t="n"/>
      <c r="D76" s="14" t="n"/>
      <c r="E76" s="14" t="n"/>
      <c r="F76" s="15">
        <f>IFERROR(MID($E76,FIND("[",$E76)+1,FIND("]",$E76)-FIND("[",$E76)-1),"")</f>
        <v/>
      </c>
      <c r="G76" s="15">
        <f>IFERROR(INDEX(Personnes!$B$5:$B$153,MATCH($F76,Personnes!$A$5:$A$153,0))&amp;"","")</f>
        <v/>
      </c>
      <c r="H76" s="15">
        <f>IFERROR(INDEX(Personnes!$C$5:$C$153,MATCH($F76,Personnes!$A$5:$A$153,0))&amp;"","")</f>
        <v/>
      </c>
      <c r="I76" s="17" t="n"/>
      <c r="J76" s="18" t="n"/>
      <c r="K76" s="15">
        <f>IF($A76="","",IF($B76="","créneau non reconnu",IF($C76="","date d’effet manquante",IF($D76="","groupe manquant",IF(COUNTIFS($B$5:$B$80,$B76,$C$5:$C$80,$C76,$D$5:$D$80,$D76,$F$5:$F$80,$F76)&gt;1,"doublon créneau/date/groupe/encadrant",IF($F76="","encadrant à désigner","ok"))))))</f>
        <v/>
      </c>
    </row>
    <row r="77">
      <c r="A77" s="14" t="n"/>
      <c r="B77" s="15">
        <f>IFERROR(MID($A77,FIND("[",$A77)+1,FIND("]",$A77)-FIND("[",$A77)-1),"")</f>
        <v/>
      </c>
      <c r="C77" s="16" t="n"/>
      <c r="D77" s="14" t="n"/>
      <c r="E77" s="14" t="n"/>
      <c r="F77" s="15">
        <f>IFERROR(MID($E77,FIND("[",$E77)+1,FIND("]",$E77)-FIND("[",$E77)-1),"")</f>
        <v/>
      </c>
      <c r="G77" s="15">
        <f>IFERROR(INDEX(Personnes!$B$5:$B$153,MATCH($F77,Personnes!$A$5:$A$153,0))&amp;"","")</f>
        <v/>
      </c>
      <c r="H77" s="15">
        <f>IFERROR(INDEX(Personnes!$C$5:$C$153,MATCH($F77,Personnes!$A$5:$A$153,0))&amp;"","")</f>
        <v/>
      </c>
      <c r="I77" s="17" t="n"/>
      <c r="J77" s="18" t="n"/>
      <c r="K77" s="15">
        <f>IF($A77="","",IF($B77="","créneau non reconnu",IF($C77="","date d’effet manquante",IF($D77="","groupe manquant",IF(COUNTIFS($B$5:$B$80,$B77,$C$5:$C$80,$C77,$D$5:$D$80,$D77,$F$5:$F$80,$F77)&gt;1,"doublon créneau/date/groupe/encadrant",IF($F77="","encadrant à désigner","ok"))))))</f>
        <v/>
      </c>
    </row>
    <row r="78">
      <c r="A78" s="14" t="n"/>
      <c r="B78" s="15">
        <f>IFERROR(MID($A78,FIND("[",$A78)+1,FIND("]",$A78)-FIND("[",$A78)-1),"")</f>
        <v/>
      </c>
      <c r="C78" s="16" t="n"/>
      <c r="D78" s="14" t="n"/>
      <c r="E78" s="14" t="n"/>
      <c r="F78" s="15">
        <f>IFERROR(MID($E78,FIND("[",$E78)+1,FIND("]",$E78)-FIND("[",$E78)-1),"")</f>
        <v/>
      </c>
      <c r="G78" s="15">
        <f>IFERROR(INDEX(Personnes!$B$5:$B$153,MATCH($F78,Personnes!$A$5:$A$153,0))&amp;"","")</f>
        <v/>
      </c>
      <c r="H78" s="15">
        <f>IFERROR(INDEX(Personnes!$C$5:$C$153,MATCH($F78,Personnes!$A$5:$A$153,0))&amp;"","")</f>
        <v/>
      </c>
      <c r="I78" s="17" t="n"/>
      <c r="J78" s="18" t="n"/>
      <c r="K78" s="15">
        <f>IF($A78="","",IF($B78="","créneau non reconnu",IF($C78="","date d’effet manquante",IF($D78="","groupe manquant",IF(COUNTIFS($B$5:$B$80,$B78,$C$5:$C$80,$C78,$D$5:$D$80,$D78,$F$5:$F$80,$F78)&gt;1,"doublon créneau/date/groupe/encadrant",IF($F78="","encadrant à désigner","ok"))))))</f>
        <v/>
      </c>
    </row>
    <row r="79">
      <c r="A79" s="14" t="n"/>
      <c r="B79" s="15">
        <f>IFERROR(MID($A79,FIND("[",$A79)+1,FIND("]",$A79)-FIND("[",$A79)-1),"")</f>
        <v/>
      </c>
      <c r="C79" s="16" t="n"/>
      <c r="D79" s="14" t="n"/>
      <c r="E79" s="14" t="n"/>
      <c r="F79" s="15">
        <f>IFERROR(MID($E79,FIND("[",$E79)+1,FIND("]",$E79)-FIND("[",$E79)-1),"")</f>
        <v/>
      </c>
      <c r="G79" s="15">
        <f>IFERROR(INDEX(Personnes!$B$5:$B$153,MATCH($F79,Personnes!$A$5:$A$153,0))&amp;"","")</f>
        <v/>
      </c>
      <c r="H79" s="15">
        <f>IFERROR(INDEX(Personnes!$C$5:$C$153,MATCH($F79,Personnes!$A$5:$A$153,0))&amp;"","")</f>
        <v/>
      </c>
      <c r="I79" s="17" t="n"/>
      <c r="J79" s="18" t="n"/>
      <c r="K79" s="15">
        <f>IF($A79="","",IF($B79="","créneau non reconnu",IF($C79="","date d’effet manquante",IF($D79="","groupe manquant",IF(COUNTIFS($B$5:$B$80,$B79,$C$5:$C$80,$C79,$D$5:$D$80,$D79,$F$5:$F$80,$F79)&gt;1,"doublon créneau/date/groupe/encadrant",IF($F79="","encadrant à désigner","ok"))))))</f>
        <v/>
      </c>
    </row>
    <row r="80">
      <c r="A80" s="14" t="n"/>
      <c r="B80" s="15">
        <f>IFERROR(MID($A80,FIND("[",$A80)+1,FIND("]",$A80)-FIND("[",$A80)-1),"")</f>
        <v/>
      </c>
      <c r="C80" s="16" t="n"/>
      <c r="D80" s="14" t="n"/>
      <c r="E80" s="14" t="n"/>
      <c r="F80" s="15">
        <f>IFERROR(MID($E80,FIND("[",$E80)+1,FIND("]",$E80)-FIND("[",$E80)-1),"")</f>
        <v/>
      </c>
      <c r="G80" s="15">
        <f>IFERROR(INDEX(Personnes!$B$5:$B$153,MATCH($F80,Personnes!$A$5:$A$153,0))&amp;"","")</f>
        <v/>
      </c>
      <c r="H80" s="15">
        <f>IFERROR(INDEX(Personnes!$C$5:$C$153,MATCH($F80,Personnes!$A$5:$A$153,0))&amp;"","")</f>
        <v/>
      </c>
      <c r="I80" s="17" t="n"/>
      <c r="J80" s="18" t="n"/>
      <c r="K80" s="15">
        <f>IF($A80="","",IF($B80="","créneau non reconnu",IF($C80="","date d’effet manquante",IF($D80="","groupe manquant",IF(COUNTIFS($B$5:$B$80,$B80,$C$5:$C$80,$C80,$D$5:$D$80,$D80,$F$5:$F$80,$F80)&gt;1,"doublon créneau/date/groupe/encadrant",IF($F80="","encadrant à désigner","ok"))))))</f>
        <v/>
      </c>
    </row>
  </sheetData>
  <dataValidations count="1">
    <dataValidation sqref="D5:D80" showDropDown="0" showInputMessage="0" showErrorMessage="0" allowBlank="1" type="list">
      <formula1>"L1,L2,L3,L4,LC,DNF,STA"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1F4E5F"/>
    <outlinePr summaryBelow="1" summaryRight="1"/>
    <pageSetUpPr/>
  </sheetPr>
  <dimension ref="A1:K104"/>
  <sheetViews>
    <sheetView workbookViewId="0">
      <pane xSplit="3" ySplit="4" topLeftCell="D61" activePane="bottomRight" state="frozen"/>
      <selection pane="topRight" activeCell="A1" sqref="A1"/>
      <selection pane="bottomLeft" activeCell="A1" sqref="A1"/>
      <selection pane="bottomRight" activeCell="C100" sqref="C100"/>
    </sheetView>
  </sheetViews>
  <sheetFormatPr baseColWidth="10" defaultColWidth="8.83203125" defaultRowHeight="15"/>
  <cols>
    <col width="10" customWidth="1" min="1" max="1"/>
    <col width="22" customWidth="1" min="2" max="2"/>
    <col width="16" customWidth="1" min="3" max="3"/>
    <col width="8" customWidth="1" min="4" max="4"/>
    <col width="14" customWidth="1" min="5" max="5"/>
    <col width="30" customWidth="1" min="6" max="6"/>
    <col width="22" customWidth="1" min="7" max="7"/>
    <col width="30" customWidth="1" min="8" max="8"/>
    <col width="34" customWidth="1" min="9" max="10"/>
    <col width="12" customWidth="1" min="11" max="11"/>
  </cols>
  <sheetData>
    <row r="1" ht="18" customHeight="1">
      <c r="A1" s="4" t="inlineStr">
        <is>
          <t>Personnes — référentiel unique du club</t>
        </is>
      </c>
    </row>
    <row r="2">
      <c r="A2" s="5" t="inlineStr">
        <is>
          <t>Élèves et encadrants dans un seul référentiel. Les deux dernières colonnes alimentent la liste de sélection, triée par prénom.</t>
        </is>
      </c>
    </row>
    <row r="4" ht="32" customHeight="1">
      <c r="A4" s="7" t="inlineStr">
        <is>
          <t>ID</t>
        </is>
      </c>
      <c r="B4" s="7" t="inlineStr">
        <is>
          <t>Nom</t>
        </is>
      </c>
      <c r="C4" s="7" t="inlineStr">
        <is>
          <t>Prénom</t>
        </is>
      </c>
      <c r="D4" s="7" t="inlineStr">
        <is>
          <t>Genre</t>
        </is>
      </c>
      <c r="E4" s="7" t="inlineStr">
        <is>
          <t>Date de naissance</t>
        </is>
      </c>
      <c r="F4" s="7" t="inlineStr">
        <is>
          <t>Courriel</t>
        </is>
      </c>
      <c r="G4" s="7" t="inlineStr">
        <is>
          <t>Statut</t>
        </is>
      </c>
      <c r="H4" s="7" t="inlineStr">
        <is>
          <t>Origine de la donnée</t>
        </is>
      </c>
      <c r="I4" s="7" t="inlineStr">
        <is>
          <t>Commentaire</t>
        </is>
      </c>
      <c r="J4" s="7" t="inlineStr">
        <is>
          <t>Libellé (calculé)</t>
        </is>
      </c>
      <c r="K4" s="7" t="inlineStr">
        <is>
          <t>Rang par prénom (calculé)</t>
        </is>
      </c>
    </row>
    <row r="5" ht="15" customHeight="1">
      <c r="A5" s="8" t="inlineStr">
        <is>
          <t>P100</t>
        </is>
      </c>
      <c r="B5" s="8" t="inlineStr">
        <is>
          <t>AUBERT</t>
        </is>
      </c>
      <c r="C5" s="8" t="inlineStr">
        <is>
          <t>Sebastien</t>
        </is>
      </c>
      <c r="D5" s="9" t="n"/>
      <c r="E5" s="11" t="n"/>
      <c r="F5" s="8" t="n"/>
      <c r="G5" s="9" t="inlineStr">
        <is>
          <t>actif</t>
        </is>
      </c>
      <c r="H5" s="8" t="inlineStr">
        <is>
          <t>Organisation des lignes 2026-2027 (transmis 05/09/2026, complement 06/09/2026)</t>
        </is>
      </c>
      <c r="I5" s="10" t="n"/>
      <c r="J5" s="12">
        <f>IF($A5="","",TRIM(IF($C5="",$B5,$C5&amp;" "&amp;$B5))&amp;" ["&amp;$A5&amp;"]")</f>
        <v/>
      </c>
      <c r="K5" s="12">
        <f>IF($A5="","",COUNTIF(Personnes!$C$5:$C$104,"&lt;"&amp;$C5)+COUNTIF($C$5:$C5,$C5))</f>
        <v/>
      </c>
    </row>
    <row r="6" ht="15" customHeight="1">
      <c r="A6" s="8" t="inlineStr">
        <is>
          <t>P053</t>
        </is>
      </c>
      <c r="B6" s="8" t="inlineStr">
        <is>
          <t>BACHA</t>
        </is>
      </c>
      <c r="C6" s="8" t="inlineStr">
        <is>
          <t>Achour</t>
        </is>
      </c>
      <c r="D6" s="9" t="n"/>
      <c r="E6" s="11" t="n"/>
      <c r="F6" s="8" t="n"/>
      <c r="G6" s="9" t="inlineStr">
        <is>
          <t>actif</t>
        </is>
      </c>
      <c r="H6" s="8" t="inlineStr">
        <is>
          <t>Planning encadrement 2026-27, groupe Stagiaire</t>
        </is>
      </c>
      <c r="I6" s="10" t="inlineStr">
        <is>
          <t>Prénom seul ou surnom : nom de famille à compléter</t>
        </is>
      </c>
      <c r="J6" s="12">
        <f>IF($A6="","",TRIM(IF($C6="",$B6,$C6&amp;" "&amp;$B6))&amp;" ["&amp;$A6&amp;"]")</f>
        <v/>
      </c>
      <c r="K6" s="12">
        <f>IF($A6="","",COUNTIF(Personnes!$C$5:$C$104,"&lt;"&amp;$C6)+COUNTIF($C$5:$C6,$C6))</f>
        <v/>
      </c>
    </row>
    <row r="7" ht="15" customHeight="1">
      <c r="A7" s="8" t="inlineStr">
        <is>
          <t>P003</t>
        </is>
      </c>
      <c r="B7" s="8" t="inlineStr">
        <is>
          <t>BARBIER</t>
        </is>
      </c>
      <c r="C7" s="8" t="inlineStr">
        <is>
          <t>Aurelien</t>
        </is>
      </c>
      <c r="D7" s="9" t="n"/>
      <c r="E7" s="11" t="n"/>
      <c r="F7" s="8" t="n"/>
      <c r="G7" s="9" t="inlineStr">
        <is>
          <t>actif</t>
        </is>
      </c>
      <c r="H7" s="8" t="inlineStr">
        <is>
          <t>Classeur Suivi Apnéistes L3 2025-2026</t>
        </is>
      </c>
      <c r="I7" s="10" t="n"/>
      <c r="J7" s="12">
        <f>IF($A7="","",TRIM(IF($C7="",$B7,$C7&amp;" "&amp;$B7))&amp;" ["&amp;$A7&amp;"]")</f>
        <v/>
      </c>
      <c r="K7" s="12">
        <f>IF($A7="","",COUNTIF(Personnes!$C$5:$C$104,"&lt;"&amp;$C7)+COUNTIF($C$5:$C7,$C7))</f>
        <v/>
      </c>
    </row>
    <row r="8" ht="15" customHeight="1">
      <c r="A8" s="8" t="inlineStr">
        <is>
          <t>P076</t>
        </is>
      </c>
      <c r="B8" s="8" t="inlineStr">
        <is>
          <t>BAUTISTA</t>
        </is>
      </c>
      <c r="C8" s="8" t="inlineStr">
        <is>
          <t>Mary</t>
        </is>
      </c>
      <c r="D8" s="9" t="n"/>
      <c r="E8" s="11" t="n"/>
      <c r="F8" s="8" t="n"/>
      <c r="G8" s="9" t="inlineStr">
        <is>
          <t>actif</t>
        </is>
      </c>
      <c r="H8" s="8" t="inlineStr">
        <is>
          <t>Organisation des lignes 2026-2027 (transmis 05/09/2026, complement 06/09/2026)</t>
        </is>
      </c>
      <c r="I8" s="10" t="n"/>
      <c r="J8" s="12">
        <f>IF($A8="","",TRIM(IF($C8="",$B8,$C8&amp;" "&amp;$B8))&amp;" ["&amp;$A8&amp;"]")</f>
        <v/>
      </c>
      <c r="K8" s="12">
        <f>IF($A8="","",COUNTIF(Personnes!$C$5:$C$104,"&lt;"&amp;$C8)+COUNTIF($C$5:$C8,$C8))</f>
        <v/>
      </c>
    </row>
    <row r="9" ht="15" customHeight="1">
      <c r="A9" s="8" t="inlineStr">
        <is>
          <t>P030</t>
        </is>
      </c>
      <c r="B9" s="8" t="inlineStr">
        <is>
          <t>BEAUVALLET</t>
        </is>
      </c>
      <c r="C9" s="8" t="inlineStr">
        <is>
          <t>Dominique</t>
        </is>
      </c>
      <c r="D9" s="9" t="n"/>
      <c r="E9" s="11" t="n"/>
      <c r="F9" s="8" t="inlineStr">
        <is>
          <t>dombeauvallet@free.fr</t>
        </is>
      </c>
      <c r="G9" s="9" t="inlineStr">
        <is>
          <t>actif</t>
        </is>
      </c>
      <c r="H9" s="8" t="inlineStr">
        <is>
          <t>Planning encadrement 2026-27, groupe L1</t>
        </is>
      </c>
      <c r="I9" s="10" t="inlineStr">
        <is>
          <t>dit Dom</t>
        </is>
      </c>
      <c r="J9" s="12">
        <f>IF($A9="","",TRIM(IF($C9="",$B9,$C9&amp;" "&amp;$B9))&amp;" ["&amp;$A9&amp;"]")</f>
        <v/>
      </c>
      <c r="K9" s="12">
        <f>IF($A9="","",COUNTIF(Personnes!$C$5:$C$104,"&lt;"&amp;$C9)+COUNTIF($C$5:$C9,$C9))</f>
        <v/>
      </c>
    </row>
    <row r="10" ht="15" customHeight="1">
      <c r="A10" s="8" t="inlineStr">
        <is>
          <t>P019</t>
        </is>
      </c>
      <c r="B10" s="8" t="inlineStr">
        <is>
          <t>BECHARA</t>
        </is>
      </c>
      <c r="C10" s="8" t="inlineStr">
        <is>
          <t>Lionel</t>
        </is>
      </c>
      <c r="D10" s="9" t="n"/>
      <c r="E10" s="11" t="n"/>
      <c r="F10" s="8" t="n"/>
      <c r="G10" s="9" t="inlineStr">
        <is>
          <t>actif</t>
        </is>
      </c>
      <c r="H10" s="8" t="inlineStr">
        <is>
          <t>Classeur Suivi Apnéistes L3 2025-2026</t>
        </is>
      </c>
      <c r="I10" s="10" t="n"/>
      <c r="J10" s="12">
        <f>IF($A10="","",TRIM(IF($C10="",$B10,$C10&amp;" "&amp;$B10))&amp;" ["&amp;$A10&amp;"]")</f>
        <v/>
      </c>
      <c r="K10" s="12">
        <f>IF($A10="","",COUNTIF(Personnes!$C$5:$C$104,"&lt;"&amp;$C10)+COUNTIF($C$5:$C10,$C10))</f>
        <v/>
      </c>
    </row>
    <row r="11" ht="15" customHeight="1">
      <c r="A11" s="8" t="inlineStr">
        <is>
          <t>P101</t>
        </is>
      </c>
      <c r="B11" s="8" t="inlineStr">
        <is>
          <t>BELHADJ KACEM</t>
        </is>
      </c>
      <c r="C11" s="8" t="inlineStr">
        <is>
          <t>Mohammed</t>
        </is>
      </c>
      <c r="D11" s="9" t="n"/>
      <c r="E11" s="11" t="n"/>
      <c r="F11" s="8" t="n"/>
      <c r="G11" s="9" t="inlineStr">
        <is>
          <t>actif</t>
        </is>
      </c>
      <c r="H11" s="8" t="inlineStr">
        <is>
          <t>Organisation des lignes 2026-2027 (transmis 05/09/2026, complement 06/09/2026)</t>
        </is>
      </c>
      <c r="I11" s="10" t="n"/>
      <c r="J11" s="12">
        <f>IF($A11="","",TRIM(IF($C11="",$B11,$C11&amp;" "&amp;$B11))&amp;" ["&amp;$A11&amp;"]")</f>
        <v/>
      </c>
      <c r="K11" s="12">
        <f>IF($A11="","",COUNTIF(Personnes!$C$5:$C$104,"&lt;"&amp;$C11)+COUNTIF($C$5:$C11,$C11))</f>
        <v/>
      </c>
    </row>
    <row r="12" ht="15" customHeight="1">
      <c r="A12" s="8" t="inlineStr">
        <is>
          <t>P077</t>
        </is>
      </c>
      <c r="B12" s="8" t="inlineStr">
        <is>
          <t>BENDER</t>
        </is>
      </c>
      <c r="C12" s="8" t="inlineStr">
        <is>
          <t>Marc</t>
        </is>
      </c>
      <c r="D12" s="9" t="n"/>
      <c r="E12" s="11" t="n"/>
      <c r="F12" s="8" t="n"/>
      <c r="G12" s="9" t="inlineStr">
        <is>
          <t>actif</t>
        </is>
      </c>
      <c r="H12" s="8" t="inlineStr">
        <is>
          <t>Organisation des lignes 2026-2027 (transmis 05/09/2026, complement 06/09/2026)</t>
        </is>
      </c>
      <c r="I12" s="10" t="n"/>
      <c r="J12" s="12">
        <f>IF($A12="","",TRIM(IF($C12="",$B12,$C12&amp;" "&amp;$B12))&amp;" ["&amp;$A12&amp;"]")</f>
        <v/>
      </c>
      <c r="K12" s="12">
        <f>IF($A12="","",COUNTIF(Personnes!$C$5:$C$104,"&lt;"&amp;$C12)+COUNTIF($C$5:$C12,$C12))</f>
        <v/>
      </c>
    </row>
    <row r="13" ht="15" customHeight="1">
      <c r="A13" s="8" t="inlineStr">
        <is>
          <t>P055</t>
        </is>
      </c>
      <c r="B13" s="8" t="inlineStr">
        <is>
          <t>BENMANSOUR</t>
        </is>
      </c>
      <c r="C13" s="8" t="inlineStr">
        <is>
          <t>Ouafa</t>
        </is>
      </c>
      <c r="D13" s="9" t="n"/>
      <c r="E13" s="11" t="n"/>
      <c r="F13" s="8" t="inlineStr">
        <is>
          <t>Amiwafa77@yahoo.fr</t>
        </is>
      </c>
      <c r="G13" s="9" t="inlineStr">
        <is>
          <t>actif</t>
        </is>
      </c>
      <c r="H13" s="8" t="inlineStr">
        <is>
          <t>Planning encadrement 2026-27, groupe —</t>
        </is>
      </c>
      <c r="I13" s="10" t="inlineStr">
        <is>
          <t>Prénom seul ou surnom : nom de famille à compléter</t>
        </is>
      </c>
      <c r="J13" s="12">
        <f>IF($A13="","",TRIM(IF($C13="",$B13,$C13&amp;" "&amp;$B13))&amp;" ["&amp;$A13&amp;"]")</f>
        <v/>
      </c>
      <c r="K13" s="12">
        <f>IF($A13="","",COUNTIF(Personnes!$C$5:$C$104,"&lt;"&amp;$C13)+COUNTIF($C$5:$C13,$C13))</f>
        <v/>
      </c>
    </row>
    <row r="14" ht="15" customHeight="1">
      <c r="A14" s="8" t="inlineStr">
        <is>
          <t>P035</t>
        </is>
      </c>
      <c r="B14" s="8" t="inlineStr">
        <is>
          <t>BEYL</t>
        </is>
      </c>
      <c r="C14" s="8" t="inlineStr">
        <is>
          <t>Gabrielle</t>
        </is>
      </c>
      <c r="D14" s="9" t="n"/>
      <c r="E14" s="11" t="n"/>
      <c r="F14" s="8" t="inlineStr">
        <is>
          <t>g.beyl@outlook.fr</t>
        </is>
      </c>
      <c r="G14" s="9" t="inlineStr">
        <is>
          <t>actif</t>
        </is>
      </c>
      <c r="H14" s="8" t="inlineStr">
        <is>
          <t>Planning encadrement 2026-27, groupe L3</t>
        </is>
      </c>
      <c r="I14" s="10" t="inlineStr">
        <is>
          <t>Prénom seul ou surnom : nom de famille à compléter</t>
        </is>
      </c>
      <c r="J14" s="12">
        <f>IF($A14="","",TRIM(IF($C14="",$B14,$C14&amp;" "&amp;$B14))&amp;" ["&amp;$A14&amp;"]")</f>
        <v/>
      </c>
      <c r="K14" s="12">
        <f>IF($A14="","",COUNTIF(Personnes!$C$5:$C$104,"&lt;"&amp;$C14)+COUNTIF($C$5:$C14,$C14))</f>
        <v/>
      </c>
    </row>
    <row r="15" ht="15" customHeight="1">
      <c r="A15" s="8" t="inlineStr">
        <is>
          <t>P078</t>
        </is>
      </c>
      <c r="B15" s="8" t="inlineStr">
        <is>
          <t>BEZICOT</t>
        </is>
      </c>
      <c r="C15" s="8" t="inlineStr">
        <is>
          <t>Patrick</t>
        </is>
      </c>
      <c r="D15" s="9" t="n"/>
      <c r="E15" s="11" t="n"/>
      <c r="F15" s="8" t="n"/>
      <c r="G15" s="9" t="inlineStr">
        <is>
          <t>actif</t>
        </is>
      </c>
      <c r="H15" s="8" t="inlineStr">
        <is>
          <t>Organisation des lignes 2026-2027 (transmis 05/09/2026, complement 06/09/2026)</t>
        </is>
      </c>
      <c r="I15" s="10" t="n"/>
      <c r="J15" s="12">
        <f>IF($A15="","",TRIM(IF($C15="",$B15,$C15&amp;" "&amp;$B15))&amp;" ["&amp;$A15&amp;"]")</f>
        <v/>
      </c>
      <c r="K15" s="12">
        <f>IF($A15="","",COUNTIF(Personnes!$C$5:$C$104,"&lt;"&amp;$C15)+COUNTIF($C$5:$C15,$C15))</f>
        <v/>
      </c>
    </row>
    <row r="16" ht="15" customHeight="1">
      <c r="A16" s="8" t="inlineStr">
        <is>
          <t>P079</t>
        </is>
      </c>
      <c r="B16" s="8" t="inlineStr">
        <is>
          <t>BIZON</t>
        </is>
      </c>
      <c r="C16" s="8" t="inlineStr">
        <is>
          <t>Christophe</t>
        </is>
      </c>
      <c r="D16" s="9" t="n"/>
      <c r="E16" s="11" t="n"/>
      <c r="F16" s="8" t="n"/>
      <c r="G16" s="9" t="inlineStr">
        <is>
          <t>actif</t>
        </is>
      </c>
      <c r="H16" s="8" t="inlineStr">
        <is>
          <t>Organisation des lignes 2026-2027 (transmis 05/09/2026, complement 06/09/2026)</t>
        </is>
      </c>
      <c r="I16" s="10" t="n"/>
      <c r="J16" s="12">
        <f>IF($A16="","",TRIM(IF($C16="",$B16,$C16&amp;" "&amp;$B16))&amp;" ["&amp;$A16&amp;"]")</f>
        <v/>
      </c>
      <c r="K16" s="12">
        <f>IF($A16="","",COUNTIF(Personnes!$C$5:$C$104,"&lt;"&amp;$C16)+COUNTIF($C$5:$C16,$C16))</f>
        <v/>
      </c>
    </row>
    <row r="17" ht="15" customHeight="1">
      <c r="A17" s="8" t="inlineStr">
        <is>
          <t>P060</t>
        </is>
      </c>
      <c r="B17" s="8" t="inlineStr">
        <is>
          <t>BOUGEROL</t>
        </is>
      </c>
      <c r="C17" s="8" t="inlineStr">
        <is>
          <t>Bruno</t>
        </is>
      </c>
      <c r="D17" s="9" t="n"/>
      <c r="E17" s="11" t="n"/>
      <c r="F17" s="8" t="inlineStr">
        <is>
          <t>b_bougerol@yahoo.fr</t>
        </is>
      </c>
      <c r="G17" s="9" t="inlineStr">
        <is>
          <t>actif</t>
        </is>
      </c>
      <c r="H17" s="8" t="inlineStr">
        <is>
          <t>Planning encadrement 2026-27, groupe —</t>
        </is>
      </c>
      <c r="I17" s="10" t="inlineStr">
        <is>
          <t>Prénom seul ou surnom : nom de famille à compléter</t>
        </is>
      </c>
      <c r="J17" s="12">
        <f>IF($A17="","",TRIM(IF($C17="",$B17,$C17&amp;" "&amp;$B17))&amp;" ["&amp;$A17&amp;"]")</f>
        <v/>
      </c>
      <c r="K17" s="12">
        <f>IF($A17="","",COUNTIF(Personnes!$C$5:$C$104,"&lt;"&amp;$C17)+COUNTIF($C$5:$C17,$C17))</f>
        <v/>
      </c>
    </row>
    <row r="18" ht="15" customHeight="1">
      <c r="A18" s="8" t="inlineStr">
        <is>
          <t>P068</t>
        </is>
      </c>
      <c r="B18" s="8" t="inlineStr">
        <is>
          <t>BOUHAMMOU</t>
        </is>
      </c>
      <c r="C18" s="8" t="inlineStr">
        <is>
          <t>Salman</t>
        </is>
      </c>
      <c r="D18" s="9" t="n"/>
      <c r="E18" s="11" t="n"/>
      <c r="F18" s="8" t="n"/>
      <c r="G18" s="9" t="inlineStr">
        <is>
          <t>actif</t>
        </is>
      </c>
      <c r="H18" s="8" t="inlineStr">
        <is>
          <t>Organisation des lignes 2026-2027 (Craft.me, transmis 05/09/2026)</t>
        </is>
      </c>
      <c r="I18" s="10" t="n"/>
      <c r="J18" s="12">
        <f>IF($A18="","",TRIM(IF($C18="",$B18,$C18&amp;" "&amp;$B18))&amp;" ["&amp;$A18&amp;"]")</f>
        <v/>
      </c>
      <c r="K18" s="12">
        <f>IF($A18="","",COUNTIF(Personnes!$C$5:$C$104,"&lt;"&amp;$C18)+COUNTIF($C$5:$C18,$C18))</f>
        <v/>
      </c>
    </row>
    <row r="19" ht="15" customHeight="1">
      <c r="A19" s="8" t="inlineStr">
        <is>
          <t>P049</t>
        </is>
      </c>
      <c r="B19" s="8" t="inlineStr">
        <is>
          <t>BOULANT</t>
        </is>
      </c>
      <c r="C19" s="8" t="inlineStr">
        <is>
          <t>Guillaume</t>
        </is>
      </c>
      <c r="D19" s="9" t="n"/>
      <c r="E19" s="11" t="n"/>
      <c r="F19" s="8" t="inlineStr">
        <is>
          <t>gboulant@gmail.com</t>
        </is>
      </c>
      <c r="G19" s="9" t="inlineStr">
        <is>
          <t>actif</t>
        </is>
      </c>
      <c r="H19" s="8" t="inlineStr">
        <is>
          <t>Planning encadrement 2026-27, groupe STA 2</t>
        </is>
      </c>
      <c r="I19" s="10" t="inlineStr">
        <is>
          <t>Prénom seul ou surnom : nom de famille à compléter</t>
        </is>
      </c>
      <c r="J19" s="12">
        <f>IF($A19="","",TRIM(IF($C19="",$B19,$C19&amp;" "&amp;$B19))&amp;" ["&amp;$A19&amp;"]")</f>
        <v/>
      </c>
      <c r="K19" s="12">
        <f>IF($A19="","",COUNTIF(Personnes!$C$5:$C$104,"&lt;"&amp;$C19)+COUNTIF($C$5:$C19,$C19))</f>
        <v/>
      </c>
    </row>
    <row r="20" ht="15" customHeight="1">
      <c r="A20" s="8" t="inlineStr">
        <is>
          <t>P080</t>
        </is>
      </c>
      <c r="B20" s="8" t="inlineStr">
        <is>
          <t>BRIAULT</t>
        </is>
      </c>
      <c r="C20" s="8" t="inlineStr">
        <is>
          <t>Beverly</t>
        </is>
      </c>
      <c r="D20" s="9" t="n"/>
      <c r="E20" s="11" t="n"/>
      <c r="F20" s="8" t="n"/>
      <c r="G20" s="9" t="inlineStr">
        <is>
          <t>actif</t>
        </is>
      </c>
      <c r="H20" s="8" t="inlineStr">
        <is>
          <t>Organisation des lignes 2026-2027 (transmis 05/09/2026, complement 06/09/2026)</t>
        </is>
      </c>
      <c r="I20" s="10" t="n"/>
      <c r="J20" s="12">
        <f>IF($A20="","",TRIM(IF($C20="",$B20,$C20&amp;" "&amp;$B20))&amp;" ["&amp;$A20&amp;"]")</f>
        <v/>
      </c>
      <c r="K20" s="12">
        <f>IF($A20="","",COUNTIF(Personnes!$C$5:$C$104,"&lt;"&amp;$C20)+COUNTIF($C$5:$C20,$C20))</f>
        <v/>
      </c>
    </row>
    <row r="21" ht="15" customHeight="1">
      <c r="A21" s="8" t="inlineStr">
        <is>
          <t>P056</t>
        </is>
      </c>
      <c r="B21" s="8" t="inlineStr">
        <is>
          <t>BRIDENNE</t>
        </is>
      </c>
      <c r="C21" s="8" t="inlineStr">
        <is>
          <t>Philippe</t>
        </is>
      </c>
      <c r="D21" s="9" t="n"/>
      <c r="E21" s="11" t="n"/>
      <c r="F21" s="8" t="inlineStr">
        <is>
          <t>philippe.bridenne@gmail.com</t>
        </is>
      </c>
      <c r="G21" s="9" t="inlineStr">
        <is>
          <t>actif</t>
        </is>
      </c>
      <c r="H21" s="8" t="inlineStr">
        <is>
          <t>Planning encadrement 2026-27, groupe —</t>
        </is>
      </c>
      <c r="I21" s="10" t="inlineStr">
        <is>
          <t>Prénom seul ou surnom : nom de famille à compléter</t>
        </is>
      </c>
      <c r="J21" s="12">
        <f>IF($A21="","",TRIM(IF($C21="",$B21,$C21&amp;" "&amp;$B21))&amp;" ["&amp;$A21&amp;"]")</f>
        <v/>
      </c>
      <c r="K21" s="12">
        <f>IF($A21="","",COUNTIF(Personnes!$C$5:$C$104,"&lt;"&amp;$C21)+COUNTIF($C$5:$C21,$C21))</f>
        <v/>
      </c>
    </row>
    <row r="22" ht="15" customHeight="1">
      <c r="A22" s="8" t="inlineStr">
        <is>
          <t>P081</t>
        </is>
      </c>
      <c r="B22" s="8" t="inlineStr">
        <is>
          <t>CATHALA</t>
        </is>
      </c>
      <c r="C22" s="8" t="inlineStr">
        <is>
          <t>Virginie</t>
        </is>
      </c>
      <c r="D22" s="9" t="n"/>
      <c r="E22" s="11" t="n"/>
      <c r="F22" s="8" t="n"/>
      <c r="G22" s="9" t="inlineStr">
        <is>
          <t>actif</t>
        </is>
      </c>
      <c r="H22" s="8" t="inlineStr">
        <is>
          <t>Organisation des lignes 2026-2027 (transmis 05/09/2026, complement 06/09/2026)</t>
        </is>
      </c>
      <c r="I22" s="10" t="n"/>
      <c r="J22" s="12">
        <f>IF($A22="","",TRIM(IF($C22="",$B22,$C22&amp;" "&amp;$B22))&amp;" ["&amp;$A22&amp;"]")</f>
        <v/>
      </c>
      <c r="K22" s="12">
        <f>IF($A22="","",COUNTIF(Personnes!$C$5:$C$104,"&lt;"&amp;$C22)+COUNTIF($C$5:$C22,$C22))</f>
        <v/>
      </c>
    </row>
    <row r="23" ht="15" customHeight="1">
      <c r="A23" s="8" t="inlineStr">
        <is>
          <t>P069</t>
        </is>
      </c>
      <c r="B23" s="8" t="inlineStr">
        <is>
          <t>CAVATORE</t>
        </is>
      </c>
      <c r="C23" s="8" t="inlineStr">
        <is>
          <t>Magali</t>
        </is>
      </c>
      <c r="D23" s="9" t="n"/>
      <c r="E23" s="11" t="n"/>
      <c r="F23" s="8" t="n"/>
      <c r="G23" s="9" t="inlineStr">
        <is>
          <t>actif</t>
        </is>
      </c>
      <c r="H23" s="8" t="inlineStr">
        <is>
          <t>Organisation des lignes 2026-2027 (Craft.me, transmis 05/09/2026)</t>
        </is>
      </c>
      <c r="I23" s="10" t="n"/>
      <c r="J23" s="12">
        <f>IF($A23="","",TRIM(IF($C23="",$B23,$C23&amp;" "&amp;$B23))&amp;" ["&amp;$A23&amp;"]")</f>
        <v/>
      </c>
      <c r="K23" s="12">
        <f>IF($A23="","",COUNTIF(Personnes!$C$5:$C$104,"&lt;"&amp;$C23)+COUNTIF($C$5:$C23,$C23))</f>
        <v/>
      </c>
    </row>
    <row r="24" ht="15" customHeight="1">
      <c r="A24" s="8" t="inlineStr">
        <is>
          <t>P097</t>
        </is>
      </c>
      <c r="B24" s="8" t="inlineStr">
        <is>
          <t>CHABERNAUD</t>
        </is>
      </c>
      <c r="C24" s="8" t="inlineStr">
        <is>
          <t>Christophe</t>
        </is>
      </c>
      <c r="D24" s="9" t="n"/>
      <c r="E24" s="11" t="n"/>
      <c r="F24" s="8" t="n"/>
      <c r="G24" s="9" t="inlineStr">
        <is>
          <t>actif</t>
        </is>
      </c>
      <c r="H24" s="8" t="inlineStr">
        <is>
          <t>Organisation des lignes 2026-2027 (transmis 05/09/2026, complement 06/09/2026)</t>
        </is>
      </c>
      <c r="I24" s="10" t="n"/>
      <c r="J24" s="12">
        <f>IF($A24="","",TRIM(IF($C24="",$B24,$C24&amp;" "&amp;$B24))&amp;" ["&amp;$A24&amp;"]")</f>
        <v/>
      </c>
      <c r="K24" s="12">
        <f>IF($A24="","",COUNTIF(Personnes!$C$5:$C$104,"&lt;"&amp;$C24)+COUNTIF($C$5:$C24,$C24))</f>
        <v/>
      </c>
    </row>
    <row r="25" ht="15" customHeight="1">
      <c r="A25" s="8" t="inlineStr">
        <is>
          <t>P031</t>
        </is>
      </c>
      <c r="B25" s="8" t="inlineStr">
        <is>
          <t>CHARDONNET</t>
        </is>
      </c>
      <c r="C25" s="8" t="inlineStr">
        <is>
          <t>Victorinne</t>
        </is>
      </c>
      <c r="D25" s="9" t="n"/>
      <c r="E25" s="11" t="n"/>
      <c r="F25" s="8" t="inlineStr">
        <is>
          <t>chardonnetvictorine@gmail.com</t>
        </is>
      </c>
      <c r="G25" s="9" t="inlineStr">
        <is>
          <t>actif</t>
        </is>
      </c>
      <c r="H25" s="8" t="inlineStr">
        <is>
          <t>Planning encadrement 2026-27, groupe L1</t>
        </is>
      </c>
      <c r="I25" s="10" t="inlineStr">
        <is>
          <t>Prénom seul ou surnom : nom de famille à compléter</t>
        </is>
      </c>
      <c r="J25" s="12">
        <f>IF($A25="","",TRIM(IF($C25="",$B25,$C25&amp;" "&amp;$B25))&amp;" ["&amp;$A25&amp;"]")</f>
        <v/>
      </c>
      <c r="K25" s="12">
        <f>IF($A25="","",COUNTIF(Personnes!$C$5:$C$104,"&lt;"&amp;$C25)+COUNTIF($C$5:$C25,$C25))</f>
        <v/>
      </c>
    </row>
    <row r="26" ht="15" customHeight="1">
      <c r="A26" s="8" t="inlineStr">
        <is>
          <t>P022</t>
        </is>
      </c>
      <c r="B26" s="8" t="inlineStr">
        <is>
          <t>CHIARAMONTE</t>
        </is>
      </c>
      <c r="C26" s="8" t="inlineStr">
        <is>
          <t>Matthieu</t>
        </is>
      </c>
      <c r="D26" s="9" t="n"/>
      <c r="E26" s="11" t="n"/>
      <c r="F26" s="8" t="n"/>
      <c r="G26" s="9" t="inlineStr">
        <is>
          <t>actif</t>
        </is>
      </c>
      <c r="H26" s="8" t="inlineStr">
        <is>
          <t>Classeur Suivi Apnéistes L3 2025-2026</t>
        </is>
      </c>
      <c r="I26" s="10" t="n"/>
      <c r="J26" s="12">
        <f>IF($A26="","",TRIM(IF($C26="",$B26,$C26&amp;" "&amp;$B26))&amp;" ["&amp;$A26&amp;"]")</f>
        <v/>
      </c>
      <c r="K26" s="12">
        <f>IF($A26="","",COUNTIF(Personnes!$C$5:$C$104,"&lt;"&amp;$C26)+COUNTIF($C$5:$C26,$C26))</f>
        <v/>
      </c>
    </row>
    <row r="27" ht="15" customHeight="1">
      <c r="A27" s="8" t="inlineStr">
        <is>
          <t>P082</t>
        </is>
      </c>
      <c r="B27" s="8" t="inlineStr">
        <is>
          <t>CODAZZO</t>
        </is>
      </c>
      <c r="C27" s="8" t="inlineStr">
        <is>
          <t>Franco</t>
        </is>
      </c>
      <c r="D27" s="9" t="n"/>
      <c r="E27" s="11" t="n"/>
      <c r="F27" s="8" t="n"/>
      <c r="G27" s="9" t="inlineStr">
        <is>
          <t>actif</t>
        </is>
      </c>
      <c r="H27" s="8" t="inlineStr">
        <is>
          <t>Organisation des lignes 2026-2027 (transmis 05/09/2026, complement 06/09/2026)</t>
        </is>
      </c>
      <c r="I27" s="10" t="n"/>
      <c r="J27" s="12">
        <f>IF($A27="","",TRIM(IF($C27="",$B27,$C27&amp;" "&amp;$B27))&amp;" ["&amp;$A27&amp;"]")</f>
        <v/>
      </c>
      <c r="K27" s="12">
        <f>IF($A27="","",COUNTIF(Personnes!$C$5:$C$104,"&lt;"&amp;$C27)+COUNTIF($C$5:$C27,$C27))</f>
        <v/>
      </c>
    </row>
    <row r="28" ht="15" customHeight="1">
      <c r="A28" s="8" t="inlineStr">
        <is>
          <t>P006</t>
        </is>
      </c>
      <c r="B28" s="8" t="inlineStr">
        <is>
          <t>COLIN DE VERDIERE</t>
        </is>
      </c>
      <c r="C28" s="8" t="inlineStr">
        <is>
          <t>Caroline</t>
        </is>
      </c>
      <c r="D28" s="9" t="n"/>
      <c r="E28" s="11" t="n"/>
      <c r="F28" s="8" t="inlineStr">
        <is>
          <t>treso.apneeattitude@outlook.com</t>
        </is>
      </c>
      <c r="G28" s="9" t="inlineStr">
        <is>
          <t>actif</t>
        </is>
      </c>
      <c r="H28" s="8" t="inlineStr">
        <is>
          <t>Classeur Suivi Apnéistes L3 2025-2026</t>
        </is>
      </c>
      <c r="I28" s="10" t="n"/>
      <c r="J28" s="12">
        <f>IF($A28="","",TRIM(IF($C28="",$B28,$C28&amp;" "&amp;$B28))&amp;" ["&amp;$A28&amp;"]")</f>
        <v/>
      </c>
      <c r="K28" s="12">
        <f>IF($A28="","",COUNTIF(Personnes!$C$5:$C$104,"&lt;"&amp;$C28)+COUNTIF($C$5:$C28,$C28))</f>
        <v/>
      </c>
    </row>
    <row r="29" ht="15" customHeight="1">
      <c r="A29" s="8" t="inlineStr">
        <is>
          <t>P011</t>
        </is>
      </c>
      <c r="B29" s="8" t="inlineStr">
        <is>
          <t>COLIN DE VERDIERE</t>
        </is>
      </c>
      <c r="C29" s="8" t="inlineStr">
        <is>
          <t>Etienne</t>
        </is>
      </c>
      <c r="D29" s="9" t="n"/>
      <c r="E29" s="11" t="n"/>
      <c r="F29" s="8" t="inlineStr">
        <is>
          <t>e.cdv@free.fr</t>
        </is>
      </c>
      <c r="G29" s="9" t="inlineStr">
        <is>
          <t>actif</t>
        </is>
      </c>
      <c r="H29" s="8" t="inlineStr">
        <is>
          <t>Classeur Suivi Apnéistes L3 2025-2026</t>
        </is>
      </c>
      <c r="I29" s="10" t="n"/>
      <c r="J29" s="12">
        <f>IF($A29="","",TRIM(IF($C29="",$B29,$C29&amp;" "&amp;$B29))&amp;" ["&amp;$A29&amp;"]")</f>
        <v/>
      </c>
      <c r="K29" s="12">
        <f>IF($A29="","",COUNTIF(Personnes!$C$5:$C$104,"&lt;"&amp;$C29)+COUNTIF($C$5:$C29,$C29))</f>
        <v/>
      </c>
    </row>
    <row r="30" ht="15" customHeight="1">
      <c r="A30" s="8" t="inlineStr">
        <is>
          <t>P057</t>
        </is>
      </c>
      <c r="B30" s="8" t="inlineStr">
        <is>
          <t>COLIN DE VERDIERE</t>
        </is>
      </c>
      <c r="C30" s="8" t="inlineStr">
        <is>
          <t>Antoine</t>
        </is>
      </c>
      <c r="D30" s="9" t="n"/>
      <c r="E30" s="11" t="n"/>
      <c r="F30" s="8" t="inlineStr">
        <is>
          <t>antoinecdv@gmail.com</t>
        </is>
      </c>
      <c r="G30" s="9" t="inlineStr">
        <is>
          <t>actif</t>
        </is>
      </c>
      <c r="H30" s="8" t="inlineStr">
        <is>
          <t>Planning encadrement 2026-27, groupe —</t>
        </is>
      </c>
      <c r="I30" s="10" t="inlineStr">
        <is>
          <t>Prénom seul ou surnom : nom de famille à compléter</t>
        </is>
      </c>
      <c r="J30" s="12">
        <f>IF($A30="","",TRIM(IF($C30="",$B30,$C30&amp;" "&amp;$B30))&amp;" ["&amp;$A30&amp;"]")</f>
        <v/>
      </c>
      <c r="K30" s="12">
        <f>IF($A30="","",COUNTIF(Personnes!$C$5:$C$104,"&lt;"&amp;$C30)+COUNTIF($C$5:$C30,$C30))</f>
        <v/>
      </c>
    </row>
    <row r="31" ht="15" customHeight="1">
      <c r="A31" s="8" t="inlineStr">
        <is>
          <t>P063</t>
        </is>
      </c>
      <c r="B31" s="8" t="inlineStr">
        <is>
          <t>COLLINET</t>
        </is>
      </c>
      <c r="C31" s="8" t="inlineStr">
        <is>
          <t>Sabine</t>
        </is>
      </c>
      <c r="D31" s="9" t="n"/>
      <c r="E31" s="11" t="n"/>
      <c r="F31" s="8" t="inlineStr">
        <is>
          <t>sabine.collinet@gmail.com</t>
        </is>
      </c>
      <c r="G31" s="9" t="inlineStr">
        <is>
          <t>actif</t>
        </is>
      </c>
      <c r="H31" s="8" t="inlineStr">
        <is>
          <t>Planning encadrement 2026-27, groupe —</t>
        </is>
      </c>
      <c r="I31" s="10" t="inlineStr">
        <is>
          <t>Prénom seul ou surnom : nom de famille à compléter</t>
        </is>
      </c>
      <c r="J31" s="12">
        <f>IF($A31="","",TRIM(IF($C31="",$B31,$C31&amp;" "&amp;$B31))&amp;" ["&amp;$A31&amp;"]")</f>
        <v/>
      </c>
      <c r="K31" s="12">
        <f>IF($A31="","",COUNTIF(Personnes!$C$5:$C$104,"&lt;"&amp;$C31)+COUNTIF($C$5:$C31,$C31))</f>
        <v/>
      </c>
    </row>
    <row r="32" ht="15" customHeight="1">
      <c r="A32" s="8" t="inlineStr">
        <is>
          <t>P083</t>
        </is>
      </c>
      <c r="B32" s="8" t="inlineStr">
        <is>
          <t>CORNET-VERNET</t>
        </is>
      </c>
      <c r="C32" s="8" t="inlineStr">
        <is>
          <t>Sandra</t>
        </is>
      </c>
      <c r="D32" s="9" t="n"/>
      <c r="E32" s="11" t="n"/>
      <c r="F32" s="8" t="n"/>
      <c r="G32" s="9" t="inlineStr">
        <is>
          <t>actif</t>
        </is>
      </c>
      <c r="H32" s="8" t="inlineStr">
        <is>
          <t>Organisation des lignes 2026-2027 (transmis 05/09/2026, complement 06/09/2026)</t>
        </is>
      </c>
      <c r="I32" s="10" t="n"/>
      <c r="J32" s="12">
        <f>IF($A32="","",TRIM(IF($C32="",$B32,$C32&amp;" "&amp;$B32))&amp;" ["&amp;$A32&amp;"]")</f>
        <v/>
      </c>
      <c r="K32" s="12">
        <f>IF($A32="","",COUNTIF(Personnes!$C$5:$C$104,"&lt;"&amp;$C32)+COUNTIF($C$5:$C32,$C32))</f>
        <v/>
      </c>
    </row>
    <row r="33" ht="15" customHeight="1">
      <c r="A33" s="8" t="inlineStr">
        <is>
          <t>P084</t>
        </is>
      </c>
      <c r="B33" s="8" t="inlineStr">
        <is>
          <t>COSSAIS</t>
        </is>
      </c>
      <c r="C33" s="8" t="inlineStr">
        <is>
          <t>Monia</t>
        </is>
      </c>
      <c r="D33" s="9" t="n"/>
      <c r="E33" s="11" t="n"/>
      <c r="F33" s="8" t="n"/>
      <c r="G33" s="9" t="inlineStr">
        <is>
          <t>actif</t>
        </is>
      </c>
      <c r="H33" s="8" t="inlineStr">
        <is>
          <t>Organisation des lignes 2026-2027 (transmis 05/09/2026, complement 06/09/2026)</t>
        </is>
      </c>
      <c r="I33" s="10" t="n"/>
      <c r="J33" s="12">
        <f>IF($A33="","",TRIM(IF($C33="",$B33,$C33&amp;" "&amp;$B33))&amp;" ["&amp;$A33&amp;"]")</f>
        <v/>
      </c>
      <c r="K33" s="12">
        <f>IF($A33="","",COUNTIF(Personnes!$C$5:$C$104,"&lt;"&amp;$C33)+COUNTIF($C$5:$C33,$C33))</f>
        <v/>
      </c>
    </row>
    <row r="34" ht="15" customHeight="1">
      <c r="A34" s="8" t="inlineStr">
        <is>
          <t>P007</t>
        </is>
      </c>
      <c r="B34" s="8" t="inlineStr">
        <is>
          <t>DANSEUX</t>
        </is>
      </c>
      <c r="C34" s="8" t="inlineStr">
        <is>
          <t>Charline</t>
        </is>
      </c>
      <c r="D34" s="9" t="n"/>
      <c r="E34" s="11" t="n"/>
      <c r="F34" s="8" t="inlineStr">
        <is>
          <t>charline.danseux@gmail.com</t>
        </is>
      </c>
      <c r="G34" s="9" t="inlineStr">
        <is>
          <t>actif</t>
        </is>
      </c>
      <c r="H34" s="8" t="inlineStr">
        <is>
          <t>Classeur Suivi Apnéistes L3 2025-2026</t>
        </is>
      </c>
      <c r="I34" s="10" t="n"/>
      <c r="J34" s="12">
        <f>IF($A34="","",TRIM(IF($C34="",$B34,$C34&amp;" "&amp;$B34))&amp;" ["&amp;$A34&amp;"]")</f>
        <v/>
      </c>
      <c r="K34" s="12">
        <f>IF($A34="","",COUNTIF(Personnes!$C$5:$C$104,"&lt;"&amp;$C34)+COUNTIF($C$5:$C34,$C34))</f>
        <v/>
      </c>
    </row>
    <row r="35" ht="15" customHeight="1">
      <c r="A35" s="8" t="inlineStr">
        <is>
          <t>P085</t>
        </is>
      </c>
      <c r="B35" s="8" t="inlineStr">
        <is>
          <t>DE LA BRETESCHE</t>
        </is>
      </c>
      <c r="C35" s="8" t="inlineStr">
        <is>
          <t>Arnaud</t>
        </is>
      </c>
      <c r="D35" s="9" t="n"/>
      <c r="E35" s="11" t="n"/>
      <c r="F35" s="8" t="n"/>
      <c r="G35" s="9" t="inlineStr">
        <is>
          <t>actif</t>
        </is>
      </c>
      <c r="H35" s="8" t="inlineStr">
        <is>
          <t>Organisation des lignes 2026-2027 (transmis 05/09/2026, complement 06/09/2026)</t>
        </is>
      </c>
      <c r="I35" s="10" t="n"/>
      <c r="J35" s="12">
        <f>IF($A35="","",TRIM(IF($C35="",$B35,$C35&amp;" "&amp;$B35))&amp;" ["&amp;$A35&amp;"]")</f>
        <v/>
      </c>
      <c r="K35" s="12">
        <f>IF($A35="","",COUNTIF(Personnes!$C$5:$C$104,"&lt;"&amp;$C35)+COUNTIF($C$5:$C35,$C35))</f>
        <v/>
      </c>
    </row>
    <row r="36" ht="15" customHeight="1">
      <c r="A36" s="8" t="inlineStr">
        <is>
          <t>P086</t>
        </is>
      </c>
      <c r="B36" s="8" t="inlineStr">
        <is>
          <t>DEPRETZ</t>
        </is>
      </c>
      <c r="C36" s="8" t="inlineStr">
        <is>
          <t>Alain</t>
        </is>
      </c>
      <c r="D36" s="9" t="n"/>
      <c r="E36" s="11" t="n"/>
      <c r="F36" s="8" t="n"/>
      <c r="G36" s="9" t="inlineStr">
        <is>
          <t>actif</t>
        </is>
      </c>
      <c r="H36" s="8" t="inlineStr">
        <is>
          <t>Organisation des lignes 2026-2027 (transmis 05/09/2026, complement 06/09/2026)</t>
        </is>
      </c>
      <c r="I36" s="10" t="n"/>
      <c r="J36" s="12">
        <f>IF($A36="","",TRIM(IF($C36="",$B36,$C36&amp;" "&amp;$B36))&amp;" ["&amp;$A36&amp;"]")</f>
        <v/>
      </c>
      <c r="K36" s="12">
        <f>IF($A36="","",COUNTIF(Personnes!$C$5:$C$104,"&lt;"&amp;$C36)+COUNTIF($C$5:$C36,$C36))</f>
        <v/>
      </c>
    </row>
    <row r="37" ht="15" customHeight="1">
      <c r="A37" s="8" t="inlineStr">
        <is>
          <t>P002</t>
        </is>
      </c>
      <c r="B37" s="8" t="inlineStr">
        <is>
          <t>DESMERGES</t>
        </is>
      </c>
      <c r="C37" s="8" t="inlineStr">
        <is>
          <t>Antonin</t>
        </is>
      </c>
      <c r="D37" s="9" t="n"/>
      <c r="E37" s="11" t="n"/>
      <c r="F37" s="8" t="n"/>
      <c r="G37" s="9" t="inlineStr">
        <is>
          <t>actif</t>
        </is>
      </c>
      <c r="H37" s="8" t="inlineStr">
        <is>
          <t>Classeur Suivi Apnéistes L3 2025-2026</t>
        </is>
      </c>
      <c r="I37" s="10" t="n"/>
      <c r="J37" s="12">
        <f>IF($A37="","",TRIM(IF($C37="",$B37,$C37&amp;" "&amp;$B37))&amp;" ["&amp;$A37&amp;"]")</f>
        <v/>
      </c>
      <c r="K37" s="12">
        <f>IF($A37="","",COUNTIF(Personnes!$C$5:$C$104,"&lt;"&amp;$C37)+COUNTIF($C$5:$C37,$C37))</f>
        <v/>
      </c>
    </row>
    <row r="38" ht="15" customHeight="1">
      <c r="A38" s="8" t="inlineStr">
        <is>
          <t>P070</t>
        </is>
      </c>
      <c r="B38" s="8" t="inlineStr">
        <is>
          <t>DEVILLIERS</t>
        </is>
      </c>
      <c r="C38" s="8" t="inlineStr">
        <is>
          <t>Aurélien</t>
        </is>
      </c>
      <c r="D38" s="9" t="n"/>
      <c r="E38" s="11" t="n"/>
      <c r="F38" s="8" t="n"/>
      <c r="G38" s="9" t="inlineStr">
        <is>
          <t>actif</t>
        </is>
      </c>
      <c r="H38" s="8" t="inlineStr">
        <is>
          <t>Organisation des lignes 2026-2027 (Craft.me, transmis 05/09/2026)</t>
        </is>
      </c>
      <c r="I38" s="10" t="n"/>
      <c r="J38" s="12">
        <f>IF($A38="","",TRIM(IF($C38="",$B38,$C38&amp;" "&amp;$B38))&amp;" ["&amp;$A38&amp;"]")</f>
        <v/>
      </c>
      <c r="K38" s="12">
        <f>IF($A38="","",COUNTIF(Personnes!$C$5:$C$104,"&lt;"&amp;$C38)+COUNTIF($C$5:$C38,$C38))</f>
        <v/>
      </c>
    </row>
    <row r="39" ht="15" customHeight="1">
      <c r="A39" s="8" t="inlineStr">
        <is>
          <t>P087</t>
        </is>
      </c>
      <c r="B39" s="8" t="inlineStr">
        <is>
          <t>DUBUISSON</t>
        </is>
      </c>
      <c r="C39" s="8" t="inlineStr">
        <is>
          <t>Céline</t>
        </is>
      </c>
      <c r="D39" s="9" t="n"/>
      <c r="E39" s="11" t="n"/>
      <c r="F39" s="8" t="n"/>
      <c r="G39" s="9" t="inlineStr">
        <is>
          <t>actif</t>
        </is>
      </c>
      <c r="H39" s="8" t="inlineStr">
        <is>
          <t>Organisation des lignes 2026-2027 (transmis 05/09/2026, complement 06/09/2026)</t>
        </is>
      </c>
      <c r="I39" s="10" t="n"/>
      <c r="J39" s="12">
        <f>IF($A39="","",TRIM(IF($C39="",$B39,$C39&amp;" "&amp;$B39))&amp;" ["&amp;$A39&amp;"]")</f>
        <v/>
      </c>
      <c r="K39" s="12">
        <f>IF($A39="","",COUNTIF(Personnes!$C$5:$C$104,"&lt;"&amp;$C39)+COUNTIF($C$5:$C39,$C39))</f>
        <v/>
      </c>
    </row>
    <row r="40" ht="15" customHeight="1">
      <c r="A40" s="8" t="inlineStr">
        <is>
          <t>P043</t>
        </is>
      </c>
      <c r="B40" s="8" t="inlineStr">
        <is>
          <t>DUMONT</t>
        </is>
      </c>
      <c r="C40" s="8" t="inlineStr">
        <is>
          <t>Céline</t>
        </is>
      </c>
      <c r="D40" s="9" t="n"/>
      <c r="E40" s="11" t="n"/>
      <c r="F40" s="8" t="inlineStr">
        <is>
          <t>celibouteiller@gmail.com</t>
        </is>
      </c>
      <c r="G40" s="9" t="inlineStr">
        <is>
          <t>actif</t>
        </is>
      </c>
      <c r="H40" s="8" t="inlineStr">
        <is>
          <t>Planning encadrement 2026-27, groupe L4</t>
        </is>
      </c>
      <c r="I40" s="10" t="inlineStr">
        <is>
          <t>Prénom seul ou surnom : nom de famille à compléter</t>
        </is>
      </c>
      <c r="J40" s="12">
        <f>IF($A40="","",TRIM(IF($C40="",$B40,$C40&amp;" "&amp;$B40))&amp;" ["&amp;$A40&amp;"]")</f>
        <v/>
      </c>
      <c r="K40" s="12">
        <f>IF($A40="","",COUNTIF(Personnes!$C$5:$C$104,"&lt;"&amp;$C40)+COUNTIF($C$5:$C40,$C40))</f>
        <v/>
      </c>
    </row>
    <row r="41" ht="15" customHeight="1">
      <c r="A41" s="8" t="inlineStr">
        <is>
          <t>P102</t>
        </is>
      </c>
      <c r="B41" s="8" t="inlineStr">
        <is>
          <t>DUSSAUD</t>
        </is>
      </c>
      <c r="C41" s="8" t="inlineStr">
        <is>
          <t>Sebastien</t>
        </is>
      </c>
      <c r="D41" s="9" t="n"/>
      <c r="E41" s="11" t="n"/>
      <c r="F41" s="8" t="n"/>
      <c r="G41" s="9" t="inlineStr">
        <is>
          <t>actif</t>
        </is>
      </c>
      <c r="H41" s="8" t="inlineStr">
        <is>
          <t>Organisation des lignes 2026-2027 (transmis 05/09/2026, complement 06/09/2026)</t>
        </is>
      </c>
      <c r="I41" s="10" t="n"/>
      <c r="J41" s="12">
        <f>IF($A41="","",TRIM(IF($C41="",$B41,$C41&amp;" "&amp;$B41))&amp;" ["&amp;$A41&amp;"]")</f>
        <v/>
      </c>
      <c r="K41" s="12">
        <f>IF($A41="","",COUNTIF(Personnes!$C$5:$C$104,"&lt;"&amp;$C41)+COUNTIF($C$5:$C41,$C41))</f>
        <v/>
      </c>
    </row>
    <row r="42" ht="15" customHeight="1">
      <c r="A42" s="8" t="inlineStr">
        <is>
          <t>P071</t>
        </is>
      </c>
      <c r="B42" s="8" t="inlineStr">
        <is>
          <t>DUVAL</t>
        </is>
      </c>
      <c r="C42" s="8" t="inlineStr">
        <is>
          <t>Jérôme</t>
        </is>
      </c>
      <c r="D42" s="9" t="n"/>
      <c r="E42" s="11" t="n"/>
      <c r="F42" s="8" t="n"/>
      <c r="G42" s="9" t="inlineStr">
        <is>
          <t>actif</t>
        </is>
      </c>
      <c r="H42" s="8" t="inlineStr">
        <is>
          <t>Organisation des lignes 2026-2027 (Craft.me, transmis 05/09/2026)</t>
        </is>
      </c>
      <c r="I42" s="10" t="n"/>
      <c r="J42" s="12">
        <f>IF($A42="","",TRIM(IF($C42="",$B42,$C42&amp;" "&amp;$B42))&amp;" ["&amp;$A42&amp;"]")</f>
        <v/>
      </c>
      <c r="K42" s="12">
        <f>IF($A42="","",COUNTIF(Personnes!$C$5:$C$104,"&lt;"&amp;$C42)+COUNTIF($C$5:$C42,$C42))</f>
        <v/>
      </c>
    </row>
    <row r="43" ht="15" customHeight="1">
      <c r="A43" s="8" t="inlineStr">
        <is>
          <t>P072</t>
        </is>
      </c>
      <c r="B43" s="8" t="inlineStr">
        <is>
          <t>FIHEL</t>
        </is>
      </c>
      <c r="C43" s="8" t="inlineStr">
        <is>
          <t>Agnieszka</t>
        </is>
      </c>
      <c r="D43" s="9" t="n"/>
      <c r="E43" s="11" t="n"/>
      <c r="F43" s="8" t="n"/>
      <c r="G43" s="9" t="inlineStr">
        <is>
          <t>actif</t>
        </is>
      </c>
      <c r="H43" s="8" t="inlineStr">
        <is>
          <t>Organisation des lignes 2026-2027 (Craft.me, transmis 05/09/2026)</t>
        </is>
      </c>
      <c r="I43" s="10" t="n"/>
      <c r="J43" s="12">
        <f>IF($A43="","",TRIM(IF($C43="",$B43,$C43&amp;" "&amp;$B43))&amp;" ["&amp;$A43&amp;"]")</f>
        <v/>
      </c>
      <c r="K43" s="12">
        <f>IF($A43="","",COUNTIF(Personnes!$C$5:$C$104,"&lt;"&amp;$C43)+COUNTIF($C$5:$C43,$C43))</f>
        <v/>
      </c>
    </row>
    <row r="44" ht="15" customHeight="1">
      <c r="A44" s="8" t="inlineStr">
        <is>
          <t>P088</t>
        </is>
      </c>
      <c r="B44" s="8" t="inlineStr">
        <is>
          <t>FIOR</t>
        </is>
      </c>
      <c r="C44" s="8" t="inlineStr">
        <is>
          <t>Alain</t>
        </is>
      </c>
      <c r="D44" s="9" t="n"/>
      <c r="E44" s="11" t="n"/>
      <c r="F44" s="8" t="n"/>
      <c r="G44" s="9" t="inlineStr">
        <is>
          <t>actif</t>
        </is>
      </c>
      <c r="H44" s="8" t="inlineStr">
        <is>
          <t>Organisation des lignes 2026-2027 (transmis 05/09/2026, complement 06/09/2026)</t>
        </is>
      </c>
      <c r="I44" s="10" t="n"/>
      <c r="J44" s="12">
        <f>IF($A44="","",TRIM(IF($C44="",$B44,$C44&amp;" "&amp;$B44))&amp;" ["&amp;$A44&amp;"]")</f>
        <v/>
      </c>
      <c r="K44" s="12">
        <f>IF($A44="","",COUNTIF(Personnes!$C$5:$C$104,"&lt;"&amp;$C44)+COUNTIF($C$5:$C44,$C44))</f>
        <v/>
      </c>
    </row>
    <row r="45" ht="15" customHeight="1">
      <c r="A45" s="8" t="inlineStr">
        <is>
          <t>P005</t>
        </is>
      </c>
      <c r="B45" s="8" t="inlineStr">
        <is>
          <t>FRASCA</t>
        </is>
      </c>
      <c r="C45" s="8" t="inlineStr">
        <is>
          <t>Benjamin</t>
        </is>
      </c>
      <c r="D45" s="9" t="n"/>
      <c r="E45" s="11" t="n"/>
      <c r="F45" s="8" t="inlineStr">
        <is>
          <t>benjamin.frasca@gmail.com</t>
        </is>
      </c>
      <c r="G45" s="9" t="inlineStr">
        <is>
          <t>actif</t>
        </is>
      </c>
      <c r="H45" s="8" t="inlineStr">
        <is>
          <t>Classeur Suivi Apnéistes L3 2025-2026</t>
        </is>
      </c>
      <c r="I45" s="10" t="n"/>
      <c r="J45" s="12">
        <f>IF($A45="","",TRIM(IF($C45="",$B45,$C45&amp;" "&amp;$B45))&amp;" ["&amp;$A45&amp;"]")</f>
        <v/>
      </c>
      <c r="K45" s="12">
        <f>IF($A45="","",COUNTIF(Personnes!$C$5:$C$104,"&lt;"&amp;$C45)+COUNTIF($C$5:$C45,$C45))</f>
        <v/>
      </c>
    </row>
    <row r="46" ht="15" customHeight="1">
      <c r="A46" s="8" t="inlineStr">
        <is>
          <t>P039</t>
        </is>
      </c>
      <c r="B46" s="8" t="inlineStr">
        <is>
          <t>FREDON</t>
        </is>
      </c>
      <c r="C46" s="8" t="inlineStr">
        <is>
          <t>Philippe</t>
        </is>
      </c>
      <c r="D46" s="9" t="n"/>
      <c r="E46" s="11" t="n"/>
      <c r="F46" s="8" t="inlineStr">
        <is>
          <t>philippe.fredon@orange.fr</t>
        </is>
      </c>
      <c r="G46" s="9" t="inlineStr">
        <is>
          <t>actif</t>
        </is>
      </c>
      <c r="H46" s="8" t="inlineStr">
        <is>
          <t>Planning encadrement 2026-27, groupe L4</t>
        </is>
      </c>
      <c r="I46" s="10" t="inlineStr">
        <is>
          <t>Prénom seul ou surnom : nom de famille à compléter</t>
        </is>
      </c>
      <c r="J46" s="12">
        <f>IF($A46="","",TRIM(IF($C46="",$B46,$C46&amp;" "&amp;$B46))&amp;" ["&amp;$A46&amp;"]")</f>
        <v/>
      </c>
      <c r="K46" s="12">
        <f>IF($A46="","",COUNTIF(Personnes!$C$5:$C$104,"&lt;"&amp;$C46)+COUNTIF($C$5:$C46,$C46))</f>
        <v/>
      </c>
    </row>
    <row r="47" ht="15" customHeight="1">
      <c r="A47" s="8" t="inlineStr">
        <is>
          <t>P089</t>
        </is>
      </c>
      <c r="B47" s="8" t="inlineStr">
        <is>
          <t>GARCIA</t>
        </is>
      </c>
      <c r="C47" s="8" t="inlineStr">
        <is>
          <t>Laurent</t>
        </is>
      </c>
      <c r="D47" s="9" t="n"/>
      <c r="E47" s="11" t="n"/>
      <c r="F47" s="8" t="n"/>
      <c r="G47" s="9" t="inlineStr">
        <is>
          <t>actif</t>
        </is>
      </c>
      <c r="H47" s="8" t="inlineStr">
        <is>
          <t>Organisation des lignes 2026-2027 (transmis 05/09/2026, complement 06/09/2026)</t>
        </is>
      </c>
      <c r="I47" s="10" t="n"/>
      <c r="J47" s="12">
        <f>IF($A47="","",TRIM(IF($C47="",$B47,$C47&amp;" "&amp;$B47))&amp;" ["&amp;$A47&amp;"]")</f>
        <v/>
      </c>
      <c r="K47" s="12">
        <f>IF($A47="","",COUNTIF(Personnes!$C$5:$C$104,"&lt;"&amp;$C47)+COUNTIF($C$5:$C47,$C47))</f>
        <v/>
      </c>
    </row>
    <row r="48" ht="15" customHeight="1">
      <c r="A48" s="8" t="inlineStr">
        <is>
          <t>P027</t>
        </is>
      </c>
      <c r="B48" s="8" t="inlineStr">
        <is>
          <t>GOBAA</t>
        </is>
      </c>
      <c r="C48" s="8" t="inlineStr">
        <is>
          <t>Samy</t>
        </is>
      </c>
      <c r="D48" s="9" t="n"/>
      <c r="E48" s="11" t="n"/>
      <c r="F48" s="8" t="n"/>
      <c r="G48" s="9" t="inlineStr">
        <is>
          <t>actif</t>
        </is>
      </c>
      <c r="H48" s="8" t="inlineStr">
        <is>
          <t>Classeur Suivi Apnéistes L3 2025-2026</t>
        </is>
      </c>
      <c r="I48" s="10" t="n"/>
      <c r="J48" s="12">
        <f>IF($A48="","",TRIM(IF($C48="",$B48,$C48&amp;" "&amp;$B48))&amp;" ["&amp;$A48&amp;"]")</f>
        <v/>
      </c>
      <c r="K48" s="12">
        <f>IF($A48="","",COUNTIF(Personnes!$C$5:$C$104,"&lt;"&amp;$C48)+COUNTIF($C$5:$C48,$C48))</f>
        <v/>
      </c>
    </row>
    <row r="49" ht="15" customHeight="1">
      <c r="A49" s="8" t="inlineStr">
        <is>
          <t>P015</t>
        </is>
      </c>
      <c r="B49" s="8" t="inlineStr">
        <is>
          <t>GOUDOU</t>
        </is>
      </c>
      <c r="C49" s="8" t="inlineStr">
        <is>
          <t>Jean-François</t>
        </is>
      </c>
      <c r="D49" s="9" t="n"/>
      <c r="E49" s="11" t="n"/>
      <c r="F49" s="8" t="inlineStr">
        <is>
          <t>jfgoudou@gmail.com</t>
        </is>
      </c>
      <c r="G49" s="9" t="inlineStr">
        <is>
          <t>actif</t>
        </is>
      </c>
      <c r="H49" s="8" t="inlineStr">
        <is>
          <t>Classeur Suivi Apnéistes L3 2025-2026</t>
        </is>
      </c>
      <c r="I49" s="10" t="n"/>
      <c r="J49" s="12">
        <f>IF($A49="","",TRIM(IF($C49="",$B49,$C49&amp;" "&amp;$B49))&amp;" ["&amp;$A49&amp;"]")</f>
        <v/>
      </c>
      <c r="K49" s="12">
        <f>IF($A49="","",COUNTIF(Personnes!$C$5:$C$104,"&lt;"&amp;$C49)+COUNTIF($C$5:$C49,$C49))</f>
        <v/>
      </c>
    </row>
    <row r="50" ht="15" customHeight="1">
      <c r="A50" s="8" t="inlineStr">
        <is>
          <t>P004</t>
        </is>
      </c>
      <c r="B50" s="8" t="inlineStr">
        <is>
          <t>GOUSSARD</t>
        </is>
      </c>
      <c r="C50" s="8" t="inlineStr">
        <is>
          <t>Béatrice</t>
        </is>
      </c>
      <c r="D50" s="9" t="n"/>
      <c r="E50" s="11" t="n"/>
      <c r="F50" s="8" t="inlineStr">
        <is>
          <t>bea.davoine@gmail.com</t>
        </is>
      </c>
      <c r="G50" s="9" t="inlineStr">
        <is>
          <t>actif</t>
        </is>
      </c>
      <c r="H50" s="8" t="inlineStr">
        <is>
          <t>Classeur Suivi Apnéistes L3 2025-2026</t>
        </is>
      </c>
      <c r="I50" s="10" t="n"/>
      <c r="J50" s="12">
        <f>IF($A50="","",TRIM(IF($C50="",$B50,$C50&amp;" "&amp;$B50))&amp;" ["&amp;$A50&amp;"]")</f>
        <v/>
      </c>
      <c r="K50" s="12">
        <f>IF($A50="","",COUNTIF(Personnes!$C$5:$C$104,"&lt;"&amp;$C50)+COUNTIF($C$5:$C50,$C50))</f>
        <v/>
      </c>
    </row>
    <row r="51" ht="15" customHeight="1">
      <c r="A51" s="8" t="inlineStr">
        <is>
          <t>P032</t>
        </is>
      </c>
      <c r="B51" s="8" t="inlineStr">
        <is>
          <t>GRENIER</t>
        </is>
      </c>
      <c r="C51" s="8" t="inlineStr">
        <is>
          <t>Michael</t>
        </is>
      </c>
      <c r="D51" s="9" t="n"/>
      <c r="E51" s="11" t="n"/>
      <c r="F51" s="8" t="inlineStr">
        <is>
          <t>micgren@gmail.com</t>
        </is>
      </c>
      <c r="G51" s="9" t="inlineStr">
        <is>
          <t>actif</t>
        </is>
      </c>
      <c r="H51" s="8" t="inlineStr">
        <is>
          <t>Planning encadrement 2026-27, groupe L1</t>
        </is>
      </c>
      <c r="I51" s="10" t="inlineStr">
        <is>
          <t>Prénom seul ou surnom : nom de famille à compléter</t>
        </is>
      </c>
      <c r="J51" s="12">
        <f>IF($A51="","",TRIM(IF($C51="",$B51,$C51&amp;" "&amp;$B51))&amp;" ["&amp;$A51&amp;"]")</f>
        <v/>
      </c>
      <c r="K51" s="12">
        <f>IF($A51="","",COUNTIF(Personnes!$C$5:$C$104,"&lt;"&amp;$C51)+COUNTIF($C$5:$C51,$C51))</f>
        <v/>
      </c>
    </row>
    <row r="52" ht="15" customHeight="1">
      <c r="A52" s="8" t="inlineStr">
        <is>
          <t>P023</t>
        </is>
      </c>
      <c r="B52" s="8" t="inlineStr">
        <is>
          <t>GUEGUEN</t>
        </is>
      </c>
      <c r="C52" s="8" t="inlineStr">
        <is>
          <t>Matthieu</t>
        </is>
      </c>
      <c r="D52" s="9" t="n"/>
      <c r="E52" s="11" t="n"/>
      <c r="F52" s="8" t="n"/>
      <c r="G52" s="9" t="inlineStr">
        <is>
          <t>actif</t>
        </is>
      </c>
      <c r="H52" s="8" t="inlineStr">
        <is>
          <t>Classeur Suivi Apnéistes L3 2025-2026</t>
        </is>
      </c>
      <c r="I52" s="10" t="n"/>
      <c r="J52" s="12">
        <f>IF($A52="","",TRIM(IF($C52="",$B52,$C52&amp;" "&amp;$B52))&amp;" ["&amp;$A52&amp;"]")</f>
        <v/>
      </c>
      <c r="K52" s="12">
        <f>IF($A52="","",COUNTIF(Personnes!$C$5:$C$104,"&lt;"&amp;$C52)+COUNTIF($C$5:$C52,$C52))</f>
        <v/>
      </c>
    </row>
    <row r="53" ht="15" customHeight="1">
      <c r="A53" s="8" t="inlineStr">
        <is>
          <t>P029</t>
        </is>
      </c>
      <c r="B53" s="8" t="inlineStr">
        <is>
          <t>GUEGUEN</t>
        </is>
      </c>
      <c r="C53" s="8" t="inlineStr">
        <is>
          <t>Stephane</t>
        </is>
      </c>
      <c r="D53" s="9" t="n"/>
      <c r="E53" s="11" t="n"/>
      <c r="F53" s="8" t="n"/>
      <c r="G53" s="9" t="inlineStr">
        <is>
          <t>actif</t>
        </is>
      </c>
      <c r="H53" s="8" t="inlineStr">
        <is>
          <t>Classeur Suivi Apnéistes L3 2025-2026</t>
        </is>
      </c>
      <c r="I53" s="10" t="n"/>
      <c r="J53" s="12">
        <f>IF($A53="","",TRIM(IF($C53="",$B53,$C53&amp;" "&amp;$B53))&amp;" ["&amp;$A53&amp;"]")</f>
        <v/>
      </c>
      <c r="K53" s="12">
        <f>IF($A53="","",COUNTIF(Personnes!$C$5:$C$104,"&lt;"&amp;$C53)+COUNTIF($C$5:$C53,$C53))</f>
        <v/>
      </c>
    </row>
    <row r="54" ht="15" customHeight="1">
      <c r="A54" s="8" t="inlineStr">
        <is>
          <t>P001</t>
        </is>
      </c>
      <c r="B54" s="8" t="inlineStr">
        <is>
          <t>GUEVEL</t>
        </is>
      </c>
      <c r="C54" s="8" t="inlineStr">
        <is>
          <t>Alain</t>
        </is>
      </c>
      <c r="D54" s="9" t="n"/>
      <c r="E54" s="11" t="n"/>
      <c r="F54" s="8" t="inlineStr">
        <is>
          <t>aguevel94@gmail.com</t>
        </is>
      </c>
      <c r="G54" s="9" t="inlineStr">
        <is>
          <t>actif</t>
        </is>
      </c>
      <c r="H54" s="8" t="inlineStr">
        <is>
          <t>Classeur Suivi Apnéistes L3 2025-2026</t>
        </is>
      </c>
      <c r="I54" s="10" t="n"/>
      <c r="J54" s="12">
        <f>IF($A54="","",TRIM(IF($C54="",$B54,$C54&amp;" "&amp;$B54))&amp;" ["&amp;$A54&amp;"]")</f>
        <v/>
      </c>
      <c r="K54" s="12">
        <f>IF($A54="","",COUNTIF(Personnes!$C$5:$C$104,"&lt;"&amp;$C54)+COUNTIF($C$5:$C54,$C54))</f>
        <v/>
      </c>
    </row>
    <row r="55" ht="15" customHeight="1">
      <c r="A55" s="8" t="inlineStr">
        <is>
          <t>P040</t>
        </is>
      </c>
      <c r="B55" s="8" t="inlineStr">
        <is>
          <t>GUGLIELMO</t>
        </is>
      </c>
      <c r="C55" s="8" t="inlineStr">
        <is>
          <t>Anthony</t>
        </is>
      </c>
      <c r="D55" s="9" t="n"/>
      <c r="E55" s="11" t="n"/>
      <c r="F55" s="8" t="inlineStr">
        <is>
          <t>anthony.guglielmo.fra@gmail.com</t>
        </is>
      </c>
      <c r="G55" s="9" t="inlineStr">
        <is>
          <t>actif</t>
        </is>
      </c>
      <c r="H55" s="8" t="inlineStr">
        <is>
          <t>Planning encadrement 2026-27, groupe L4</t>
        </is>
      </c>
      <c r="I55" s="10" t="inlineStr">
        <is>
          <t>Prénom seul ou surnom : nom de famille à compléter</t>
        </is>
      </c>
      <c r="J55" s="12">
        <f>IF($A55="","",TRIM(IF($C55="",$B55,$C55&amp;" "&amp;$B55))&amp;" ["&amp;$A55&amp;"]")</f>
        <v/>
      </c>
      <c r="K55" s="12">
        <f>IF($A55="","",COUNTIF(Personnes!$C$5:$C$104,"&lt;"&amp;$C55)+COUNTIF($C$5:$C55,$C55))</f>
        <v/>
      </c>
    </row>
    <row r="56" ht="15" customHeight="1">
      <c r="A56" s="8" t="inlineStr">
        <is>
          <t>P073</t>
        </is>
      </c>
      <c r="B56" s="8" t="inlineStr">
        <is>
          <t>GUIBOURT</t>
        </is>
      </c>
      <c r="C56" s="8" t="inlineStr">
        <is>
          <t>Aude</t>
        </is>
      </c>
      <c r="D56" s="9" t="n"/>
      <c r="E56" s="11" t="n"/>
      <c r="F56" s="8" t="n"/>
      <c r="G56" s="9" t="inlineStr">
        <is>
          <t>actif</t>
        </is>
      </c>
      <c r="H56" s="8" t="inlineStr">
        <is>
          <t>Organisation des lignes 2026-2027 (Craft.me, transmis 05/09/2026)</t>
        </is>
      </c>
      <c r="I56" s="10" t="n"/>
      <c r="J56" s="12">
        <f>IF($A56="","",TRIM(IF($C56="",$B56,$C56&amp;" "&amp;$B56))&amp;" ["&amp;$A56&amp;"]")</f>
        <v/>
      </c>
      <c r="K56" s="12">
        <f>IF($A56="","",COUNTIF(Personnes!$C$5:$C$104,"&lt;"&amp;$C56)+COUNTIF($C$5:$C56,$C56))</f>
        <v/>
      </c>
    </row>
    <row r="57" ht="15" customHeight="1">
      <c r="A57" s="8" t="inlineStr">
        <is>
          <t>P074</t>
        </is>
      </c>
      <c r="B57" s="8" t="inlineStr">
        <is>
          <t>HABERT</t>
        </is>
      </c>
      <c r="C57" s="8" t="inlineStr">
        <is>
          <t>Serge</t>
        </is>
      </c>
      <c r="D57" s="9" t="n"/>
      <c r="E57" s="11" t="n"/>
      <c r="F57" s="8" t="n"/>
      <c r="G57" s="9" t="inlineStr">
        <is>
          <t>actif</t>
        </is>
      </c>
      <c r="H57" s="8" t="inlineStr">
        <is>
          <t>Organisation des lignes 2026-2027 (Craft.me, transmis 05/09/2026)</t>
        </is>
      </c>
      <c r="I57" s="10" t="n"/>
      <c r="J57" s="12">
        <f>IF($A57="","",TRIM(IF($C57="",$B57,$C57&amp;" "&amp;$B57))&amp;" ["&amp;$A57&amp;"]")</f>
        <v/>
      </c>
      <c r="K57" s="12">
        <f>IF($A57="","",COUNTIF(Personnes!$C$5:$C$104,"&lt;"&amp;$C57)+COUNTIF($C$5:$C57,$C57))</f>
        <v/>
      </c>
    </row>
    <row r="58" ht="15" customHeight="1">
      <c r="A58" s="8" t="inlineStr">
        <is>
          <t>P009</t>
        </is>
      </c>
      <c r="B58" s="8" t="inlineStr">
        <is>
          <t>HANNOU</t>
        </is>
      </c>
      <c r="C58" s="8" t="inlineStr">
        <is>
          <t>Cyrille</t>
        </is>
      </c>
      <c r="D58" s="9" t="n"/>
      <c r="E58" s="11" t="n"/>
      <c r="F58" s="8" t="inlineStr">
        <is>
          <t>hannou_c@yahoo.fr</t>
        </is>
      </c>
      <c r="G58" s="9" t="inlineStr">
        <is>
          <t>actif</t>
        </is>
      </c>
      <c r="H58" s="8" t="inlineStr">
        <is>
          <t>Classeur Suivi Apnéistes L3 2025-2026</t>
        </is>
      </c>
      <c r="I58" s="10" t="n"/>
      <c r="J58" s="12">
        <f>IF($A58="","",TRIM(IF($C58="",$B58,$C58&amp;" "&amp;$B58))&amp;" ["&amp;$A58&amp;"]")</f>
        <v/>
      </c>
      <c r="K58" s="12">
        <f>IF($A58="","",COUNTIF(Personnes!$C$5:$C$104,"&lt;"&amp;$C58)+COUNTIF($C$5:$C58,$C58))</f>
        <v/>
      </c>
    </row>
    <row r="59" ht="15" customHeight="1">
      <c r="A59" s="8" t="inlineStr">
        <is>
          <t>P098</t>
        </is>
      </c>
      <c r="B59" s="8" t="inlineStr">
        <is>
          <t>HENRY</t>
        </is>
      </c>
      <c r="C59" s="8" t="inlineStr">
        <is>
          <t>Thomas</t>
        </is>
      </c>
      <c r="D59" s="9" t="n"/>
      <c r="E59" s="11" t="n"/>
      <c r="F59" s="8" t="n"/>
      <c r="G59" s="9" t="inlineStr">
        <is>
          <t>actif</t>
        </is>
      </c>
      <c r="H59" s="8" t="inlineStr">
        <is>
          <t>Organisation des lignes 2026-2027 (transmis 05/09/2026, complement 06/09/2026)</t>
        </is>
      </c>
      <c r="I59" s="10" t="n"/>
      <c r="J59" s="12">
        <f>IF($A59="","",TRIM(IF($C59="",$B59,$C59&amp;" "&amp;$B59))&amp;" ["&amp;$A59&amp;"]")</f>
        <v/>
      </c>
      <c r="K59" s="12">
        <f>IF($A59="","",COUNTIF(Personnes!$C$5:$C$104,"&lt;"&amp;$C59)+COUNTIF($C$5:$C59,$C59))</f>
        <v/>
      </c>
    </row>
    <row r="60" ht="15" customHeight="1">
      <c r="A60" s="8" t="inlineStr">
        <is>
          <t>P090</t>
        </is>
      </c>
      <c r="B60" s="8" t="inlineStr">
        <is>
          <t>HERMANS</t>
        </is>
      </c>
      <c r="C60" s="8" t="inlineStr">
        <is>
          <t>Sylvie</t>
        </is>
      </c>
      <c r="D60" s="9" t="n"/>
      <c r="E60" s="11" t="n"/>
      <c r="F60" s="8" t="n"/>
      <c r="G60" s="9" t="inlineStr">
        <is>
          <t>actif</t>
        </is>
      </c>
      <c r="H60" s="8" t="inlineStr">
        <is>
          <t>Organisation des lignes 2026-2027 (transmis 05/09/2026, complement 06/09/2026)</t>
        </is>
      </c>
      <c r="I60" s="10" t="n"/>
      <c r="J60" s="12">
        <f>IF($A60="","",TRIM(IF($C60="",$B60,$C60&amp;" "&amp;$B60))&amp;" ["&amp;$A60&amp;"]")</f>
        <v/>
      </c>
      <c r="K60" s="12">
        <f>IF($A60="","",COUNTIF(Personnes!$C$5:$C$104,"&lt;"&amp;$C60)+COUNTIF($C$5:$C60,$C60))</f>
        <v/>
      </c>
    </row>
    <row r="61" ht="15" customHeight="1">
      <c r="A61" s="8" t="inlineStr">
        <is>
          <t>P041</t>
        </is>
      </c>
      <c r="B61" s="8" t="inlineStr">
        <is>
          <t>HOYAU</t>
        </is>
      </c>
      <c r="C61" s="8" t="inlineStr">
        <is>
          <t>Pierre-Alain</t>
        </is>
      </c>
      <c r="D61" s="9" t="n"/>
      <c r="E61" s="11" t="n"/>
      <c r="F61" s="8" t="inlineStr">
        <is>
          <t>pierre-alain.hoyau@univ-eiffel.fr</t>
        </is>
      </c>
      <c r="G61" s="9" t="inlineStr">
        <is>
          <t>actif</t>
        </is>
      </c>
      <c r="H61" s="8" t="inlineStr">
        <is>
          <t>Planning encadrement 2026-27, groupe L4</t>
        </is>
      </c>
      <c r="I61" s="10" t="inlineStr">
        <is>
          <t>Prénom seul ou surnom : nom de famille à compléter</t>
        </is>
      </c>
      <c r="J61" s="12">
        <f>IF($A61="","",TRIM(IF($C61="",$B61,$C61&amp;" "&amp;$B61))&amp;" ["&amp;$A61&amp;"]")</f>
        <v/>
      </c>
      <c r="K61" s="12">
        <f>IF($A61="","",COUNTIF(Personnes!$C$5:$C$104,"&lt;"&amp;$C61)+COUNTIF($C$5:$C61,$C61))</f>
        <v/>
      </c>
    </row>
    <row r="62" ht="15" customHeight="1">
      <c r="A62" s="8" t="inlineStr">
        <is>
          <t>P042</t>
        </is>
      </c>
      <c r="B62" s="8" t="inlineStr">
        <is>
          <t>INSERGUET</t>
        </is>
      </c>
      <c r="C62" s="8" t="inlineStr">
        <is>
          <t>David</t>
        </is>
      </c>
      <c r="D62" s="9" t="n"/>
      <c r="E62" s="11" t="n"/>
      <c r="F62" s="8" t="inlineStr">
        <is>
          <t>valdav92@gmail.com</t>
        </is>
      </c>
      <c r="G62" s="9" t="inlineStr">
        <is>
          <t>actif</t>
        </is>
      </c>
      <c r="H62" s="8" t="inlineStr">
        <is>
          <t>Planning encadrement 2026-27, groupe L4</t>
        </is>
      </c>
      <c r="I62" s="10" t="inlineStr">
        <is>
          <t>Prénom seul ou surnom : nom de famille à compléter</t>
        </is>
      </c>
      <c r="J62" s="12">
        <f>IF($A62="","",TRIM(IF($C62="",$B62,$C62&amp;" "&amp;$B62))&amp;" ["&amp;$A62&amp;"]")</f>
        <v/>
      </c>
      <c r="K62" s="12">
        <f>IF($A62="","",COUNTIF(Personnes!$C$5:$C$104,"&lt;"&amp;$C62)+COUNTIF($C$5:$C62,$C62))</f>
        <v/>
      </c>
    </row>
    <row r="63" ht="15" customHeight="1">
      <c r="A63" s="8" t="inlineStr">
        <is>
          <t>P024</t>
        </is>
      </c>
      <c r="B63" s="8" t="inlineStr">
        <is>
          <t>JACQUEMOT</t>
        </is>
      </c>
      <c r="C63" s="8" t="inlineStr">
        <is>
          <t>Nelly</t>
        </is>
      </c>
      <c r="D63" s="9" t="n"/>
      <c r="E63" s="11" t="n"/>
      <c r="F63" s="8" t="inlineStr">
        <is>
          <t>nellyjacquemot@yahoo.fr</t>
        </is>
      </c>
      <c r="G63" s="9" t="inlineStr">
        <is>
          <t>actif</t>
        </is>
      </c>
      <c r="H63" s="8" t="inlineStr">
        <is>
          <t>Classeur Suivi Apnéistes L3 2025-2026</t>
        </is>
      </c>
      <c r="I63" s="10" t="n"/>
      <c r="J63" s="12">
        <f>IF($A63="","",TRIM(IF($C63="",$B63,$C63&amp;" "&amp;$B63))&amp;" ["&amp;$A63&amp;"]")</f>
        <v/>
      </c>
      <c r="K63" s="12">
        <f>IF($A63="","",COUNTIF(Personnes!$C$5:$C$104,"&lt;"&amp;$C63)+COUNTIF($C$5:$C63,$C63))</f>
        <v/>
      </c>
    </row>
    <row r="64" ht="15" customHeight="1">
      <c r="A64" s="8" t="inlineStr">
        <is>
          <t>P014</t>
        </is>
      </c>
      <c r="B64" s="8" t="inlineStr">
        <is>
          <t>LABAYE</t>
        </is>
      </c>
      <c r="C64" s="8" t="inlineStr">
        <is>
          <t>Hélène</t>
        </is>
      </c>
      <c r="D64" s="9" t="n"/>
      <c r="E64" s="11" t="n"/>
      <c r="F64" s="8" t="inlineStr">
        <is>
          <t>h_labaye@yahoo.fr</t>
        </is>
      </c>
      <c r="G64" s="9" t="inlineStr">
        <is>
          <t>actif</t>
        </is>
      </c>
      <c r="H64" s="8" t="inlineStr">
        <is>
          <t>Classeur Suivi Apnéistes L3 2025-2026</t>
        </is>
      </c>
      <c r="I64" s="10" t="n"/>
      <c r="J64" s="12">
        <f>IF($A64="","",TRIM(IF($C64="",$B64,$C64&amp;" "&amp;$B64))&amp;" ["&amp;$A64&amp;"]")</f>
        <v/>
      </c>
      <c r="K64" s="12">
        <f>IF($A64="","",COUNTIF(Personnes!$C$5:$C$104,"&lt;"&amp;$C64)+COUNTIF($C$5:$C64,$C64))</f>
        <v/>
      </c>
    </row>
    <row r="65" ht="15" customHeight="1">
      <c r="A65" s="8" t="inlineStr">
        <is>
          <t>P008</t>
        </is>
      </c>
      <c r="B65" s="8" t="inlineStr">
        <is>
          <t>LABROSSE</t>
        </is>
      </c>
      <c r="C65" s="8" t="inlineStr">
        <is>
          <t>Cyril</t>
        </is>
      </c>
      <c r="D65" s="9" t="n"/>
      <c r="E65" s="11" t="n"/>
      <c r="F65" s="8" t="n"/>
      <c r="G65" s="9" t="inlineStr">
        <is>
          <t>actif</t>
        </is>
      </c>
      <c r="H65" s="8" t="inlineStr">
        <is>
          <t>Classeur Suivi Apnéistes L3 2025-2026</t>
        </is>
      </c>
      <c r="I65" s="10" t="n"/>
      <c r="J65" s="12">
        <f>IF($A65="","",TRIM(IF($C65="",$B65,$C65&amp;" "&amp;$B65))&amp;" ["&amp;$A65&amp;"]")</f>
        <v/>
      </c>
      <c r="K65" s="12">
        <f>IF($A65="","",COUNTIF(Personnes!$C$5:$C$104,"&lt;"&amp;$C65)+COUNTIF($C$5:$C65,$C65))</f>
        <v/>
      </c>
    </row>
    <row r="66" ht="15" customHeight="1">
      <c r="A66" s="8" t="inlineStr">
        <is>
          <t>P012</t>
        </is>
      </c>
      <c r="B66" s="8" t="inlineStr">
        <is>
          <t>LACOUR</t>
        </is>
      </c>
      <c r="C66" s="8" t="inlineStr">
        <is>
          <t>Etienne</t>
        </is>
      </c>
      <c r="D66" s="9" t="n"/>
      <c r="E66" s="11" t="n"/>
      <c r="F66" s="8" t="inlineStr">
        <is>
          <t>etienne.lacour@outlook.fr</t>
        </is>
      </c>
      <c r="G66" s="9" t="inlineStr">
        <is>
          <t>actif</t>
        </is>
      </c>
      <c r="H66" s="8" t="inlineStr">
        <is>
          <t>Classeur Suivi Apnéistes L3 2025-2026</t>
        </is>
      </c>
      <c r="I66" s="10" t="n"/>
      <c r="J66" s="12">
        <f>IF($A66="","",TRIM(IF($C66="",$B66,$C66&amp;" "&amp;$B66))&amp;" ["&amp;$A66&amp;"]")</f>
        <v/>
      </c>
      <c r="K66" s="12">
        <f>IF($A66="","",COUNTIF(Personnes!$C$5:$C$104,"&lt;"&amp;$C66)+COUNTIF($C$5:$C66,$C66))</f>
        <v/>
      </c>
    </row>
    <row r="67" ht="15" customHeight="1">
      <c r="A67" s="8" t="inlineStr">
        <is>
          <t>P025</t>
        </is>
      </c>
      <c r="B67" s="8" t="inlineStr">
        <is>
          <t>LAMBERT</t>
        </is>
      </c>
      <c r="C67" s="8" t="inlineStr">
        <is>
          <t>Oman</t>
        </is>
      </c>
      <c r="D67" s="9" t="n"/>
      <c r="E67" s="11" t="n"/>
      <c r="F67" s="8" t="n"/>
      <c r="G67" s="9" t="inlineStr">
        <is>
          <t>actif</t>
        </is>
      </c>
      <c r="H67" s="8" t="inlineStr">
        <is>
          <t>Classeur Suivi Apnéistes L3 2025-2026</t>
        </is>
      </c>
      <c r="I67" s="10" t="n"/>
      <c r="J67" s="12">
        <f>IF($A67="","",TRIM(IF($C67="",$B67,$C67&amp;" "&amp;$B67))&amp;" ["&amp;$A67&amp;"]")</f>
        <v/>
      </c>
      <c r="K67" s="12">
        <f>IF($A67="","",COUNTIF(Personnes!$C$5:$C$104,"&lt;"&amp;$C67)+COUNTIF($C$5:$C67,$C67))</f>
        <v/>
      </c>
    </row>
    <row r="68" ht="15" customHeight="1">
      <c r="A68" s="8" t="inlineStr">
        <is>
          <t>P028</t>
        </is>
      </c>
      <c r="B68" s="8" t="inlineStr">
        <is>
          <t>LANDEAU</t>
        </is>
      </c>
      <c r="C68" s="8" t="inlineStr">
        <is>
          <t>Sophie</t>
        </is>
      </c>
      <c r="D68" s="9" t="n"/>
      <c r="E68" s="11" t="n"/>
      <c r="F68" s="8" t="inlineStr">
        <is>
          <t>sophiemattioli@yahoo.fr</t>
        </is>
      </c>
      <c r="G68" s="9" t="inlineStr">
        <is>
          <t>actif</t>
        </is>
      </c>
      <c r="H68" s="8" t="inlineStr">
        <is>
          <t>Classeur Suivi Apnéistes L3 2025-2026</t>
        </is>
      </c>
      <c r="I68" s="10" t="n"/>
      <c r="J68" s="12">
        <f>IF($A68="","",TRIM(IF($C68="",$B68,$C68&amp;" "&amp;$B68))&amp;" ["&amp;$A68&amp;"]")</f>
        <v/>
      </c>
      <c r="K68" s="12">
        <f>IF($A68="","",COUNTIF(Personnes!$C$5:$C$104,"&lt;"&amp;$C68)+COUNTIF($C$5:$C68,$C68))</f>
        <v/>
      </c>
    </row>
    <row r="69" ht="15" customHeight="1">
      <c r="A69" s="8" t="inlineStr">
        <is>
          <t>P037</t>
        </is>
      </c>
      <c r="B69" s="8" t="inlineStr">
        <is>
          <t>LE BRIGAND</t>
        </is>
      </c>
      <c r="C69" s="8" t="inlineStr">
        <is>
          <t>Fred</t>
        </is>
      </c>
      <c r="D69" s="9" t="n"/>
      <c r="E69" s="11" t="n"/>
      <c r="F69" s="8" t="inlineStr">
        <is>
          <t>flebrigand@gmail.com</t>
        </is>
      </c>
      <c r="G69" s="9" t="inlineStr">
        <is>
          <t>actif</t>
        </is>
      </c>
      <c r="H69" s="8" t="inlineStr">
        <is>
          <t>Planning encadrement 2026-27, groupe L3</t>
        </is>
      </c>
      <c r="I69" s="10" t="inlineStr">
        <is>
          <t>Prénom seul ou surnom : nom de famille à compléter</t>
        </is>
      </c>
      <c r="J69" s="12">
        <f>IF($A69="","",TRIM(IF($C69="",$B69,$C69&amp;" "&amp;$B69))&amp;" ["&amp;$A69&amp;"]")</f>
        <v/>
      </c>
      <c r="K69" s="12">
        <f>IF($A69="","",COUNTIF(Personnes!$C$5:$C$104,"&lt;"&amp;$C69)+COUNTIF($C$5:$C69,$C69))</f>
        <v/>
      </c>
    </row>
    <row r="70" ht="15" customHeight="1">
      <c r="A70" s="8" t="inlineStr">
        <is>
          <t>P052</t>
        </is>
      </c>
      <c r="B70" s="8" t="inlineStr">
        <is>
          <t>LE BRIGAND</t>
        </is>
      </c>
      <c r="C70" s="8" t="inlineStr">
        <is>
          <t>Corinne</t>
        </is>
      </c>
      <c r="D70" s="9" t="n"/>
      <c r="E70" s="11" t="n"/>
      <c r="F70" s="8" t="inlineStr">
        <is>
          <t>clebrigand@gmail.com</t>
        </is>
      </c>
      <c r="G70" s="9" t="inlineStr">
        <is>
          <t>actif</t>
        </is>
      </c>
      <c r="H70" s="8" t="inlineStr">
        <is>
          <t>Planning encadrement 2026-27, groupe Stagiaire</t>
        </is>
      </c>
      <c r="I70" s="10" t="inlineStr">
        <is>
          <t>Prénom seul ou surnom : nom de famille à compléter</t>
        </is>
      </c>
      <c r="J70" s="12">
        <f>IF($A70="","",TRIM(IF($C70="",$B70,$C70&amp;" "&amp;$B70))&amp;" ["&amp;$A70&amp;"]")</f>
        <v/>
      </c>
      <c r="K70" s="12">
        <f>IF($A70="","",COUNTIF(Personnes!$C$5:$C$104,"&lt;"&amp;$C70)+COUNTIF($C$5:$C70,$C70))</f>
        <v/>
      </c>
    </row>
    <row r="71" ht="15" customHeight="1">
      <c r="A71" s="8" t="inlineStr">
        <is>
          <t>P017</t>
        </is>
      </c>
      <c r="B71" s="8" t="inlineStr">
        <is>
          <t>LEFEBVRE</t>
        </is>
      </c>
      <c r="C71" s="8" t="inlineStr">
        <is>
          <t>Jérôme</t>
        </is>
      </c>
      <c r="D71" s="9" t="n"/>
      <c r="E71" s="11" t="n"/>
      <c r="F71" s="8" t="n"/>
      <c r="G71" s="9" t="inlineStr">
        <is>
          <t>actif</t>
        </is>
      </c>
      <c r="H71" s="8" t="inlineStr">
        <is>
          <t>Classeur Suivi Apnéistes L3 2025-2026</t>
        </is>
      </c>
      <c r="I71" s="10" t="n"/>
      <c r="J71" s="12">
        <f>IF($A71="","",TRIM(IF($C71="",$B71,$C71&amp;" "&amp;$B71))&amp;" ["&amp;$A71&amp;"]")</f>
        <v/>
      </c>
      <c r="K71" s="12">
        <f>IF($A71="","",COUNTIF(Personnes!$C$5:$C$104,"&lt;"&amp;$C71)+COUNTIF($C$5:$C71,$C71))</f>
        <v/>
      </c>
    </row>
    <row r="72" ht="15" customHeight="1">
      <c r="A72" s="8" t="inlineStr">
        <is>
          <t>P050</t>
        </is>
      </c>
      <c r="B72" s="8" t="inlineStr">
        <is>
          <t>LELARGE</t>
        </is>
      </c>
      <c r="C72" s="8" t="inlineStr">
        <is>
          <t>Gérald</t>
        </is>
      </c>
      <c r="D72" s="9" t="n"/>
      <c r="E72" s="11" t="n"/>
      <c r="F72" s="8" t="inlineStr">
        <is>
          <t>glelarge@gmail.com</t>
        </is>
      </c>
      <c r="G72" s="9" t="inlineStr">
        <is>
          <t>actif</t>
        </is>
      </c>
      <c r="H72" s="8" t="inlineStr">
        <is>
          <t>Planning encadrement 2026-27, groupe STA compète</t>
        </is>
      </c>
      <c r="I72" s="10" t="inlineStr">
        <is>
          <t>Prénom seul ou surnom : nom de famille à compléter</t>
        </is>
      </c>
      <c r="J72" s="12">
        <f>IF($A72="","",TRIM(IF($C72="",$B72,$C72&amp;" "&amp;$B72))&amp;" ["&amp;$A72&amp;"]")</f>
        <v/>
      </c>
      <c r="K72" s="12">
        <f>IF($A72="","",COUNTIF(Personnes!$C$5:$C$104,"&lt;"&amp;$C72)+COUNTIF($C$5:$C72,$C72))</f>
        <v/>
      </c>
    </row>
    <row r="73" ht="15" customHeight="1">
      <c r="A73" s="8" t="inlineStr">
        <is>
          <t>P010</t>
        </is>
      </c>
      <c r="B73" s="8" t="inlineStr">
        <is>
          <t>LICHTNER</t>
        </is>
      </c>
      <c r="C73" s="8" t="inlineStr">
        <is>
          <t>Edward</t>
        </is>
      </c>
      <c r="D73" s="9" t="n"/>
      <c r="E73" s="11" t="n"/>
      <c r="F73" s="8" t="inlineStr">
        <is>
          <t>edwardlichtner515@gmail.com</t>
        </is>
      </c>
      <c r="G73" s="9" t="inlineStr">
        <is>
          <t>actif</t>
        </is>
      </c>
      <c r="H73" s="8" t="inlineStr">
        <is>
          <t>Classeur Suivi Apnéistes L3 2025-2026</t>
        </is>
      </c>
      <c r="I73" s="10" t="n"/>
      <c r="J73" s="12">
        <f>IF($A73="","",TRIM(IF($C73="",$B73,$C73&amp;" "&amp;$B73))&amp;" ["&amp;$A73&amp;"]")</f>
        <v/>
      </c>
      <c r="K73" s="12">
        <f>IF($A73="","",COUNTIF(Personnes!$C$5:$C$104,"&lt;"&amp;$C73)+COUNTIF($C$5:$C73,$C73))</f>
        <v/>
      </c>
    </row>
    <row r="74" ht="15" customHeight="1">
      <c r="A74" s="8" t="inlineStr">
        <is>
          <t>P058</t>
        </is>
      </c>
      <c r="B74" s="8" t="inlineStr">
        <is>
          <t>MAALAOUI</t>
        </is>
      </c>
      <c r="C74" s="8" t="inlineStr">
        <is>
          <t>Larbi</t>
        </is>
      </c>
      <c r="D74" s="9" t="n"/>
      <c r="E74" s="11" t="n"/>
      <c r="F74" s="8" t="inlineStr">
        <is>
          <t>lmaalaoui@yahoo.fr</t>
        </is>
      </c>
      <c r="G74" s="9" t="inlineStr">
        <is>
          <t>actif</t>
        </is>
      </c>
      <c r="H74" s="8" t="inlineStr">
        <is>
          <t>Planning encadrement 2026-27, groupe —</t>
        </is>
      </c>
      <c r="I74" s="10" t="inlineStr">
        <is>
          <t>Prénom seul ou surnom : nom de famille à compléter</t>
        </is>
      </c>
      <c r="J74" s="12">
        <f>IF($A74="","",TRIM(IF($C74="",$B74,$C74&amp;" "&amp;$B74))&amp;" ["&amp;$A74&amp;"]")</f>
        <v/>
      </c>
      <c r="K74" s="12">
        <f>IF($A74="","",COUNTIF(Personnes!$C$5:$C$104,"&lt;"&amp;$C74)+COUNTIF($C$5:$C74,$C74))</f>
        <v/>
      </c>
    </row>
    <row r="75" ht="15" customHeight="1">
      <c r="A75" s="8" t="inlineStr">
        <is>
          <t>P018</t>
        </is>
      </c>
      <c r="B75" s="8" t="inlineStr">
        <is>
          <t>MADE</t>
        </is>
      </c>
      <c r="C75" s="8" t="inlineStr">
        <is>
          <t>Jérôme</t>
        </is>
      </c>
      <c r="D75" s="9" t="n"/>
      <c r="E75" s="11" t="n"/>
      <c r="F75" s="8" t="n"/>
      <c r="G75" s="9" t="inlineStr">
        <is>
          <t>actif</t>
        </is>
      </c>
      <c r="H75" s="8" t="inlineStr">
        <is>
          <t>Classeur Suivi Apnéistes L3 2025-2026</t>
        </is>
      </c>
      <c r="I75" s="10" t="n"/>
      <c r="J75" s="12">
        <f>IF($A75="","",TRIM(IF($C75="",$B75,$C75&amp;" "&amp;$B75))&amp;" ["&amp;$A75&amp;"]")</f>
        <v/>
      </c>
      <c r="K75" s="12">
        <f>IF($A75="","",COUNTIF(Personnes!$C$5:$C$104,"&lt;"&amp;$C75)+COUNTIF($C$5:$C75,$C75))</f>
        <v/>
      </c>
    </row>
    <row r="76" ht="15" customHeight="1">
      <c r="A76" s="8" t="inlineStr">
        <is>
          <t>P075</t>
        </is>
      </c>
      <c r="B76" s="8" t="inlineStr">
        <is>
          <t>MARCHIORI</t>
        </is>
      </c>
      <c r="C76" s="8" t="inlineStr">
        <is>
          <t>Marie</t>
        </is>
      </c>
      <c r="D76" s="9" t="n"/>
      <c r="E76" s="11" t="n"/>
      <c r="F76" s="8" t="n"/>
      <c r="G76" s="9" t="inlineStr">
        <is>
          <t>actif</t>
        </is>
      </c>
      <c r="H76" s="8" t="inlineStr">
        <is>
          <t>Organisation des lignes 2026-2027 (Craft.me, transmis 05/09/2026)</t>
        </is>
      </c>
      <c r="I76" s="10" t="n"/>
      <c r="J76" s="12">
        <f>IF($A76="","",TRIM(IF($C76="",$B76,$C76&amp;" "&amp;$B76))&amp;" ["&amp;$A76&amp;"]")</f>
        <v/>
      </c>
      <c r="K76" s="12">
        <f>IF($A76="","",COUNTIF(Personnes!$C$5:$C$104,"&lt;"&amp;$C76)+COUNTIF($C$5:$C76,$C76))</f>
        <v/>
      </c>
    </row>
    <row r="77" ht="15" customHeight="1">
      <c r="A77" s="8" t="inlineStr">
        <is>
          <t>P091</t>
        </is>
      </c>
      <c r="B77" s="8" t="inlineStr">
        <is>
          <t>MASGRAU</t>
        </is>
      </c>
      <c r="C77" s="8" t="inlineStr">
        <is>
          <t>Kévin</t>
        </is>
      </c>
      <c r="D77" s="9" t="n"/>
      <c r="E77" s="11" t="n"/>
      <c r="F77" s="8" t="n"/>
      <c r="G77" s="9" t="inlineStr">
        <is>
          <t>actif</t>
        </is>
      </c>
      <c r="H77" s="8" t="inlineStr">
        <is>
          <t>Organisation des lignes 2026-2027 (transmis 05/09/2026, complement 06/09/2026)</t>
        </is>
      </c>
      <c r="I77" s="10" t="n"/>
      <c r="J77" s="12">
        <f>IF($A77="","",TRIM(IF($C77="",$B77,$C77&amp;" "&amp;$B77))&amp;" ["&amp;$A77&amp;"]")</f>
        <v/>
      </c>
      <c r="K77" s="12">
        <f>IF($A77="","",COUNTIF(Personnes!$C$5:$C$104,"&lt;"&amp;$C77)+COUNTIF($C$5:$C77,$C77))</f>
        <v/>
      </c>
    </row>
    <row r="78" ht="15" customHeight="1">
      <c r="A78" s="8" t="inlineStr">
        <is>
          <t>P046</t>
        </is>
      </c>
      <c r="B78" s="8" t="inlineStr">
        <is>
          <t>MEASSON</t>
        </is>
      </c>
      <c r="C78" s="8" t="inlineStr">
        <is>
          <t>Yvan</t>
        </is>
      </c>
      <c r="D78" s="9" t="n"/>
      <c r="E78" s="11" t="n"/>
      <c r="F78" s="8" t="inlineStr">
        <is>
          <t>ymeasson@isybot.com</t>
        </is>
      </c>
      <c r="G78" s="9" t="inlineStr">
        <is>
          <t>actif</t>
        </is>
      </c>
      <c r="H78" s="8" t="inlineStr">
        <is>
          <t>Planning encadrement 2026-27, groupe —</t>
        </is>
      </c>
      <c r="I78" s="10" t="inlineStr">
        <is>
          <t>Prénom seul ou surnom : nom de famille à compléter</t>
        </is>
      </c>
      <c r="J78" s="12">
        <f>IF($A78="","",TRIM(IF($C78="",$B78,$C78&amp;" "&amp;$B78))&amp;" ["&amp;$A78&amp;"]")</f>
        <v/>
      </c>
      <c r="K78" s="12">
        <f>IF($A78="","",COUNTIF(Personnes!$C$5:$C$104,"&lt;"&amp;$C78)+COUNTIF($C$5:$C78,$C78))</f>
        <v/>
      </c>
    </row>
    <row r="79" ht="15" customHeight="1">
      <c r="A79" s="8" t="inlineStr">
        <is>
          <t>P054</t>
        </is>
      </c>
      <c r="B79" s="8" t="inlineStr">
        <is>
          <t>MEMAIN</t>
        </is>
      </c>
      <c r="C79" s="8" t="inlineStr">
        <is>
          <t>Hervé</t>
        </is>
      </c>
      <c r="D79" s="9" t="n"/>
      <c r="E79" s="11" t="n"/>
      <c r="F79" s="8" t="inlineStr">
        <is>
          <t>herve.memain@gmail.com</t>
        </is>
      </c>
      <c r="G79" s="9" t="inlineStr">
        <is>
          <t>actif</t>
        </is>
      </c>
      <c r="H79" s="8" t="inlineStr">
        <is>
          <t>Planning encadrement 2026-27, groupe —</t>
        </is>
      </c>
      <c r="I79" s="10" t="inlineStr">
        <is>
          <t>Prénom seul ou surnom : nom de famille à compléter</t>
        </is>
      </c>
      <c r="J79" s="12">
        <f>IF($A79="","",TRIM(IF($C79="",$B79,$C79&amp;" "&amp;$B79))&amp;" ["&amp;$A79&amp;"]")</f>
        <v/>
      </c>
      <c r="K79" s="12">
        <f>IF($A79="","",COUNTIF(Personnes!$C$5:$C$104,"&lt;"&amp;$C79)+COUNTIF($C$5:$C79,$C79))</f>
        <v/>
      </c>
    </row>
    <row r="80" ht="15" customHeight="1">
      <c r="A80" s="8" t="inlineStr">
        <is>
          <t>P033</t>
        </is>
      </c>
      <c r="B80" s="8" t="inlineStr">
        <is>
          <t>MEMHELD</t>
        </is>
      </c>
      <c r="C80" s="8" t="inlineStr">
        <is>
          <t>François</t>
        </is>
      </c>
      <c r="D80" s="9" t="n"/>
      <c r="E80" s="11" t="n"/>
      <c r="F80" s="8" t="inlineStr">
        <is>
          <t>francois.memheld@orange.fr</t>
        </is>
      </c>
      <c r="G80" s="9" t="inlineStr">
        <is>
          <t>actif</t>
        </is>
      </c>
      <c r="H80" s="8" t="inlineStr">
        <is>
          <t>Planning encadrement 2026-27, groupe L2</t>
        </is>
      </c>
      <c r="I80" s="10" t="inlineStr">
        <is>
          <t>Prénom seul ou surnom : nom de famille à compléter</t>
        </is>
      </c>
      <c r="J80" s="12">
        <f>IF($A80="","",TRIM(IF($C80="",$B80,$C80&amp;" "&amp;$B80))&amp;" ["&amp;$A80&amp;"]")</f>
        <v/>
      </c>
      <c r="K80" s="12">
        <f>IF($A80="","",COUNTIF(Personnes!$C$5:$C$104,"&lt;"&amp;$C80)+COUNTIF($C$5:$C80,$C80))</f>
        <v/>
      </c>
    </row>
    <row r="81" ht="15" customHeight="1">
      <c r="A81" s="8" t="inlineStr">
        <is>
          <t>P092</t>
        </is>
      </c>
      <c r="B81" s="8" t="inlineStr">
        <is>
          <t>NIGEN</t>
        </is>
      </c>
      <c r="C81" s="8" t="inlineStr">
        <is>
          <t>Isabelle</t>
        </is>
      </c>
      <c r="D81" s="9" t="n"/>
      <c r="E81" s="11" t="n"/>
      <c r="F81" s="8" t="n"/>
      <c r="G81" s="9" t="inlineStr">
        <is>
          <t>actif</t>
        </is>
      </c>
      <c r="H81" s="8" t="inlineStr">
        <is>
          <t>Organisation des lignes 2026-2027 (transmis 05/09/2026, complement 06/09/2026)</t>
        </is>
      </c>
      <c r="I81" s="10" t="n"/>
      <c r="J81" s="12">
        <f>IF($A81="","",TRIM(IF($C81="",$B81,$C81&amp;" "&amp;$B81))&amp;" ["&amp;$A81&amp;"]")</f>
        <v/>
      </c>
      <c r="K81" s="12">
        <f>IF($A81="","",COUNTIF(Personnes!$C$5:$C$104,"&lt;"&amp;$C81)+COUNTIF($C$5:$C81,$C81))</f>
        <v/>
      </c>
    </row>
    <row r="82" ht="15" customHeight="1">
      <c r="A82" s="8" t="inlineStr">
        <is>
          <t>P093</t>
        </is>
      </c>
      <c r="B82" s="8" t="inlineStr">
        <is>
          <t>NOËL</t>
        </is>
      </c>
      <c r="C82" s="8" t="inlineStr">
        <is>
          <t>Vincent</t>
        </is>
      </c>
      <c r="D82" s="9" t="n"/>
      <c r="E82" s="11" t="n"/>
      <c r="F82" s="8" t="n"/>
      <c r="G82" s="9" t="inlineStr">
        <is>
          <t>actif</t>
        </is>
      </c>
      <c r="H82" s="8" t="inlineStr">
        <is>
          <t>Organisation des lignes 2026-2027 (transmis 05/09/2026, complement 06/09/2026)</t>
        </is>
      </c>
      <c r="I82" s="10" t="n"/>
      <c r="J82" s="12">
        <f>IF($A82="","",TRIM(IF($C82="",$B82,$C82&amp;" "&amp;$B82))&amp;" ["&amp;$A82&amp;"]")</f>
        <v/>
      </c>
      <c r="K82" s="12">
        <f>IF($A82="","",COUNTIF(Personnes!$C$5:$C$104,"&lt;"&amp;$C82)+COUNTIF($C$5:$C82,$C82))</f>
        <v/>
      </c>
    </row>
    <row r="83" ht="15" customHeight="1">
      <c r="A83" s="8" t="inlineStr">
        <is>
          <t>P103</t>
        </is>
      </c>
      <c r="B83" s="8" t="inlineStr">
        <is>
          <t>NOURA</t>
        </is>
      </c>
      <c r="C83" s="8" t="inlineStr">
        <is>
          <t>Karim</t>
        </is>
      </c>
      <c r="D83" s="9" t="n"/>
      <c r="E83" s="11" t="n"/>
      <c r="F83" s="8" t="n"/>
      <c r="G83" s="9" t="inlineStr">
        <is>
          <t>actif</t>
        </is>
      </c>
      <c r="H83" s="8" t="inlineStr">
        <is>
          <t>Organisation des lignes 2026-2027 (transmis 05/09/2026, complement 06/09/2026)</t>
        </is>
      </c>
      <c r="I83" s="10" t="n"/>
      <c r="J83" s="12">
        <f>IF($A83="","",TRIM(IF($C83="",$B83,$C83&amp;" "&amp;$B83))&amp;" ["&amp;$A83&amp;"]")</f>
        <v/>
      </c>
      <c r="K83" s="12">
        <f>IF($A83="","",COUNTIF(Personnes!$C$5:$C$104,"&lt;"&amp;$C83)+COUNTIF($C$5:$C83,$C83))</f>
        <v/>
      </c>
    </row>
    <row r="84" ht="15" customHeight="1">
      <c r="A84" s="8" t="inlineStr">
        <is>
          <t>P020</t>
        </is>
      </c>
      <c r="B84" s="8" t="inlineStr">
        <is>
          <t>PACTET</t>
        </is>
      </c>
      <c r="C84" s="8" t="inlineStr">
        <is>
          <t>Lucas</t>
        </is>
      </c>
      <c r="D84" s="9" t="n"/>
      <c r="E84" s="11" t="n"/>
      <c r="F84" s="8" t="n"/>
      <c r="G84" s="9" t="inlineStr">
        <is>
          <t>actif</t>
        </is>
      </c>
      <c r="H84" s="8" t="inlineStr">
        <is>
          <t>Classeur Suivi Apnéistes L3 2025-2026</t>
        </is>
      </c>
      <c r="I84" s="10" t="n"/>
      <c r="J84" s="12">
        <f>IF($A84="","",TRIM(IF($C84="",$B84,$C84&amp;" "&amp;$B84))&amp;" ["&amp;$A84&amp;"]")</f>
        <v/>
      </c>
      <c r="K84" s="12">
        <f>IF($A84="","",COUNTIF(Personnes!$C$5:$C$104,"&lt;"&amp;$C84)+COUNTIF($C$5:$C84,$C84))</f>
        <v/>
      </c>
    </row>
    <row r="85" ht="15" customHeight="1">
      <c r="A85" s="8" t="inlineStr">
        <is>
          <t>P059</t>
        </is>
      </c>
      <c r="B85" s="8" t="inlineStr">
        <is>
          <t>PALUD</t>
        </is>
      </c>
      <c r="C85" s="8" t="inlineStr">
        <is>
          <t>Sébastien</t>
        </is>
      </c>
      <c r="D85" s="9" t="n"/>
      <c r="E85" s="11" t="n"/>
      <c r="F85" s="8" t="inlineStr">
        <is>
          <t>sebastien.palud@gmail.com</t>
        </is>
      </c>
      <c r="G85" s="9" t="inlineStr">
        <is>
          <t>actif</t>
        </is>
      </c>
      <c r="H85" s="8" t="inlineStr">
        <is>
          <t>Planning encadrement 2026-27, groupe —</t>
        </is>
      </c>
      <c r="I85" s="10" t="inlineStr">
        <is>
          <t>Prénom seul ou surnom : nom de famille à compléter</t>
        </is>
      </c>
      <c r="J85" s="12">
        <f>IF($A85="","",TRIM(IF($C85="",$B85,$C85&amp;" "&amp;$B85))&amp;" ["&amp;$A85&amp;"]")</f>
        <v/>
      </c>
      <c r="K85" s="12">
        <f>IF($A85="","",COUNTIF(Personnes!$C$5:$C$104,"&lt;"&amp;$C85)+COUNTIF($C$5:$C85,$C85))</f>
        <v/>
      </c>
    </row>
    <row r="86" ht="15" customHeight="1">
      <c r="A86" s="8" t="inlineStr">
        <is>
          <t>P044</t>
        </is>
      </c>
      <c r="B86" s="8" t="inlineStr">
        <is>
          <t>PASCAL</t>
        </is>
      </c>
      <c r="C86" s="8" t="inlineStr">
        <is>
          <t>Alain</t>
        </is>
      </c>
      <c r="D86" s="9" t="n"/>
      <c r="E86" s="11" t="n"/>
      <c r="F86" s="8" t="inlineStr">
        <is>
          <t>linux.apa@gmail.com</t>
        </is>
      </c>
      <c r="G86" s="9" t="inlineStr">
        <is>
          <t>actif</t>
        </is>
      </c>
      <c r="H86" s="8" t="inlineStr">
        <is>
          <t>Planning encadrement 2026-27, groupe L4</t>
        </is>
      </c>
      <c r="I86" s="10" t="inlineStr">
        <is>
          <t>Prénom seul ou surnom : nom de famille à compléter</t>
        </is>
      </c>
      <c r="J86" s="12">
        <f>IF($A86="","",TRIM(IF($C86="",$B86,$C86&amp;" "&amp;$B86))&amp;" ["&amp;$A86&amp;"]")</f>
        <v/>
      </c>
      <c r="K86" s="12">
        <f>IF($A86="","",COUNTIF(Personnes!$C$5:$C$104,"&lt;"&amp;$C86)+COUNTIF($C$5:$C86,$C86))</f>
        <v/>
      </c>
    </row>
    <row r="87" ht="15" customHeight="1">
      <c r="A87" s="8" t="inlineStr">
        <is>
          <t>P016</t>
        </is>
      </c>
      <c r="B87" s="8" t="inlineStr">
        <is>
          <t>PEINADO</t>
        </is>
      </c>
      <c r="C87" s="8" t="inlineStr">
        <is>
          <t>Jérémy</t>
        </is>
      </c>
      <c r="D87" s="9" t="n"/>
      <c r="E87" s="11" t="n"/>
      <c r="F87" s="8" t="n"/>
      <c r="G87" s="9" t="inlineStr">
        <is>
          <t>actif</t>
        </is>
      </c>
      <c r="H87" s="8" t="inlineStr">
        <is>
          <t>Classeur Suivi Apnéistes L3 2025-2026</t>
        </is>
      </c>
      <c r="I87" s="10" t="n"/>
      <c r="J87" s="12">
        <f>IF($A87="","",TRIM(IF($C87="",$B87,$C87&amp;" "&amp;$B87))&amp;" ["&amp;$A87&amp;"]")</f>
        <v/>
      </c>
      <c r="K87" s="12">
        <f>IF($A87="","",COUNTIF(Personnes!$C$5:$C$104,"&lt;"&amp;$C87)+COUNTIF($C$5:$C87,$C87))</f>
        <v/>
      </c>
    </row>
    <row r="88" ht="15" customHeight="1">
      <c r="A88" s="8" t="inlineStr">
        <is>
          <t>P064</t>
        </is>
      </c>
      <c r="B88" s="8" t="inlineStr">
        <is>
          <t>SAINT MARTIN</t>
        </is>
      </c>
      <c r="C88" s="8" t="inlineStr">
        <is>
          <t>Leo</t>
        </is>
      </c>
      <c r="D88" s="9" t="n"/>
      <c r="E88" s="11" t="n"/>
      <c r="F88" s="8" t="inlineStr">
        <is>
          <t>leo.saintmartin@outlook.fr</t>
        </is>
      </c>
      <c r="G88" s="9" t="inlineStr">
        <is>
          <t>actif</t>
        </is>
      </c>
      <c r="H88" s="8" t="inlineStr">
        <is>
          <t>Planning encadrement 2026-27, groupe —</t>
        </is>
      </c>
      <c r="I88" s="10" t="inlineStr">
        <is>
          <t>Prénom seul ou surnom : nom de famille à compléter</t>
        </is>
      </c>
      <c r="J88" s="12">
        <f>IF($A88="","",TRIM(IF($C88="",$B88,$C88&amp;" "&amp;$B88))&amp;" ["&amp;$A88&amp;"]")</f>
        <v/>
      </c>
      <c r="K88" s="12">
        <f>IF($A88="","",COUNTIF(Personnes!$C$5:$C$104,"&lt;"&amp;$C88)+COUNTIF($C$5:$C88,$C88))</f>
        <v/>
      </c>
    </row>
    <row r="89" ht="15" customHeight="1">
      <c r="A89" s="8" t="inlineStr">
        <is>
          <t>P045</t>
        </is>
      </c>
      <c r="B89" s="8" t="inlineStr">
        <is>
          <t>SEGUI</t>
        </is>
      </c>
      <c r="C89" s="8" t="inlineStr">
        <is>
          <t>Danny</t>
        </is>
      </c>
      <c r="D89" s="9" t="n"/>
      <c r="E89" s="11" t="n"/>
      <c r="F89" s="8" t="inlineStr">
        <is>
          <t>d.segui@psm-ffessm.fr</t>
        </is>
      </c>
      <c r="G89" s="9" t="inlineStr">
        <is>
          <t>actif</t>
        </is>
      </c>
      <c r="H89" s="8" t="inlineStr">
        <is>
          <t>Planning encadrement 2026-27, groupe Gr. compéte</t>
        </is>
      </c>
      <c r="I89" s="10" t="inlineStr">
        <is>
          <t>Prénom seul ou surnom : nom de famille à compléter</t>
        </is>
      </c>
      <c r="J89" s="12">
        <f>IF($A89="","",TRIM(IF($C89="",$B89,$C89&amp;" "&amp;$B89))&amp;" ["&amp;$A89&amp;"]")</f>
        <v/>
      </c>
      <c r="K89" s="12">
        <f>IF($A89="","",COUNTIF(Personnes!$C$5:$C$104,"&lt;"&amp;$C89)+COUNTIF($C$5:$C89,$C89))</f>
        <v/>
      </c>
    </row>
    <row r="90" ht="15" customHeight="1">
      <c r="A90" s="8" t="inlineStr">
        <is>
          <t>P094</t>
        </is>
      </c>
      <c r="B90" s="8" t="inlineStr">
        <is>
          <t>SEVEDO</t>
        </is>
      </c>
      <c r="C90" s="8" t="inlineStr">
        <is>
          <t>Theo</t>
        </is>
      </c>
      <c r="D90" s="9" t="n"/>
      <c r="E90" s="11" t="n"/>
      <c r="F90" s="8" t="n"/>
      <c r="G90" s="9" t="inlineStr">
        <is>
          <t>actif</t>
        </is>
      </c>
      <c r="H90" s="8" t="inlineStr">
        <is>
          <t>Organisation des lignes 2026-2027 (transmis 05/09/2026, complement 06/09/2026)</t>
        </is>
      </c>
      <c r="I90" s="10" t="n"/>
      <c r="J90" s="12">
        <f>IF($A90="","",TRIM(IF($C90="",$B90,$C90&amp;" "&amp;$B90))&amp;" ["&amp;$A90&amp;"]")</f>
        <v/>
      </c>
      <c r="K90" s="12">
        <f>IF($A90="","",COUNTIF(Personnes!$C$5:$C$104,"&lt;"&amp;$C90)+COUNTIF($C$5:$C90,$C90))</f>
        <v/>
      </c>
    </row>
    <row r="91" ht="15" customHeight="1">
      <c r="A91" s="8" t="inlineStr">
        <is>
          <t>P099</t>
        </is>
      </c>
      <c r="B91" s="8" t="inlineStr">
        <is>
          <t>SIKORA</t>
        </is>
      </c>
      <c r="C91" s="8" t="inlineStr">
        <is>
          <t>Viktor</t>
        </is>
      </c>
      <c r="D91" s="9" t="n"/>
      <c r="E91" s="11" t="n"/>
      <c r="F91" s="8" t="n"/>
      <c r="G91" s="9" t="inlineStr">
        <is>
          <t>actif</t>
        </is>
      </c>
      <c r="H91" s="8" t="inlineStr">
        <is>
          <t>Organisation des lignes 2026-2027 (transmis 05/09/2026, complement 06/09/2026)</t>
        </is>
      </c>
      <c r="I91" s="10" t="n"/>
      <c r="J91" s="12">
        <f>IF($A91="","",TRIM(IF($C91="",$B91,$C91&amp;" "&amp;$B91))&amp;" ["&amp;$A91&amp;"]")</f>
        <v/>
      </c>
      <c r="K91" s="12">
        <f>IF($A91="","",COUNTIF(Personnes!$C$5:$C$104,"&lt;"&amp;$C91)+COUNTIF($C$5:$C91,$C91))</f>
        <v/>
      </c>
    </row>
    <row r="92" ht="15" customHeight="1">
      <c r="A92" s="8" t="inlineStr">
        <is>
          <t>P047</t>
        </is>
      </c>
      <c r="B92" s="8" t="inlineStr">
        <is>
          <t>STANKIEWICZ</t>
        </is>
      </c>
      <c r="C92" s="8" t="inlineStr">
        <is>
          <t>Katarina</t>
        </is>
      </c>
      <c r="D92" s="9" t="n"/>
      <c r="E92" s="11" t="n"/>
      <c r="F92" s="8" t="inlineStr">
        <is>
          <t>kasia.milena@gmail.com</t>
        </is>
      </c>
      <c r="G92" s="9" t="inlineStr">
        <is>
          <t>actif</t>
        </is>
      </c>
      <c r="H92" s="8" t="inlineStr">
        <is>
          <t>Planning encadrement 2026-27, groupe DNF 2</t>
        </is>
      </c>
      <c r="I92" s="10" t="inlineStr">
        <is>
          <t>Prénom seul ou surnom : nom de famille à compléter</t>
        </is>
      </c>
      <c r="J92" s="12">
        <f>IF($A92="","",TRIM(IF($C92="",$B92,$C92&amp;" "&amp;$B92))&amp;" ["&amp;$A92&amp;"]")</f>
        <v/>
      </c>
      <c r="K92" s="12">
        <f>IF($A92="","",COUNTIF(Personnes!$C$5:$C$104,"&lt;"&amp;$C92)+COUNTIF($C$5:$C92,$C92))</f>
        <v/>
      </c>
    </row>
    <row r="93" ht="15" customHeight="1">
      <c r="A93" s="8" t="inlineStr">
        <is>
          <t>P095</t>
        </is>
      </c>
      <c r="B93" s="8" t="inlineStr">
        <is>
          <t>TESSON</t>
        </is>
      </c>
      <c r="C93" s="8" t="inlineStr">
        <is>
          <t>Marine</t>
        </is>
      </c>
      <c r="D93" s="9" t="n"/>
      <c r="E93" s="11" t="n"/>
      <c r="F93" s="8" t="n"/>
      <c r="G93" s="9" t="inlineStr">
        <is>
          <t>actif</t>
        </is>
      </c>
      <c r="H93" s="8" t="inlineStr">
        <is>
          <t>Organisation des lignes 2026-2027 (transmis 05/09/2026, complement 06/09/2026)</t>
        </is>
      </c>
      <c r="I93" s="10" t="n"/>
      <c r="J93" s="12">
        <f>IF($A93="","",TRIM(IF($C93="",$B93,$C93&amp;" "&amp;$B93))&amp;" ["&amp;$A93&amp;"]")</f>
        <v/>
      </c>
      <c r="K93" s="12">
        <f>IF($A93="","",COUNTIF(Personnes!$C$5:$C$104,"&lt;"&amp;$C93)+COUNTIF($C$5:$C93,$C93))</f>
        <v/>
      </c>
    </row>
    <row r="94" ht="15" customHeight="1">
      <c r="A94" s="8" t="inlineStr">
        <is>
          <t>P026</t>
        </is>
      </c>
      <c r="B94" s="8" t="inlineStr">
        <is>
          <t>VALENTINI</t>
        </is>
      </c>
      <c r="C94" s="8" t="inlineStr">
        <is>
          <t>Pauline</t>
        </is>
      </c>
      <c r="D94" s="9" t="n"/>
      <c r="E94" s="11" t="n"/>
      <c r="F94" s="8" t="inlineStr">
        <is>
          <t>p.valentini@hotmail.fr</t>
        </is>
      </c>
      <c r="G94" s="9" t="inlineStr">
        <is>
          <t>actif</t>
        </is>
      </c>
      <c r="H94" s="8" t="inlineStr">
        <is>
          <t>Classeur Suivi Apnéistes L3 2025-2026</t>
        </is>
      </c>
      <c r="I94" s="10" t="n"/>
      <c r="J94" s="12">
        <f>IF($A94="","",TRIM(IF($C94="",$B94,$C94&amp;" "&amp;$B94))&amp;" ["&amp;$A94&amp;"]")</f>
        <v/>
      </c>
      <c r="K94" s="12">
        <f>IF($A94="","",COUNTIF(Personnes!$C$5:$C$104,"&lt;"&amp;$C94)+COUNTIF($C$5:$C94,$C94))</f>
        <v/>
      </c>
    </row>
    <row r="95" ht="15" customHeight="1">
      <c r="A95" s="8" t="inlineStr">
        <is>
          <t>P062</t>
        </is>
      </c>
      <c r="B95" s="8" t="inlineStr">
        <is>
          <t>VENOT</t>
        </is>
      </c>
      <c r="C95" s="8" t="inlineStr">
        <is>
          <t>Eric</t>
        </is>
      </c>
      <c r="D95" s="9" t="n"/>
      <c r="E95" s="11" t="n"/>
      <c r="F95" s="8" t="inlineStr">
        <is>
          <t>ericvenot@hotmail.com</t>
        </is>
      </c>
      <c r="G95" s="9" t="inlineStr">
        <is>
          <t>actif</t>
        </is>
      </c>
      <c r="H95" s="8" t="inlineStr">
        <is>
          <t>Planning encadrement 2026-27, groupe —</t>
        </is>
      </c>
      <c r="I95" s="10" t="inlineStr">
        <is>
          <t>Prénom seul ou surnom : nom de famille à compléter</t>
        </is>
      </c>
      <c r="J95" s="12">
        <f>IF($A95="","",TRIM(IF($C95="",$B95,$C95&amp;" "&amp;$B95))&amp;" ["&amp;$A95&amp;"]")</f>
        <v/>
      </c>
      <c r="K95" s="12">
        <f>IF($A95="","",COUNTIF(Personnes!$C$5:$C$104,"&lt;"&amp;$C95)+COUNTIF($C$5:$C95,$C95))</f>
        <v/>
      </c>
    </row>
    <row r="96" ht="15" customHeight="1">
      <c r="A96" s="8" t="inlineStr">
        <is>
          <t>P036</t>
        </is>
      </c>
      <c r="B96" s="8" t="inlineStr">
        <is>
          <t>WALLON</t>
        </is>
      </c>
      <c r="C96" s="8" t="inlineStr">
        <is>
          <t>Sandry</t>
        </is>
      </c>
      <c r="D96" s="9" t="n"/>
      <c r="E96" s="11" t="n"/>
      <c r="F96" s="8" t="inlineStr">
        <is>
          <t>sandry.wallon@gmail.com</t>
        </is>
      </c>
      <c r="G96" s="9" t="inlineStr">
        <is>
          <t>actif</t>
        </is>
      </c>
      <c r="H96" s="8" t="inlineStr">
        <is>
          <t>Planning encadrement 2026-27, groupe L3</t>
        </is>
      </c>
      <c r="I96" s="10" t="inlineStr">
        <is>
          <t>Prénom seul ou surnom : nom de famille à compléter</t>
        </is>
      </c>
      <c r="J96" s="12">
        <f>IF($A96="","",TRIM(IF($C96="",$B96,$C96&amp;" "&amp;$B96))&amp;" ["&amp;$A96&amp;"]")</f>
        <v/>
      </c>
      <c r="K96" s="12">
        <f>IF($A96="","",COUNTIF(Personnes!$C$5:$C$104,"&lt;"&amp;$C96)+COUNTIF($C$5:$C96,$C96))</f>
        <v/>
      </c>
    </row>
    <row r="97" ht="15" customHeight="1">
      <c r="A97" s="8" t="inlineStr">
        <is>
          <t>P096</t>
        </is>
      </c>
      <c r="B97" s="8" t="inlineStr">
        <is>
          <t>WALLON</t>
        </is>
      </c>
      <c r="C97" s="8" t="inlineStr">
        <is>
          <t>Sylvie</t>
        </is>
      </c>
      <c r="D97" s="9" t="n"/>
      <c r="E97" s="11" t="n"/>
      <c r="F97" s="8" t="n"/>
      <c r="G97" s="9" t="inlineStr">
        <is>
          <t>actif</t>
        </is>
      </c>
      <c r="H97" s="8" t="inlineStr">
        <is>
          <t>Organisation des lignes 2026-2027 (transmis 05/09/2026, complement 06/09/2026)</t>
        </is>
      </c>
      <c r="I97" s="10" t="n"/>
      <c r="J97" s="12">
        <f>IF($A97="","",TRIM(IF($C97="",$B97,$C97&amp;" "&amp;$B97))&amp;" ["&amp;$A97&amp;"]")</f>
        <v/>
      </c>
      <c r="K97" s="12">
        <f>IF($A97="","",COUNTIF(Personnes!$C$5:$C$104,"&lt;"&amp;$C97)+COUNTIF($C$5:$C97,$C97))</f>
        <v/>
      </c>
    </row>
    <row r="98" ht="15" customHeight="1">
      <c r="A98" s="8" t="inlineStr">
        <is>
          <t>P013</t>
        </is>
      </c>
      <c r="B98" s="8" t="inlineStr">
        <is>
          <t>WANG</t>
        </is>
      </c>
      <c r="C98" s="8" t="inlineStr">
        <is>
          <t>Francis</t>
        </is>
      </c>
      <c r="D98" s="9" t="n"/>
      <c r="E98" s="11" t="n"/>
      <c r="F98" s="8" t="inlineStr">
        <is>
          <t>frawan@gmail.com</t>
        </is>
      </c>
      <c r="G98" s="9" t="inlineStr">
        <is>
          <t>actif</t>
        </is>
      </c>
      <c r="H98" s="8" t="inlineStr">
        <is>
          <t>Classeur Suivi Apnéistes L3 2025-2026</t>
        </is>
      </c>
      <c r="I98" s="10" t="n"/>
      <c r="J98" s="12">
        <f>IF($A98="","",TRIM(IF($C98="",$B98,$C98&amp;" "&amp;$B98))&amp;" ["&amp;$A98&amp;"]")</f>
        <v/>
      </c>
      <c r="K98" s="12">
        <f>IF($A98="","",COUNTIF(Personnes!$C$5:$C$104,"&lt;"&amp;$C98)+COUNTIF($C$5:$C98,$C98))</f>
        <v/>
      </c>
    </row>
    <row r="99" ht="15" customHeight="1">
      <c r="A99" s="8" t="inlineStr">
        <is>
          <t>P021</t>
        </is>
      </c>
      <c r="B99" s="8" t="inlineStr">
        <is>
          <t>YOUNSSI</t>
        </is>
      </c>
      <c r="C99" s="8" t="inlineStr">
        <is>
          <t>Mariem</t>
        </is>
      </c>
      <c r="D99" s="9" t="n"/>
      <c r="E99" s="11" t="n"/>
      <c r="F99" s="8" t="n"/>
      <c r="G99" s="9" t="inlineStr">
        <is>
          <t>actif</t>
        </is>
      </c>
      <c r="H99" s="8" t="inlineStr">
        <is>
          <t>Classeur Suivi Apnéistes L3 2025-2026</t>
        </is>
      </c>
      <c r="I99" s="10" t="n"/>
      <c r="J99" s="12">
        <f>IF($A99="","",TRIM(IF($C99="",$B99,$C99&amp;" "&amp;$B99))&amp;" ["&amp;$A99&amp;"]")</f>
        <v/>
      </c>
      <c r="K99" s="12">
        <f>IF($A99="","",COUNTIF(Personnes!$C$5:$C$104,"&lt;"&amp;$C99)+COUNTIF($C$5:$C99,$C99))</f>
        <v/>
      </c>
    </row>
    <row r="100" ht="15" customHeight="1">
      <c r="A100" s="8" t="inlineStr">
        <is>
          <t>P065</t>
        </is>
      </c>
      <c r="B100" s="8" t="n"/>
      <c r="C100" s="8" t="inlineStr">
        <is>
          <t>Suah</t>
        </is>
      </c>
      <c r="D100" s="9" t="n"/>
      <c r="E100" s="11" t="n"/>
      <c r="F100" s="8" t="n"/>
      <c r="G100" s="9" t="inlineStr">
        <is>
          <t>actif</t>
        </is>
      </c>
      <c r="H100" s="8" t="inlineStr">
        <is>
          <t>Planning encadrement 2026-27, groupe —</t>
        </is>
      </c>
      <c r="I100" s="10" t="inlineStr">
        <is>
          <t>Prénom seul ou surnom : nom de famille à compléter</t>
        </is>
      </c>
      <c r="J100" s="12">
        <f>IF($A100="","",TRIM(IF($C100="",$B100,$C100&amp;" "&amp;$B100))&amp;" ["&amp;$A100&amp;"]")</f>
        <v/>
      </c>
      <c r="K100" s="12">
        <f>IF($A100="","",COUNTIF(Personnes!$C$5:$C$104,"&lt;"&amp;$C100)+COUNTIF($C$5:$C100,$C100))</f>
        <v/>
      </c>
    </row>
    <row r="101" ht="15" customHeight="1">
      <c r="A101" s="8" t="n"/>
      <c r="B101" s="8" t="n"/>
      <c r="C101" s="8" t="n"/>
      <c r="D101" s="9" t="n"/>
      <c r="E101" s="11" t="n"/>
      <c r="F101" s="8" t="n"/>
      <c r="G101" s="9" t="n"/>
      <c r="H101" s="8" t="n"/>
      <c r="I101" s="10" t="n"/>
      <c r="J101" s="12">
        <f>IF($A101="","",TRIM(IF($C101="",$B101,$C101&amp;" "&amp;$B101))&amp;" ["&amp;$A101&amp;"]")</f>
        <v/>
      </c>
      <c r="K101" s="12">
        <f>IF($A101="","",COUNTIF(Personnes!$C$5:$C$104,"&lt;"&amp;$C101)+COUNTIF($C$5:$C101,$C101))</f>
        <v/>
      </c>
    </row>
    <row r="102">
      <c r="A102" s="8" t="n"/>
      <c r="B102" s="8" t="n"/>
      <c r="C102" s="8" t="n"/>
      <c r="D102" s="9" t="n"/>
      <c r="E102" s="11" t="n"/>
      <c r="F102" s="8" t="n"/>
      <c r="G102" s="9" t="n"/>
      <c r="H102" s="8" t="n"/>
      <c r="I102" s="10" t="n"/>
      <c r="J102" s="12">
        <f>IF($A102="","",TRIM(IF($C102="",$B102,$C102&amp;" "&amp;$B102))&amp;" ["&amp;$A102&amp;"]")</f>
        <v/>
      </c>
      <c r="K102" s="12">
        <f>IF($A102="","",COUNTIF(Personnes!$C$5:$C$104,"&lt;"&amp;$C102)+COUNTIF($C$5:$C102,$C102))</f>
        <v/>
      </c>
    </row>
    <row r="103">
      <c r="A103" s="8" t="n"/>
      <c r="B103" s="8" t="n"/>
      <c r="C103" s="8" t="n"/>
      <c r="D103" s="9" t="n"/>
      <c r="E103" s="11" t="n"/>
      <c r="F103" s="8" t="n"/>
      <c r="G103" s="9" t="n"/>
      <c r="H103" s="8" t="n"/>
      <c r="I103" s="10" t="n"/>
      <c r="J103" s="12">
        <f>IF($A103="","",TRIM(IF($C103="",$B103,$C103&amp;" "&amp;$B103))&amp;" ["&amp;$A103&amp;"]")</f>
        <v/>
      </c>
      <c r="K103" s="12">
        <f>IF($A103="","",COUNTIF(Personnes!$C$5:$C$104,"&lt;"&amp;$C103)+COUNTIF($C$5:$C103,$C103))</f>
        <v/>
      </c>
    </row>
    <row r="104">
      <c r="A104" s="8" t="n"/>
      <c r="B104" s="8" t="n"/>
      <c r="C104" s="8" t="n"/>
      <c r="D104" s="9" t="n"/>
      <c r="E104" s="11" t="n"/>
      <c r="F104" s="8" t="n"/>
      <c r="G104" s="9" t="n"/>
      <c r="H104" s="8" t="n"/>
      <c r="I104" s="10" t="n"/>
      <c r="J104" s="12">
        <f>IF($A104="","",TRIM(IF($C104="",$B104,$C104&amp;" "&amp;$B104))&amp;" ["&amp;$A104&amp;"]")</f>
        <v/>
      </c>
      <c r="K104" s="12">
        <f>IF($A104="","",COUNTIF(Personnes!$C$5:$C$104,"&lt;"&amp;$C104)+COUNTIF($C$5:$C104,$C104))</f>
        <v/>
      </c>
    </row>
  </sheetData>
  <dataValidations disablePrompts="1" count="2">
    <dataValidation sqref="D5:D104" showDropDown="0" showInputMessage="0" showErrorMessage="0" allowBlank="1" type="list">
      <formula1>"F,H,non renseigné"</formula1>
    </dataValidation>
    <dataValidation sqref="G5:G104" showDropDown="0" showInputMessage="0" showErrorMessage="0" allowBlank="1" type="list">
      <formula1>"actif,inactif,invité,en attente de validation"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F4E5F"/>
    <outlinePr summaryBelow="1" summaryRight="1"/>
    <pageSetUpPr/>
  </sheetPr>
  <dimension ref="A1:K20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4" customWidth="1" min="1" max="1"/>
    <col width="12" customWidth="1" min="2" max="2"/>
    <col width="20" customWidth="1" min="3" max="3"/>
    <col width="14" customWidth="1" min="4" max="4"/>
    <col width="13" customWidth="1" min="5" max="5"/>
    <col width="16" customWidth="1" min="6" max="6"/>
    <col width="40" customWidth="1" min="7" max="7"/>
    <col width="14" customWidth="1" min="8" max="9"/>
    <col width="9" customWidth="1" min="10" max="10"/>
    <col width="40" customWidth="1" min="11" max="11"/>
  </cols>
  <sheetData>
    <row r="1" ht="18" customHeight="1">
      <c r="A1" s="4" t="inlineStr">
        <is>
          <t>Qualifications détenues</t>
        </is>
      </c>
    </row>
    <row r="2">
      <c r="A2" s="5" t="inlineStr">
        <is>
          <t>Sélectionnez la personne : l'identifiant, le nom et le prénom se remplissent tout seuls.</t>
        </is>
      </c>
    </row>
    <row r="4" ht="32" customHeight="1">
      <c r="A4" s="7" t="inlineStr">
        <is>
          <t>Sélection par nom ou prénom</t>
        </is>
      </c>
      <c r="B4" s="7" t="inlineStr">
        <is>
          <t>Personne (ID)</t>
        </is>
      </c>
      <c r="C4" s="7" t="inlineStr">
        <is>
          <t>Nom</t>
        </is>
      </c>
      <c r="D4" s="7" t="inlineStr">
        <is>
          <t>Prénom</t>
        </is>
      </c>
      <c r="E4" s="7" t="inlineStr">
        <is>
          <t>Qualification</t>
        </is>
      </c>
      <c r="F4" s="7" t="inlineStr">
        <is>
          <t>Type (calculé)</t>
        </is>
      </c>
      <c r="G4" s="7" t="inlineStr">
        <is>
          <t>Libellé (calculé)</t>
        </is>
      </c>
      <c r="H4" s="7" t="inlineStr">
        <is>
          <t>Date d'obtention</t>
        </is>
      </c>
      <c r="I4" s="7" t="inlineStr">
        <is>
          <t>Date de recyclage</t>
        </is>
      </c>
      <c r="J4" s="7" t="inlineStr">
        <is>
          <t>Valide</t>
        </is>
      </c>
      <c r="K4" s="7" t="inlineStr">
        <is>
          <t>Commentaire</t>
        </is>
      </c>
    </row>
    <row r="5">
      <c r="A5" s="14" t="n"/>
      <c r="B5" s="15">
        <f>IFERROR(MID($A5,FIND("[",$A5)+1,FIND("]",$A5)-FIND("[",$A5)-1),"")</f>
        <v/>
      </c>
      <c r="C5" s="15">
        <f>IFERROR(INDEX(Personnes!$B$5:$B$153,MATCH($B5,Personnes!$A$5:$A$153,0))&amp;"","")</f>
        <v/>
      </c>
      <c r="D5" s="15">
        <f>IFERROR(INDEX(Personnes!$C$5:$C$153,MATCH($B5,Personnes!$A$5:$A$153,0))&amp;"","")</f>
        <v/>
      </c>
      <c r="E5" s="14" t="n"/>
      <c r="F5" s="15">
        <f>IFERROR(INDEX(Referentiels!$C$66:$C$76,MATCH($E5,Referentiels!$A$66:$A$76,0))&amp;"","")</f>
        <v/>
      </c>
      <c r="G5" s="15">
        <f>IFERROR(INDEX(Referentiels!$B$66:$B$76,MATCH($E5,Referentiels!$A$66:$A$76,0))&amp;"","")</f>
        <v/>
      </c>
      <c r="H5" s="16" t="n"/>
      <c r="I5" s="16" t="n"/>
      <c r="J5" s="14" t="n"/>
      <c r="K5" s="18" t="n"/>
    </row>
    <row r="6">
      <c r="A6" s="14" t="n"/>
      <c r="B6" s="15">
        <f>IFERROR(MID($A6,FIND("[",$A6)+1,FIND("]",$A6)-FIND("[",$A6)-1),"")</f>
        <v/>
      </c>
      <c r="C6" s="15">
        <f>IFERROR(INDEX(Personnes!$B$5:$B$153,MATCH($B6,Personnes!$A$5:$A$153,0))&amp;"","")</f>
        <v/>
      </c>
      <c r="D6" s="15">
        <f>IFERROR(INDEX(Personnes!$C$5:$C$153,MATCH($B6,Personnes!$A$5:$A$153,0))&amp;"","")</f>
        <v/>
      </c>
      <c r="E6" s="14" t="n"/>
      <c r="F6" s="15">
        <f>IFERROR(INDEX(Referentiels!$C$66:$C$76,MATCH($E6,Referentiels!$A$66:$A$76,0))&amp;"","")</f>
        <v/>
      </c>
      <c r="G6" s="15">
        <f>IFERROR(INDEX(Referentiels!$B$66:$B$76,MATCH($E6,Referentiels!$A$66:$A$76,0))&amp;"","")</f>
        <v/>
      </c>
      <c r="H6" s="16" t="n"/>
      <c r="I6" s="16" t="n"/>
      <c r="J6" s="14" t="n"/>
      <c r="K6" s="18" t="n"/>
    </row>
    <row r="7">
      <c r="A7" s="14" t="n"/>
      <c r="B7" s="15">
        <f>IFERROR(MID($A7,FIND("[",$A7)+1,FIND("]",$A7)-FIND("[",$A7)-1),"")</f>
        <v/>
      </c>
      <c r="C7" s="15">
        <f>IFERROR(INDEX(Personnes!$B$5:$B$153,MATCH($B7,Personnes!$A$5:$A$153,0))&amp;"","")</f>
        <v/>
      </c>
      <c r="D7" s="15">
        <f>IFERROR(INDEX(Personnes!$C$5:$C$153,MATCH($B7,Personnes!$A$5:$A$153,0))&amp;"","")</f>
        <v/>
      </c>
      <c r="E7" s="14" t="n"/>
      <c r="F7" s="15">
        <f>IFERROR(INDEX(Referentiels!$C$66:$C$76,MATCH($E7,Referentiels!$A$66:$A$76,0))&amp;"","")</f>
        <v/>
      </c>
      <c r="G7" s="15">
        <f>IFERROR(INDEX(Referentiels!$B$66:$B$76,MATCH($E7,Referentiels!$A$66:$A$76,0))&amp;"","")</f>
        <v/>
      </c>
      <c r="H7" s="16" t="n"/>
      <c r="I7" s="16" t="n"/>
      <c r="J7" s="14" t="n"/>
      <c r="K7" s="18" t="n"/>
    </row>
    <row r="8">
      <c r="A8" s="14" t="n"/>
      <c r="B8" s="15">
        <f>IFERROR(MID($A8,FIND("[",$A8)+1,FIND("]",$A8)-FIND("[",$A8)-1),"")</f>
        <v/>
      </c>
      <c r="C8" s="15">
        <f>IFERROR(INDEX(Personnes!$B$5:$B$153,MATCH($B8,Personnes!$A$5:$A$153,0))&amp;"","")</f>
        <v/>
      </c>
      <c r="D8" s="15">
        <f>IFERROR(INDEX(Personnes!$C$5:$C$153,MATCH($B8,Personnes!$A$5:$A$153,0))&amp;"","")</f>
        <v/>
      </c>
      <c r="E8" s="14" t="n"/>
      <c r="F8" s="15">
        <f>IFERROR(INDEX(Referentiels!$C$66:$C$76,MATCH($E8,Referentiels!$A$66:$A$76,0))&amp;"","")</f>
        <v/>
      </c>
      <c r="G8" s="15">
        <f>IFERROR(INDEX(Referentiels!$B$66:$B$76,MATCH($E8,Referentiels!$A$66:$A$76,0))&amp;"","")</f>
        <v/>
      </c>
      <c r="H8" s="16" t="n"/>
      <c r="I8" s="16" t="n"/>
      <c r="J8" s="14" t="n"/>
      <c r="K8" s="18" t="n"/>
    </row>
    <row r="9">
      <c r="A9" s="14" t="n"/>
      <c r="B9" s="15">
        <f>IFERROR(MID($A9,FIND("[",$A9)+1,FIND("]",$A9)-FIND("[",$A9)-1),"")</f>
        <v/>
      </c>
      <c r="C9" s="15">
        <f>IFERROR(INDEX(Personnes!$B$5:$B$153,MATCH($B9,Personnes!$A$5:$A$153,0))&amp;"","")</f>
        <v/>
      </c>
      <c r="D9" s="15">
        <f>IFERROR(INDEX(Personnes!$C$5:$C$153,MATCH($B9,Personnes!$A$5:$A$153,0))&amp;"","")</f>
        <v/>
      </c>
      <c r="E9" s="14" t="n"/>
      <c r="F9" s="15">
        <f>IFERROR(INDEX(Referentiels!$C$66:$C$76,MATCH($E9,Referentiels!$A$66:$A$76,0))&amp;"","")</f>
        <v/>
      </c>
      <c r="G9" s="15">
        <f>IFERROR(INDEX(Referentiels!$B$66:$B$76,MATCH($E9,Referentiels!$A$66:$A$76,0))&amp;"","")</f>
        <v/>
      </c>
      <c r="H9" s="16" t="n"/>
      <c r="I9" s="16" t="n"/>
      <c r="J9" s="14" t="n"/>
      <c r="K9" s="18" t="n"/>
    </row>
    <row r="10">
      <c r="A10" s="14" t="n"/>
      <c r="B10" s="15">
        <f>IFERROR(MID($A10,FIND("[",$A10)+1,FIND("]",$A10)-FIND("[",$A10)-1),"")</f>
        <v/>
      </c>
      <c r="C10" s="15">
        <f>IFERROR(INDEX(Personnes!$B$5:$B$153,MATCH($B10,Personnes!$A$5:$A$153,0))&amp;"","")</f>
        <v/>
      </c>
      <c r="D10" s="15">
        <f>IFERROR(INDEX(Personnes!$C$5:$C$153,MATCH($B10,Personnes!$A$5:$A$153,0))&amp;"","")</f>
        <v/>
      </c>
      <c r="E10" s="14" t="n"/>
      <c r="F10" s="15">
        <f>IFERROR(INDEX(Referentiels!$C$66:$C$76,MATCH($E10,Referentiels!$A$66:$A$76,0))&amp;"","")</f>
        <v/>
      </c>
      <c r="G10" s="15">
        <f>IFERROR(INDEX(Referentiels!$B$66:$B$76,MATCH($E10,Referentiels!$A$66:$A$76,0))&amp;"","")</f>
        <v/>
      </c>
      <c r="H10" s="16" t="n"/>
      <c r="I10" s="16" t="n"/>
      <c r="J10" s="14" t="n"/>
      <c r="K10" s="18" t="n"/>
    </row>
    <row r="11">
      <c r="A11" s="14" t="n"/>
      <c r="B11" s="15">
        <f>IFERROR(MID($A11,FIND("[",$A11)+1,FIND("]",$A11)-FIND("[",$A11)-1),"")</f>
        <v/>
      </c>
      <c r="C11" s="15">
        <f>IFERROR(INDEX(Personnes!$B$5:$B$153,MATCH($B11,Personnes!$A$5:$A$153,0))&amp;"","")</f>
        <v/>
      </c>
      <c r="D11" s="15">
        <f>IFERROR(INDEX(Personnes!$C$5:$C$153,MATCH($B11,Personnes!$A$5:$A$153,0))&amp;"","")</f>
        <v/>
      </c>
      <c r="E11" s="14" t="n"/>
      <c r="F11" s="15">
        <f>IFERROR(INDEX(Referentiels!$C$66:$C$76,MATCH($E11,Referentiels!$A$66:$A$76,0))&amp;"","")</f>
        <v/>
      </c>
      <c r="G11" s="15">
        <f>IFERROR(INDEX(Referentiels!$B$66:$B$76,MATCH($E11,Referentiels!$A$66:$A$76,0))&amp;"","")</f>
        <v/>
      </c>
      <c r="H11" s="16" t="n"/>
      <c r="I11" s="16" t="n"/>
      <c r="J11" s="14" t="n"/>
      <c r="K11" s="18" t="n"/>
    </row>
    <row r="12">
      <c r="A12" s="14" t="n"/>
      <c r="B12" s="15">
        <f>IFERROR(MID($A12,FIND("[",$A12)+1,FIND("]",$A12)-FIND("[",$A12)-1),"")</f>
        <v/>
      </c>
      <c r="C12" s="15">
        <f>IFERROR(INDEX(Personnes!$B$5:$B$153,MATCH($B12,Personnes!$A$5:$A$153,0))&amp;"","")</f>
        <v/>
      </c>
      <c r="D12" s="15">
        <f>IFERROR(INDEX(Personnes!$C$5:$C$153,MATCH($B12,Personnes!$A$5:$A$153,0))&amp;"","")</f>
        <v/>
      </c>
      <c r="E12" s="14" t="n"/>
      <c r="F12" s="15">
        <f>IFERROR(INDEX(Referentiels!$C$66:$C$76,MATCH($E12,Referentiels!$A$66:$A$76,0))&amp;"","")</f>
        <v/>
      </c>
      <c r="G12" s="15">
        <f>IFERROR(INDEX(Referentiels!$B$66:$B$76,MATCH($E12,Referentiels!$A$66:$A$76,0))&amp;"","")</f>
        <v/>
      </c>
      <c r="H12" s="16" t="n"/>
      <c r="I12" s="16" t="n"/>
      <c r="J12" s="14" t="n"/>
      <c r="K12" s="18" t="n"/>
    </row>
    <row r="13">
      <c r="A13" s="14" t="n"/>
      <c r="B13" s="15">
        <f>IFERROR(MID($A13,FIND("[",$A13)+1,FIND("]",$A13)-FIND("[",$A13)-1),"")</f>
        <v/>
      </c>
      <c r="C13" s="15">
        <f>IFERROR(INDEX(Personnes!$B$5:$B$153,MATCH($B13,Personnes!$A$5:$A$153,0))&amp;"","")</f>
        <v/>
      </c>
      <c r="D13" s="15">
        <f>IFERROR(INDEX(Personnes!$C$5:$C$153,MATCH($B13,Personnes!$A$5:$A$153,0))&amp;"","")</f>
        <v/>
      </c>
      <c r="E13" s="14" t="n"/>
      <c r="F13" s="15">
        <f>IFERROR(INDEX(Referentiels!$C$66:$C$76,MATCH($E13,Referentiels!$A$66:$A$76,0))&amp;"","")</f>
        <v/>
      </c>
      <c r="G13" s="15">
        <f>IFERROR(INDEX(Referentiels!$B$66:$B$76,MATCH($E13,Referentiels!$A$66:$A$76,0))&amp;"","")</f>
        <v/>
      </c>
      <c r="H13" s="16" t="n"/>
      <c r="I13" s="16" t="n"/>
      <c r="J13" s="14" t="n"/>
      <c r="K13" s="18" t="n"/>
    </row>
    <row r="14">
      <c r="A14" s="14" t="n"/>
      <c r="B14" s="15">
        <f>IFERROR(MID($A14,FIND("[",$A14)+1,FIND("]",$A14)-FIND("[",$A14)-1),"")</f>
        <v/>
      </c>
      <c r="C14" s="15">
        <f>IFERROR(INDEX(Personnes!$B$5:$B$153,MATCH($B14,Personnes!$A$5:$A$153,0))&amp;"","")</f>
        <v/>
      </c>
      <c r="D14" s="15">
        <f>IFERROR(INDEX(Personnes!$C$5:$C$153,MATCH($B14,Personnes!$A$5:$A$153,0))&amp;"","")</f>
        <v/>
      </c>
      <c r="E14" s="14" t="n"/>
      <c r="F14" s="15">
        <f>IFERROR(INDEX(Referentiels!$C$66:$C$76,MATCH($E14,Referentiels!$A$66:$A$76,0))&amp;"","")</f>
        <v/>
      </c>
      <c r="G14" s="15">
        <f>IFERROR(INDEX(Referentiels!$B$66:$B$76,MATCH($E14,Referentiels!$A$66:$A$76,0))&amp;"","")</f>
        <v/>
      </c>
      <c r="H14" s="16" t="n"/>
      <c r="I14" s="16" t="n"/>
      <c r="J14" s="14" t="n"/>
      <c r="K14" s="18" t="n"/>
    </row>
    <row r="15">
      <c r="A15" s="14" t="n"/>
      <c r="B15" s="15">
        <f>IFERROR(MID($A15,FIND("[",$A15)+1,FIND("]",$A15)-FIND("[",$A15)-1),"")</f>
        <v/>
      </c>
      <c r="C15" s="15">
        <f>IFERROR(INDEX(Personnes!$B$5:$B$153,MATCH($B15,Personnes!$A$5:$A$153,0))&amp;"","")</f>
        <v/>
      </c>
      <c r="D15" s="15">
        <f>IFERROR(INDEX(Personnes!$C$5:$C$153,MATCH($B15,Personnes!$A$5:$A$153,0))&amp;"","")</f>
        <v/>
      </c>
      <c r="E15" s="14" t="n"/>
      <c r="F15" s="15">
        <f>IFERROR(INDEX(Referentiels!$C$66:$C$76,MATCH($E15,Referentiels!$A$66:$A$76,0))&amp;"","")</f>
        <v/>
      </c>
      <c r="G15" s="15">
        <f>IFERROR(INDEX(Referentiels!$B$66:$B$76,MATCH($E15,Referentiels!$A$66:$A$76,0))&amp;"","")</f>
        <v/>
      </c>
      <c r="H15" s="16" t="n"/>
      <c r="I15" s="16" t="n"/>
      <c r="J15" s="14" t="n"/>
      <c r="K15" s="18" t="n"/>
    </row>
    <row r="16">
      <c r="A16" s="14" t="n"/>
      <c r="B16" s="15">
        <f>IFERROR(MID($A16,FIND("[",$A16)+1,FIND("]",$A16)-FIND("[",$A16)-1),"")</f>
        <v/>
      </c>
      <c r="C16" s="15">
        <f>IFERROR(INDEX(Personnes!$B$5:$B$153,MATCH($B16,Personnes!$A$5:$A$153,0))&amp;"","")</f>
        <v/>
      </c>
      <c r="D16" s="15">
        <f>IFERROR(INDEX(Personnes!$C$5:$C$153,MATCH($B16,Personnes!$A$5:$A$153,0))&amp;"","")</f>
        <v/>
      </c>
      <c r="E16" s="14" t="n"/>
      <c r="F16" s="15">
        <f>IFERROR(INDEX(Referentiels!$C$66:$C$76,MATCH($E16,Referentiels!$A$66:$A$76,0))&amp;"","")</f>
        <v/>
      </c>
      <c r="G16" s="15">
        <f>IFERROR(INDEX(Referentiels!$B$66:$B$76,MATCH($E16,Referentiels!$A$66:$A$76,0))&amp;"","")</f>
        <v/>
      </c>
      <c r="H16" s="16" t="n"/>
      <c r="I16" s="16" t="n"/>
      <c r="J16" s="14" t="n"/>
      <c r="K16" s="18" t="n"/>
    </row>
    <row r="17">
      <c r="A17" s="14" t="n"/>
      <c r="B17" s="15">
        <f>IFERROR(MID($A17,FIND("[",$A17)+1,FIND("]",$A17)-FIND("[",$A17)-1),"")</f>
        <v/>
      </c>
      <c r="C17" s="15">
        <f>IFERROR(INDEX(Personnes!$B$5:$B$153,MATCH($B17,Personnes!$A$5:$A$153,0))&amp;"","")</f>
        <v/>
      </c>
      <c r="D17" s="15">
        <f>IFERROR(INDEX(Personnes!$C$5:$C$153,MATCH($B17,Personnes!$A$5:$A$153,0))&amp;"","")</f>
        <v/>
      </c>
      <c r="E17" s="14" t="n"/>
      <c r="F17" s="15">
        <f>IFERROR(INDEX(Referentiels!$C$66:$C$76,MATCH($E17,Referentiels!$A$66:$A$76,0))&amp;"","")</f>
        <v/>
      </c>
      <c r="G17" s="15">
        <f>IFERROR(INDEX(Referentiels!$B$66:$B$76,MATCH($E17,Referentiels!$A$66:$A$76,0))&amp;"","")</f>
        <v/>
      </c>
      <c r="H17" s="16" t="n"/>
      <c r="I17" s="16" t="n"/>
      <c r="J17" s="14" t="n"/>
      <c r="K17" s="18" t="n"/>
    </row>
    <row r="18">
      <c r="A18" s="14" t="n"/>
      <c r="B18" s="15">
        <f>IFERROR(MID($A18,FIND("[",$A18)+1,FIND("]",$A18)-FIND("[",$A18)-1),"")</f>
        <v/>
      </c>
      <c r="C18" s="15">
        <f>IFERROR(INDEX(Personnes!$B$5:$B$153,MATCH($B18,Personnes!$A$5:$A$153,0))&amp;"","")</f>
        <v/>
      </c>
      <c r="D18" s="15">
        <f>IFERROR(INDEX(Personnes!$C$5:$C$153,MATCH($B18,Personnes!$A$5:$A$153,0))&amp;"","")</f>
        <v/>
      </c>
      <c r="E18" s="14" t="n"/>
      <c r="F18" s="15">
        <f>IFERROR(INDEX(Referentiels!$C$66:$C$76,MATCH($E18,Referentiels!$A$66:$A$76,0))&amp;"","")</f>
        <v/>
      </c>
      <c r="G18" s="15">
        <f>IFERROR(INDEX(Referentiels!$B$66:$B$76,MATCH($E18,Referentiels!$A$66:$A$76,0))&amp;"","")</f>
        <v/>
      </c>
      <c r="H18" s="16" t="n"/>
      <c r="I18" s="16" t="n"/>
      <c r="J18" s="14" t="n"/>
      <c r="K18" s="18" t="n"/>
    </row>
    <row r="19">
      <c r="A19" s="14" t="n"/>
      <c r="B19" s="15">
        <f>IFERROR(MID($A19,FIND("[",$A19)+1,FIND("]",$A19)-FIND("[",$A19)-1),"")</f>
        <v/>
      </c>
      <c r="C19" s="15">
        <f>IFERROR(INDEX(Personnes!$B$5:$B$153,MATCH($B19,Personnes!$A$5:$A$153,0))&amp;"","")</f>
        <v/>
      </c>
      <c r="D19" s="15">
        <f>IFERROR(INDEX(Personnes!$C$5:$C$153,MATCH($B19,Personnes!$A$5:$A$153,0))&amp;"","")</f>
        <v/>
      </c>
      <c r="E19" s="14" t="n"/>
      <c r="F19" s="15">
        <f>IFERROR(INDEX(Referentiels!$C$66:$C$76,MATCH($E19,Referentiels!$A$66:$A$76,0))&amp;"","")</f>
        <v/>
      </c>
      <c r="G19" s="15">
        <f>IFERROR(INDEX(Referentiels!$B$66:$B$76,MATCH($E19,Referentiels!$A$66:$A$76,0))&amp;"","")</f>
        <v/>
      </c>
      <c r="H19" s="16" t="n"/>
      <c r="I19" s="16" t="n"/>
      <c r="J19" s="14" t="n"/>
      <c r="K19" s="18" t="n"/>
    </row>
    <row r="20">
      <c r="A20" s="14" t="n"/>
      <c r="B20" s="15">
        <f>IFERROR(MID($A20,FIND("[",$A20)+1,FIND("]",$A20)-FIND("[",$A20)-1),"")</f>
        <v/>
      </c>
      <c r="C20" s="15">
        <f>IFERROR(INDEX(Personnes!$B$5:$B$153,MATCH($B20,Personnes!$A$5:$A$153,0))&amp;"","")</f>
        <v/>
      </c>
      <c r="D20" s="15">
        <f>IFERROR(INDEX(Personnes!$C$5:$C$153,MATCH($B20,Personnes!$A$5:$A$153,0))&amp;"","")</f>
        <v/>
      </c>
      <c r="E20" s="14" t="n"/>
      <c r="F20" s="15">
        <f>IFERROR(INDEX(Referentiels!$C$66:$C$76,MATCH($E20,Referentiels!$A$66:$A$76,0))&amp;"","")</f>
        <v/>
      </c>
      <c r="G20" s="15">
        <f>IFERROR(INDEX(Referentiels!$B$66:$B$76,MATCH($E20,Referentiels!$A$66:$A$76,0))&amp;"","")</f>
        <v/>
      </c>
      <c r="H20" s="16" t="n"/>
      <c r="I20" s="16" t="n"/>
      <c r="J20" s="14" t="n"/>
      <c r="K20" s="18" t="n"/>
    </row>
    <row r="21">
      <c r="A21" s="14" t="n"/>
      <c r="B21" s="15">
        <f>IFERROR(MID($A21,FIND("[",$A21)+1,FIND("]",$A21)-FIND("[",$A21)-1),"")</f>
        <v/>
      </c>
      <c r="C21" s="15">
        <f>IFERROR(INDEX(Personnes!$B$5:$B$153,MATCH($B21,Personnes!$A$5:$A$153,0))&amp;"","")</f>
        <v/>
      </c>
      <c r="D21" s="15">
        <f>IFERROR(INDEX(Personnes!$C$5:$C$153,MATCH($B21,Personnes!$A$5:$A$153,0))&amp;"","")</f>
        <v/>
      </c>
      <c r="E21" s="14" t="n"/>
      <c r="F21" s="15">
        <f>IFERROR(INDEX(Referentiels!$C$66:$C$76,MATCH($E21,Referentiels!$A$66:$A$76,0))&amp;"","")</f>
        <v/>
      </c>
      <c r="G21" s="15">
        <f>IFERROR(INDEX(Referentiels!$B$66:$B$76,MATCH($E21,Referentiels!$A$66:$A$76,0))&amp;"","")</f>
        <v/>
      </c>
      <c r="H21" s="16" t="n"/>
      <c r="I21" s="16" t="n"/>
      <c r="J21" s="14" t="n"/>
      <c r="K21" s="18" t="n"/>
    </row>
    <row r="22">
      <c r="A22" s="14" t="n"/>
      <c r="B22" s="15">
        <f>IFERROR(MID($A22,FIND("[",$A22)+1,FIND("]",$A22)-FIND("[",$A22)-1),"")</f>
        <v/>
      </c>
      <c r="C22" s="15">
        <f>IFERROR(INDEX(Personnes!$B$5:$B$153,MATCH($B22,Personnes!$A$5:$A$153,0))&amp;"","")</f>
        <v/>
      </c>
      <c r="D22" s="15">
        <f>IFERROR(INDEX(Personnes!$C$5:$C$153,MATCH($B22,Personnes!$A$5:$A$153,0))&amp;"","")</f>
        <v/>
      </c>
      <c r="E22" s="14" t="n"/>
      <c r="F22" s="15">
        <f>IFERROR(INDEX(Referentiels!$C$66:$C$76,MATCH($E22,Referentiels!$A$66:$A$76,0))&amp;"","")</f>
        <v/>
      </c>
      <c r="G22" s="15">
        <f>IFERROR(INDEX(Referentiels!$B$66:$B$76,MATCH($E22,Referentiels!$A$66:$A$76,0))&amp;"","")</f>
        <v/>
      </c>
      <c r="H22" s="16" t="n"/>
      <c r="I22" s="16" t="n"/>
      <c r="J22" s="14" t="n"/>
      <c r="K22" s="18" t="n"/>
    </row>
    <row r="23">
      <c r="A23" s="14" t="n"/>
      <c r="B23" s="15">
        <f>IFERROR(MID($A23,FIND("[",$A23)+1,FIND("]",$A23)-FIND("[",$A23)-1),"")</f>
        <v/>
      </c>
      <c r="C23" s="15">
        <f>IFERROR(INDEX(Personnes!$B$5:$B$153,MATCH($B23,Personnes!$A$5:$A$153,0))&amp;"","")</f>
        <v/>
      </c>
      <c r="D23" s="15">
        <f>IFERROR(INDEX(Personnes!$C$5:$C$153,MATCH($B23,Personnes!$A$5:$A$153,0))&amp;"","")</f>
        <v/>
      </c>
      <c r="E23" s="14" t="n"/>
      <c r="F23" s="15">
        <f>IFERROR(INDEX(Referentiels!$C$66:$C$76,MATCH($E23,Referentiels!$A$66:$A$76,0))&amp;"","")</f>
        <v/>
      </c>
      <c r="G23" s="15">
        <f>IFERROR(INDEX(Referentiels!$B$66:$B$76,MATCH($E23,Referentiels!$A$66:$A$76,0))&amp;"","")</f>
        <v/>
      </c>
      <c r="H23" s="16" t="n"/>
      <c r="I23" s="16" t="n"/>
      <c r="J23" s="14" t="n"/>
      <c r="K23" s="18" t="n"/>
    </row>
    <row r="24">
      <c r="A24" s="14" t="n"/>
      <c r="B24" s="15">
        <f>IFERROR(MID($A24,FIND("[",$A24)+1,FIND("]",$A24)-FIND("[",$A24)-1),"")</f>
        <v/>
      </c>
      <c r="C24" s="15">
        <f>IFERROR(INDEX(Personnes!$B$5:$B$153,MATCH($B24,Personnes!$A$5:$A$153,0))&amp;"","")</f>
        <v/>
      </c>
      <c r="D24" s="15">
        <f>IFERROR(INDEX(Personnes!$C$5:$C$153,MATCH($B24,Personnes!$A$5:$A$153,0))&amp;"","")</f>
        <v/>
      </c>
      <c r="E24" s="14" t="n"/>
      <c r="F24" s="15">
        <f>IFERROR(INDEX(Referentiels!$C$66:$C$76,MATCH($E24,Referentiels!$A$66:$A$76,0))&amp;"","")</f>
        <v/>
      </c>
      <c r="G24" s="15">
        <f>IFERROR(INDEX(Referentiels!$B$66:$B$76,MATCH($E24,Referentiels!$A$66:$A$76,0))&amp;"","")</f>
        <v/>
      </c>
      <c r="H24" s="16" t="n"/>
      <c r="I24" s="16" t="n"/>
      <c r="J24" s="14" t="n"/>
      <c r="K24" s="18" t="n"/>
    </row>
    <row r="25">
      <c r="A25" s="14" t="n"/>
      <c r="B25" s="15">
        <f>IFERROR(MID($A25,FIND("[",$A25)+1,FIND("]",$A25)-FIND("[",$A25)-1),"")</f>
        <v/>
      </c>
      <c r="C25" s="15">
        <f>IFERROR(INDEX(Personnes!$B$5:$B$153,MATCH($B25,Personnes!$A$5:$A$153,0))&amp;"","")</f>
        <v/>
      </c>
      <c r="D25" s="15">
        <f>IFERROR(INDEX(Personnes!$C$5:$C$153,MATCH($B25,Personnes!$A$5:$A$153,0))&amp;"","")</f>
        <v/>
      </c>
      <c r="E25" s="14" t="n"/>
      <c r="F25" s="15">
        <f>IFERROR(INDEX(Referentiels!$C$66:$C$76,MATCH($E25,Referentiels!$A$66:$A$76,0))&amp;"","")</f>
        <v/>
      </c>
      <c r="G25" s="15">
        <f>IFERROR(INDEX(Referentiels!$B$66:$B$76,MATCH($E25,Referentiels!$A$66:$A$76,0))&amp;"","")</f>
        <v/>
      </c>
      <c r="H25" s="16" t="n"/>
      <c r="I25" s="16" t="n"/>
      <c r="J25" s="14" t="n"/>
      <c r="K25" s="18" t="n"/>
    </row>
    <row r="26">
      <c r="A26" s="14" t="n"/>
      <c r="B26" s="15">
        <f>IFERROR(MID($A26,FIND("[",$A26)+1,FIND("]",$A26)-FIND("[",$A26)-1),"")</f>
        <v/>
      </c>
      <c r="C26" s="15">
        <f>IFERROR(INDEX(Personnes!$B$5:$B$153,MATCH($B26,Personnes!$A$5:$A$153,0))&amp;"","")</f>
        <v/>
      </c>
      <c r="D26" s="15">
        <f>IFERROR(INDEX(Personnes!$C$5:$C$153,MATCH($B26,Personnes!$A$5:$A$153,0))&amp;"","")</f>
        <v/>
      </c>
      <c r="E26" s="14" t="n"/>
      <c r="F26" s="15">
        <f>IFERROR(INDEX(Referentiels!$C$66:$C$76,MATCH($E26,Referentiels!$A$66:$A$76,0))&amp;"","")</f>
        <v/>
      </c>
      <c r="G26" s="15">
        <f>IFERROR(INDEX(Referentiels!$B$66:$B$76,MATCH($E26,Referentiels!$A$66:$A$76,0))&amp;"","")</f>
        <v/>
      </c>
      <c r="H26" s="16" t="n"/>
      <c r="I26" s="16" t="n"/>
      <c r="J26" s="14" t="n"/>
      <c r="K26" s="18" t="n"/>
    </row>
    <row r="27">
      <c r="A27" s="14" t="n"/>
      <c r="B27" s="15">
        <f>IFERROR(MID($A27,FIND("[",$A27)+1,FIND("]",$A27)-FIND("[",$A27)-1),"")</f>
        <v/>
      </c>
      <c r="C27" s="15">
        <f>IFERROR(INDEX(Personnes!$B$5:$B$153,MATCH($B27,Personnes!$A$5:$A$153,0))&amp;"","")</f>
        <v/>
      </c>
      <c r="D27" s="15">
        <f>IFERROR(INDEX(Personnes!$C$5:$C$153,MATCH($B27,Personnes!$A$5:$A$153,0))&amp;"","")</f>
        <v/>
      </c>
      <c r="E27" s="14" t="n"/>
      <c r="F27" s="15">
        <f>IFERROR(INDEX(Referentiels!$C$66:$C$76,MATCH($E27,Referentiels!$A$66:$A$76,0))&amp;"","")</f>
        <v/>
      </c>
      <c r="G27" s="15">
        <f>IFERROR(INDEX(Referentiels!$B$66:$B$76,MATCH($E27,Referentiels!$A$66:$A$76,0))&amp;"","")</f>
        <v/>
      </c>
      <c r="H27" s="16" t="n"/>
      <c r="I27" s="16" t="n"/>
      <c r="J27" s="14" t="n"/>
      <c r="K27" s="18" t="n"/>
    </row>
    <row r="28">
      <c r="A28" s="14" t="n"/>
      <c r="B28" s="15">
        <f>IFERROR(MID($A28,FIND("[",$A28)+1,FIND("]",$A28)-FIND("[",$A28)-1),"")</f>
        <v/>
      </c>
      <c r="C28" s="15">
        <f>IFERROR(INDEX(Personnes!$B$5:$B$153,MATCH($B28,Personnes!$A$5:$A$153,0))&amp;"","")</f>
        <v/>
      </c>
      <c r="D28" s="15">
        <f>IFERROR(INDEX(Personnes!$C$5:$C$153,MATCH($B28,Personnes!$A$5:$A$153,0))&amp;"","")</f>
        <v/>
      </c>
      <c r="E28" s="14" t="n"/>
      <c r="F28" s="15">
        <f>IFERROR(INDEX(Referentiels!$C$66:$C$76,MATCH($E28,Referentiels!$A$66:$A$76,0))&amp;"","")</f>
        <v/>
      </c>
      <c r="G28" s="15">
        <f>IFERROR(INDEX(Referentiels!$B$66:$B$76,MATCH($E28,Referentiels!$A$66:$A$76,0))&amp;"","")</f>
        <v/>
      </c>
      <c r="H28" s="16" t="n"/>
      <c r="I28" s="16" t="n"/>
      <c r="J28" s="14" t="n"/>
      <c r="K28" s="18" t="n"/>
    </row>
    <row r="29">
      <c r="A29" s="14" t="n"/>
      <c r="B29" s="15">
        <f>IFERROR(MID($A29,FIND("[",$A29)+1,FIND("]",$A29)-FIND("[",$A29)-1),"")</f>
        <v/>
      </c>
      <c r="C29" s="15">
        <f>IFERROR(INDEX(Personnes!$B$5:$B$153,MATCH($B29,Personnes!$A$5:$A$153,0))&amp;"","")</f>
        <v/>
      </c>
      <c r="D29" s="15">
        <f>IFERROR(INDEX(Personnes!$C$5:$C$153,MATCH($B29,Personnes!$A$5:$A$153,0))&amp;"","")</f>
        <v/>
      </c>
      <c r="E29" s="14" t="n"/>
      <c r="F29" s="15">
        <f>IFERROR(INDEX(Referentiels!$C$66:$C$76,MATCH($E29,Referentiels!$A$66:$A$76,0))&amp;"","")</f>
        <v/>
      </c>
      <c r="G29" s="15">
        <f>IFERROR(INDEX(Referentiels!$B$66:$B$76,MATCH($E29,Referentiels!$A$66:$A$76,0))&amp;"","")</f>
        <v/>
      </c>
      <c r="H29" s="16" t="n"/>
      <c r="I29" s="16" t="n"/>
      <c r="J29" s="14" t="n"/>
      <c r="K29" s="18" t="n"/>
    </row>
    <row r="30">
      <c r="A30" s="14" t="n"/>
      <c r="B30" s="15">
        <f>IFERROR(MID($A30,FIND("[",$A30)+1,FIND("]",$A30)-FIND("[",$A30)-1),"")</f>
        <v/>
      </c>
      <c r="C30" s="15">
        <f>IFERROR(INDEX(Personnes!$B$5:$B$153,MATCH($B30,Personnes!$A$5:$A$153,0))&amp;"","")</f>
        <v/>
      </c>
      <c r="D30" s="15">
        <f>IFERROR(INDEX(Personnes!$C$5:$C$153,MATCH($B30,Personnes!$A$5:$A$153,0))&amp;"","")</f>
        <v/>
      </c>
      <c r="E30" s="14" t="n"/>
      <c r="F30" s="15">
        <f>IFERROR(INDEX(Referentiels!$C$66:$C$76,MATCH($E30,Referentiels!$A$66:$A$76,0))&amp;"","")</f>
        <v/>
      </c>
      <c r="G30" s="15">
        <f>IFERROR(INDEX(Referentiels!$B$66:$B$76,MATCH($E30,Referentiels!$A$66:$A$76,0))&amp;"","")</f>
        <v/>
      </c>
      <c r="H30" s="16" t="n"/>
      <c r="I30" s="16" t="n"/>
      <c r="J30" s="14" t="n"/>
      <c r="K30" s="18" t="n"/>
    </row>
    <row r="31">
      <c r="A31" s="14" t="n"/>
      <c r="B31" s="15">
        <f>IFERROR(MID($A31,FIND("[",$A31)+1,FIND("]",$A31)-FIND("[",$A31)-1),"")</f>
        <v/>
      </c>
      <c r="C31" s="15">
        <f>IFERROR(INDEX(Personnes!$B$5:$B$153,MATCH($B31,Personnes!$A$5:$A$153,0))&amp;"","")</f>
        <v/>
      </c>
      <c r="D31" s="15">
        <f>IFERROR(INDEX(Personnes!$C$5:$C$153,MATCH($B31,Personnes!$A$5:$A$153,0))&amp;"","")</f>
        <v/>
      </c>
      <c r="E31" s="14" t="n"/>
      <c r="F31" s="15">
        <f>IFERROR(INDEX(Referentiels!$C$66:$C$76,MATCH($E31,Referentiels!$A$66:$A$76,0))&amp;"","")</f>
        <v/>
      </c>
      <c r="G31" s="15">
        <f>IFERROR(INDEX(Referentiels!$B$66:$B$76,MATCH($E31,Referentiels!$A$66:$A$76,0))&amp;"","")</f>
        <v/>
      </c>
      <c r="H31" s="16" t="n"/>
      <c r="I31" s="16" t="n"/>
      <c r="J31" s="14" t="n"/>
      <c r="K31" s="18" t="n"/>
    </row>
    <row r="32">
      <c r="A32" s="14" t="n"/>
      <c r="B32" s="15">
        <f>IFERROR(MID($A32,FIND("[",$A32)+1,FIND("]",$A32)-FIND("[",$A32)-1),"")</f>
        <v/>
      </c>
      <c r="C32" s="15">
        <f>IFERROR(INDEX(Personnes!$B$5:$B$153,MATCH($B32,Personnes!$A$5:$A$153,0))&amp;"","")</f>
        <v/>
      </c>
      <c r="D32" s="15">
        <f>IFERROR(INDEX(Personnes!$C$5:$C$153,MATCH($B32,Personnes!$A$5:$A$153,0))&amp;"","")</f>
        <v/>
      </c>
      <c r="E32" s="14" t="n"/>
      <c r="F32" s="15">
        <f>IFERROR(INDEX(Referentiels!$C$66:$C$76,MATCH($E32,Referentiels!$A$66:$A$76,0))&amp;"","")</f>
        <v/>
      </c>
      <c r="G32" s="15">
        <f>IFERROR(INDEX(Referentiels!$B$66:$B$76,MATCH($E32,Referentiels!$A$66:$A$76,0))&amp;"","")</f>
        <v/>
      </c>
      <c r="H32" s="16" t="n"/>
      <c r="I32" s="16" t="n"/>
      <c r="J32" s="14" t="n"/>
      <c r="K32" s="18" t="n"/>
    </row>
    <row r="33">
      <c r="A33" s="14" t="n"/>
      <c r="B33" s="15">
        <f>IFERROR(MID($A33,FIND("[",$A33)+1,FIND("]",$A33)-FIND("[",$A33)-1),"")</f>
        <v/>
      </c>
      <c r="C33" s="15">
        <f>IFERROR(INDEX(Personnes!$B$5:$B$153,MATCH($B33,Personnes!$A$5:$A$153,0))&amp;"","")</f>
        <v/>
      </c>
      <c r="D33" s="15">
        <f>IFERROR(INDEX(Personnes!$C$5:$C$153,MATCH($B33,Personnes!$A$5:$A$153,0))&amp;"","")</f>
        <v/>
      </c>
      <c r="E33" s="14" t="n"/>
      <c r="F33" s="15">
        <f>IFERROR(INDEX(Referentiels!$C$66:$C$76,MATCH($E33,Referentiels!$A$66:$A$76,0))&amp;"","")</f>
        <v/>
      </c>
      <c r="G33" s="15">
        <f>IFERROR(INDEX(Referentiels!$B$66:$B$76,MATCH($E33,Referentiels!$A$66:$A$76,0))&amp;"","")</f>
        <v/>
      </c>
      <c r="H33" s="16" t="n"/>
      <c r="I33" s="16" t="n"/>
      <c r="J33" s="14" t="n"/>
      <c r="K33" s="18" t="n"/>
    </row>
    <row r="34">
      <c r="A34" s="14" t="n"/>
      <c r="B34" s="15">
        <f>IFERROR(MID($A34,FIND("[",$A34)+1,FIND("]",$A34)-FIND("[",$A34)-1),"")</f>
        <v/>
      </c>
      <c r="C34" s="15">
        <f>IFERROR(INDEX(Personnes!$B$5:$B$153,MATCH($B34,Personnes!$A$5:$A$153,0))&amp;"","")</f>
        <v/>
      </c>
      <c r="D34" s="15">
        <f>IFERROR(INDEX(Personnes!$C$5:$C$153,MATCH($B34,Personnes!$A$5:$A$153,0))&amp;"","")</f>
        <v/>
      </c>
      <c r="E34" s="14" t="n"/>
      <c r="F34" s="15">
        <f>IFERROR(INDEX(Referentiels!$C$66:$C$76,MATCH($E34,Referentiels!$A$66:$A$76,0))&amp;"","")</f>
        <v/>
      </c>
      <c r="G34" s="15">
        <f>IFERROR(INDEX(Referentiels!$B$66:$B$76,MATCH($E34,Referentiels!$A$66:$A$76,0))&amp;"","")</f>
        <v/>
      </c>
      <c r="H34" s="16" t="n"/>
      <c r="I34" s="16" t="n"/>
      <c r="J34" s="14" t="n"/>
      <c r="K34" s="18" t="n"/>
    </row>
    <row r="35">
      <c r="A35" s="14" t="n"/>
      <c r="B35" s="15">
        <f>IFERROR(MID($A35,FIND("[",$A35)+1,FIND("]",$A35)-FIND("[",$A35)-1),"")</f>
        <v/>
      </c>
      <c r="C35" s="15">
        <f>IFERROR(INDEX(Personnes!$B$5:$B$153,MATCH($B35,Personnes!$A$5:$A$153,0))&amp;"","")</f>
        <v/>
      </c>
      <c r="D35" s="15">
        <f>IFERROR(INDEX(Personnes!$C$5:$C$153,MATCH($B35,Personnes!$A$5:$A$153,0))&amp;"","")</f>
        <v/>
      </c>
      <c r="E35" s="14" t="n"/>
      <c r="F35" s="15">
        <f>IFERROR(INDEX(Referentiels!$C$66:$C$76,MATCH($E35,Referentiels!$A$66:$A$76,0))&amp;"","")</f>
        <v/>
      </c>
      <c r="G35" s="15">
        <f>IFERROR(INDEX(Referentiels!$B$66:$B$76,MATCH($E35,Referentiels!$A$66:$A$76,0))&amp;"","")</f>
        <v/>
      </c>
      <c r="H35" s="16" t="n"/>
      <c r="I35" s="16" t="n"/>
      <c r="J35" s="14" t="n"/>
      <c r="K35" s="18" t="n"/>
    </row>
    <row r="36">
      <c r="A36" s="14" t="n"/>
      <c r="B36" s="15">
        <f>IFERROR(MID($A36,FIND("[",$A36)+1,FIND("]",$A36)-FIND("[",$A36)-1),"")</f>
        <v/>
      </c>
      <c r="C36" s="15">
        <f>IFERROR(INDEX(Personnes!$B$5:$B$153,MATCH($B36,Personnes!$A$5:$A$153,0))&amp;"","")</f>
        <v/>
      </c>
      <c r="D36" s="15">
        <f>IFERROR(INDEX(Personnes!$C$5:$C$153,MATCH($B36,Personnes!$A$5:$A$153,0))&amp;"","")</f>
        <v/>
      </c>
      <c r="E36" s="14" t="n"/>
      <c r="F36" s="15">
        <f>IFERROR(INDEX(Referentiels!$C$66:$C$76,MATCH($E36,Referentiels!$A$66:$A$76,0))&amp;"","")</f>
        <v/>
      </c>
      <c r="G36" s="15">
        <f>IFERROR(INDEX(Referentiels!$B$66:$B$76,MATCH($E36,Referentiels!$A$66:$A$76,0))&amp;"","")</f>
        <v/>
      </c>
      <c r="H36" s="16" t="n"/>
      <c r="I36" s="16" t="n"/>
      <c r="J36" s="14" t="n"/>
      <c r="K36" s="18" t="n"/>
    </row>
    <row r="37">
      <c r="A37" s="14" t="n"/>
      <c r="B37" s="15">
        <f>IFERROR(MID($A37,FIND("[",$A37)+1,FIND("]",$A37)-FIND("[",$A37)-1),"")</f>
        <v/>
      </c>
      <c r="C37" s="15">
        <f>IFERROR(INDEX(Personnes!$B$5:$B$153,MATCH($B37,Personnes!$A$5:$A$153,0))&amp;"","")</f>
        <v/>
      </c>
      <c r="D37" s="15">
        <f>IFERROR(INDEX(Personnes!$C$5:$C$153,MATCH($B37,Personnes!$A$5:$A$153,0))&amp;"","")</f>
        <v/>
      </c>
      <c r="E37" s="14" t="n"/>
      <c r="F37" s="15">
        <f>IFERROR(INDEX(Referentiels!$C$66:$C$76,MATCH($E37,Referentiels!$A$66:$A$76,0))&amp;"","")</f>
        <v/>
      </c>
      <c r="G37" s="15">
        <f>IFERROR(INDEX(Referentiels!$B$66:$B$76,MATCH($E37,Referentiels!$A$66:$A$76,0))&amp;"","")</f>
        <v/>
      </c>
      <c r="H37" s="16" t="n"/>
      <c r="I37" s="16" t="n"/>
      <c r="J37" s="14" t="n"/>
      <c r="K37" s="18" t="n"/>
    </row>
    <row r="38">
      <c r="A38" s="14" t="n"/>
      <c r="B38" s="15">
        <f>IFERROR(MID($A38,FIND("[",$A38)+1,FIND("]",$A38)-FIND("[",$A38)-1),"")</f>
        <v/>
      </c>
      <c r="C38" s="15">
        <f>IFERROR(INDEX(Personnes!$B$5:$B$153,MATCH($B38,Personnes!$A$5:$A$153,0))&amp;"","")</f>
        <v/>
      </c>
      <c r="D38" s="15">
        <f>IFERROR(INDEX(Personnes!$C$5:$C$153,MATCH($B38,Personnes!$A$5:$A$153,0))&amp;"","")</f>
        <v/>
      </c>
      <c r="E38" s="14" t="n"/>
      <c r="F38" s="15">
        <f>IFERROR(INDEX(Referentiels!$C$66:$C$76,MATCH($E38,Referentiels!$A$66:$A$76,0))&amp;"","")</f>
        <v/>
      </c>
      <c r="G38" s="15">
        <f>IFERROR(INDEX(Referentiels!$B$66:$B$76,MATCH($E38,Referentiels!$A$66:$A$76,0))&amp;"","")</f>
        <v/>
      </c>
      <c r="H38" s="16" t="n"/>
      <c r="I38" s="16" t="n"/>
      <c r="J38" s="14" t="n"/>
      <c r="K38" s="18" t="n"/>
    </row>
    <row r="39">
      <c r="A39" s="14" t="n"/>
      <c r="B39" s="15">
        <f>IFERROR(MID($A39,FIND("[",$A39)+1,FIND("]",$A39)-FIND("[",$A39)-1),"")</f>
        <v/>
      </c>
      <c r="C39" s="15">
        <f>IFERROR(INDEX(Personnes!$B$5:$B$153,MATCH($B39,Personnes!$A$5:$A$153,0))&amp;"","")</f>
        <v/>
      </c>
      <c r="D39" s="15">
        <f>IFERROR(INDEX(Personnes!$C$5:$C$153,MATCH($B39,Personnes!$A$5:$A$153,0))&amp;"","")</f>
        <v/>
      </c>
      <c r="E39" s="14" t="n"/>
      <c r="F39" s="15">
        <f>IFERROR(INDEX(Referentiels!$C$66:$C$76,MATCH($E39,Referentiels!$A$66:$A$76,0))&amp;"","")</f>
        <v/>
      </c>
      <c r="G39" s="15">
        <f>IFERROR(INDEX(Referentiels!$B$66:$B$76,MATCH($E39,Referentiels!$A$66:$A$76,0))&amp;"","")</f>
        <v/>
      </c>
      <c r="H39" s="16" t="n"/>
      <c r="I39" s="16" t="n"/>
      <c r="J39" s="14" t="n"/>
      <c r="K39" s="18" t="n"/>
    </row>
    <row r="40">
      <c r="A40" s="14" t="n"/>
      <c r="B40" s="15">
        <f>IFERROR(MID($A40,FIND("[",$A40)+1,FIND("]",$A40)-FIND("[",$A40)-1),"")</f>
        <v/>
      </c>
      <c r="C40" s="15">
        <f>IFERROR(INDEX(Personnes!$B$5:$B$153,MATCH($B40,Personnes!$A$5:$A$153,0))&amp;"","")</f>
        <v/>
      </c>
      <c r="D40" s="15">
        <f>IFERROR(INDEX(Personnes!$C$5:$C$153,MATCH($B40,Personnes!$A$5:$A$153,0))&amp;"","")</f>
        <v/>
      </c>
      <c r="E40" s="14" t="n"/>
      <c r="F40" s="15">
        <f>IFERROR(INDEX(Referentiels!$C$66:$C$76,MATCH($E40,Referentiels!$A$66:$A$76,0))&amp;"","")</f>
        <v/>
      </c>
      <c r="G40" s="15">
        <f>IFERROR(INDEX(Referentiels!$B$66:$B$76,MATCH($E40,Referentiels!$A$66:$A$76,0))&amp;"","")</f>
        <v/>
      </c>
      <c r="H40" s="16" t="n"/>
      <c r="I40" s="16" t="n"/>
      <c r="J40" s="14" t="n"/>
      <c r="K40" s="18" t="n"/>
    </row>
    <row r="41">
      <c r="A41" s="14" t="n"/>
      <c r="B41" s="15">
        <f>IFERROR(MID($A41,FIND("[",$A41)+1,FIND("]",$A41)-FIND("[",$A41)-1),"")</f>
        <v/>
      </c>
      <c r="C41" s="15">
        <f>IFERROR(INDEX(Personnes!$B$5:$B$153,MATCH($B41,Personnes!$A$5:$A$153,0))&amp;"","")</f>
        <v/>
      </c>
      <c r="D41" s="15">
        <f>IFERROR(INDEX(Personnes!$C$5:$C$153,MATCH($B41,Personnes!$A$5:$A$153,0))&amp;"","")</f>
        <v/>
      </c>
      <c r="E41" s="14" t="n"/>
      <c r="F41" s="15">
        <f>IFERROR(INDEX(Referentiels!$C$66:$C$76,MATCH($E41,Referentiels!$A$66:$A$76,0))&amp;"","")</f>
        <v/>
      </c>
      <c r="G41" s="15">
        <f>IFERROR(INDEX(Referentiels!$B$66:$B$76,MATCH($E41,Referentiels!$A$66:$A$76,0))&amp;"","")</f>
        <v/>
      </c>
      <c r="H41" s="16" t="n"/>
      <c r="I41" s="16" t="n"/>
      <c r="J41" s="14" t="n"/>
      <c r="K41" s="18" t="n"/>
    </row>
    <row r="42">
      <c r="A42" s="14" t="n"/>
      <c r="B42" s="15">
        <f>IFERROR(MID($A42,FIND("[",$A42)+1,FIND("]",$A42)-FIND("[",$A42)-1),"")</f>
        <v/>
      </c>
      <c r="C42" s="15">
        <f>IFERROR(INDEX(Personnes!$B$5:$B$153,MATCH($B42,Personnes!$A$5:$A$153,0))&amp;"","")</f>
        <v/>
      </c>
      <c r="D42" s="15">
        <f>IFERROR(INDEX(Personnes!$C$5:$C$153,MATCH($B42,Personnes!$A$5:$A$153,0))&amp;"","")</f>
        <v/>
      </c>
      <c r="E42" s="14" t="n"/>
      <c r="F42" s="15">
        <f>IFERROR(INDEX(Referentiels!$C$66:$C$76,MATCH($E42,Referentiels!$A$66:$A$76,0))&amp;"","")</f>
        <v/>
      </c>
      <c r="G42" s="15">
        <f>IFERROR(INDEX(Referentiels!$B$66:$B$76,MATCH($E42,Referentiels!$A$66:$A$76,0))&amp;"","")</f>
        <v/>
      </c>
      <c r="H42" s="16" t="n"/>
      <c r="I42" s="16" t="n"/>
      <c r="J42" s="14" t="n"/>
      <c r="K42" s="18" t="n"/>
    </row>
    <row r="43">
      <c r="A43" s="14" t="n"/>
      <c r="B43" s="15">
        <f>IFERROR(MID($A43,FIND("[",$A43)+1,FIND("]",$A43)-FIND("[",$A43)-1),"")</f>
        <v/>
      </c>
      <c r="C43" s="15">
        <f>IFERROR(INDEX(Personnes!$B$5:$B$153,MATCH($B43,Personnes!$A$5:$A$153,0))&amp;"","")</f>
        <v/>
      </c>
      <c r="D43" s="15">
        <f>IFERROR(INDEX(Personnes!$C$5:$C$153,MATCH($B43,Personnes!$A$5:$A$153,0))&amp;"","")</f>
        <v/>
      </c>
      <c r="E43" s="14" t="n"/>
      <c r="F43" s="15">
        <f>IFERROR(INDEX(Referentiels!$C$66:$C$76,MATCH($E43,Referentiels!$A$66:$A$76,0))&amp;"","")</f>
        <v/>
      </c>
      <c r="G43" s="15">
        <f>IFERROR(INDEX(Referentiels!$B$66:$B$76,MATCH($E43,Referentiels!$A$66:$A$76,0))&amp;"","")</f>
        <v/>
      </c>
      <c r="H43" s="16" t="n"/>
      <c r="I43" s="16" t="n"/>
      <c r="J43" s="14" t="n"/>
      <c r="K43" s="18" t="n"/>
    </row>
    <row r="44">
      <c r="A44" s="14" t="n"/>
      <c r="B44" s="15">
        <f>IFERROR(MID($A44,FIND("[",$A44)+1,FIND("]",$A44)-FIND("[",$A44)-1),"")</f>
        <v/>
      </c>
      <c r="C44" s="15">
        <f>IFERROR(INDEX(Personnes!$B$5:$B$153,MATCH($B44,Personnes!$A$5:$A$153,0))&amp;"","")</f>
        <v/>
      </c>
      <c r="D44" s="15">
        <f>IFERROR(INDEX(Personnes!$C$5:$C$153,MATCH($B44,Personnes!$A$5:$A$153,0))&amp;"","")</f>
        <v/>
      </c>
      <c r="E44" s="14" t="n"/>
      <c r="F44" s="15">
        <f>IFERROR(INDEX(Referentiels!$C$66:$C$76,MATCH($E44,Referentiels!$A$66:$A$76,0))&amp;"","")</f>
        <v/>
      </c>
      <c r="G44" s="15">
        <f>IFERROR(INDEX(Referentiels!$B$66:$B$76,MATCH($E44,Referentiels!$A$66:$A$76,0))&amp;"","")</f>
        <v/>
      </c>
      <c r="H44" s="16" t="n"/>
      <c r="I44" s="16" t="n"/>
      <c r="J44" s="14" t="n"/>
      <c r="K44" s="18" t="n"/>
    </row>
    <row r="45">
      <c r="A45" s="14" t="n"/>
      <c r="B45" s="15">
        <f>IFERROR(MID($A45,FIND("[",$A45)+1,FIND("]",$A45)-FIND("[",$A45)-1),"")</f>
        <v/>
      </c>
      <c r="C45" s="15">
        <f>IFERROR(INDEX(Personnes!$B$5:$B$153,MATCH($B45,Personnes!$A$5:$A$153,0))&amp;"","")</f>
        <v/>
      </c>
      <c r="D45" s="15">
        <f>IFERROR(INDEX(Personnes!$C$5:$C$153,MATCH($B45,Personnes!$A$5:$A$153,0))&amp;"","")</f>
        <v/>
      </c>
      <c r="E45" s="14" t="n"/>
      <c r="F45" s="15">
        <f>IFERROR(INDEX(Referentiels!$C$66:$C$76,MATCH($E45,Referentiels!$A$66:$A$76,0))&amp;"","")</f>
        <v/>
      </c>
      <c r="G45" s="15">
        <f>IFERROR(INDEX(Referentiels!$B$66:$B$76,MATCH($E45,Referentiels!$A$66:$A$76,0))&amp;"","")</f>
        <v/>
      </c>
      <c r="H45" s="16" t="n"/>
      <c r="I45" s="16" t="n"/>
      <c r="J45" s="14" t="n"/>
      <c r="K45" s="18" t="n"/>
    </row>
    <row r="46">
      <c r="A46" s="14" t="n"/>
      <c r="B46" s="15">
        <f>IFERROR(MID($A46,FIND("[",$A46)+1,FIND("]",$A46)-FIND("[",$A46)-1),"")</f>
        <v/>
      </c>
      <c r="C46" s="15">
        <f>IFERROR(INDEX(Personnes!$B$5:$B$153,MATCH($B46,Personnes!$A$5:$A$153,0))&amp;"","")</f>
        <v/>
      </c>
      <c r="D46" s="15">
        <f>IFERROR(INDEX(Personnes!$C$5:$C$153,MATCH($B46,Personnes!$A$5:$A$153,0))&amp;"","")</f>
        <v/>
      </c>
      <c r="E46" s="14" t="n"/>
      <c r="F46" s="15">
        <f>IFERROR(INDEX(Referentiels!$C$66:$C$76,MATCH($E46,Referentiels!$A$66:$A$76,0))&amp;"","")</f>
        <v/>
      </c>
      <c r="G46" s="15">
        <f>IFERROR(INDEX(Referentiels!$B$66:$B$76,MATCH($E46,Referentiels!$A$66:$A$76,0))&amp;"","")</f>
        <v/>
      </c>
      <c r="H46" s="16" t="n"/>
      <c r="I46" s="16" t="n"/>
      <c r="J46" s="14" t="n"/>
      <c r="K46" s="18" t="n"/>
    </row>
    <row r="47">
      <c r="A47" s="14" t="n"/>
      <c r="B47" s="15">
        <f>IFERROR(MID($A47,FIND("[",$A47)+1,FIND("]",$A47)-FIND("[",$A47)-1),"")</f>
        <v/>
      </c>
      <c r="C47" s="15">
        <f>IFERROR(INDEX(Personnes!$B$5:$B$153,MATCH($B47,Personnes!$A$5:$A$153,0))&amp;"","")</f>
        <v/>
      </c>
      <c r="D47" s="15">
        <f>IFERROR(INDEX(Personnes!$C$5:$C$153,MATCH($B47,Personnes!$A$5:$A$153,0))&amp;"","")</f>
        <v/>
      </c>
      <c r="E47" s="14" t="n"/>
      <c r="F47" s="15">
        <f>IFERROR(INDEX(Referentiels!$C$66:$C$76,MATCH($E47,Referentiels!$A$66:$A$76,0))&amp;"","")</f>
        <v/>
      </c>
      <c r="G47" s="15">
        <f>IFERROR(INDEX(Referentiels!$B$66:$B$76,MATCH($E47,Referentiels!$A$66:$A$76,0))&amp;"","")</f>
        <v/>
      </c>
      <c r="H47" s="16" t="n"/>
      <c r="I47" s="16" t="n"/>
      <c r="J47" s="14" t="n"/>
      <c r="K47" s="18" t="n"/>
    </row>
    <row r="48">
      <c r="A48" s="14" t="n"/>
      <c r="B48" s="15">
        <f>IFERROR(MID($A48,FIND("[",$A48)+1,FIND("]",$A48)-FIND("[",$A48)-1),"")</f>
        <v/>
      </c>
      <c r="C48" s="15">
        <f>IFERROR(INDEX(Personnes!$B$5:$B$153,MATCH($B48,Personnes!$A$5:$A$153,0))&amp;"","")</f>
        <v/>
      </c>
      <c r="D48" s="15">
        <f>IFERROR(INDEX(Personnes!$C$5:$C$153,MATCH($B48,Personnes!$A$5:$A$153,0))&amp;"","")</f>
        <v/>
      </c>
      <c r="E48" s="14" t="n"/>
      <c r="F48" s="15">
        <f>IFERROR(INDEX(Referentiels!$C$66:$C$76,MATCH($E48,Referentiels!$A$66:$A$76,0))&amp;"","")</f>
        <v/>
      </c>
      <c r="G48" s="15">
        <f>IFERROR(INDEX(Referentiels!$B$66:$B$76,MATCH($E48,Referentiels!$A$66:$A$76,0))&amp;"","")</f>
        <v/>
      </c>
      <c r="H48" s="16" t="n"/>
      <c r="I48" s="16" t="n"/>
      <c r="J48" s="14" t="n"/>
      <c r="K48" s="18" t="n"/>
    </row>
    <row r="49">
      <c r="A49" s="14" t="n"/>
      <c r="B49" s="15">
        <f>IFERROR(MID($A49,FIND("[",$A49)+1,FIND("]",$A49)-FIND("[",$A49)-1),"")</f>
        <v/>
      </c>
      <c r="C49" s="15">
        <f>IFERROR(INDEX(Personnes!$B$5:$B$153,MATCH($B49,Personnes!$A$5:$A$153,0))&amp;"","")</f>
        <v/>
      </c>
      <c r="D49" s="15">
        <f>IFERROR(INDEX(Personnes!$C$5:$C$153,MATCH($B49,Personnes!$A$5:$A$153,0))&amp;"","")</f>
        <v/>
      </c>
      <c r="E49" s="14" t="n"/>
      <c r="F49" s="15">
        <f>IFERROR(INDEX(Referentiels!$C$66:$C$76,MATCH($E49,Referentiels!$A$66:$A$76,0))&amp;"","")</f>
        <v/>
      </c>
      <c r="G49" s="15">
        <f>IFERROR(INDEX(Referentiels!$B$66:$B$76,MATCH($E49,Referentiels!$A$66:$A$76,0))&amp;"","")</f>
        <v/>
      </c>
      <c r="H49" s="16" t="n"/>
      <c r="I49" s="16" t="n"/>
      <c r="J49" s="14" t="n"/>
      <c r="K49" s="18" t="n"/>
    </row>
    <row r="50">
      <c r="A50" s="14" t="n"/>
      <c r="B50" s="15">
        <f>IFERROR(MID($A50,FIND("[",$A50)+1,FIND("]",$A50)-FIND("[",$A50)-1),"")</f>
        <v/>
      </c>
      <c r="C50" s="15">
        <f>IFERROR(INDEX(Personnes!$B$5:$B$153,MATCH($B50,Personnes!$A$5:$A$153,0))&amp;"","")</f>
        <v/>
      </c>
      <c r="D50" s="15">
        <f>IFERROR(INDEX(Personnes!$C$5:$C$153,MATCH($B50,Personnes!$A$5:$A$153,0))&amp;"","")</f>
        <v/>
      </c>
      <c r="E50" s="14" t="n"/>
      <c r="F50" s="15">
        <f>IFERROR(INDEX(Referentiels!$C$66:$C$76,MATCH($E50,Referentiels!$A$66:$A$76,0))&amp;"","")</f>
        <v/>
      </c>
      <c r="G50" s="15">
        <f>IFERROR(INDEX(Referentiels!$B$66:$B$76,MATCH($E50,Referentiels!$A$66:$A$76,0))&amp;"","")</f>
        <v/>
      </c>
      <c r="H50" s="16" t="n"/>
      <c r="I50" s="16" t="n"/>
      <c r="J50" s="14" t="n"/>
      <c r="K50" s="18" t="n"/>
    </row>
    <row r="51">
      <c r="A51" s="14" t="n"/>
      <c r="B51" s="15">
        <f>IFERROR(MID($A51,FIND("[",$A51)+1,FIND("]",$A51)-FIND("[",$A51)-1),"")</f>
        <v/>
      </c>
      <c r="C51" s="15">
        <f>IFERROR(INDEX(Personnes!$B$5:$B$153,MATCH($B51,Personnes!$A$5:$A$153,0))&amp;"","")</f>
        <v/>
      </c>
      <c r="D51" s="15">
        <f>IFERROR(INDEX(Personnes!$C$5:$C$153,MATCH($B51,Personnes!$A$5:$A$153,0))&amp;"","")</f>
        <v/>
      </c>
      <c r="E51" s="14" t="n"/>
      <c r="F51" s="15">
        <f>IFERROR(INDEX(Referentiels!$C$66:$C$76,MATCH($E51,Referentiels!$A$66:$A$76,0))&amp;"","")</f>
        <v/>
      </c>
      <c r="G51" s="15">
        <f>IFERROR(INDEX(Referentiels!$B$66:$B$76,MATCH($E51,Referentiels!$A$66:$A$76,0))&amp;"","")</f>
        <v/>
      </c>
      <c r="H51" s="16" t="n"/>
      <c r="I51" s="16" t="n"/>
      <c r="J51" s="14" t="n"/>
      <c r="K51" s="18" t="n"/>
    </row>
    <row r="52">
      <c r="A52" s="14" t="n"/>
      <c r="B52" s="15">
        <f>IFERROR(MID($A52,FIND("[",$A52)+1,FIND("]",$A52)-FIND("[",$A52)-1),"")</f>
        <v/>
      </c>
      <c r="C52" s="15">
        <f>IFERROR(INDEX(Personnes!$B$5:$B$153,MATCH($B52,Personnes!$A$5:$A$153,0))&amp;"","")</f>
        <v/>
      </c>
      <c r="D52" s="15">
        <f>IFERROR(INDEX(Personnes!$C$5:$C$153,MATCH($B52,Personnes!$A$5:$A$153,0))&amp;"","")</f>
        <v/>
      </c>
      <c r="E52" s="14" t="n"/>
      <c r="F52" s="15">
        <f>IFERROR(INDEX(Referentiels!$C$66:$C$76,MATCH($E52,Referentiels!$A$66:$A$76,0))&amp;"","")</f>
        <v/>
      </c>
      <c r="G52" s="15">
        <f>IFERROR(INDEX(Referentiels!$B$66:$B$76,MATCH($E52,Referentiels!$A$66:$A$76,0))&amp;"","")</f>
        <v/>
      </c>
      <c r="H52" s="16" t="n"/>
      <c r="I52" s="16" t="n"/>
      <c r="J52" s="14" t="n"/>
      <c r="K52" s="18" t="n"/>
    </row>
    <row r="53">
      <c r="A53" s="14" t="n"/>
      <c r="B53" s="15">
        <f>IFERROR(MID($A53,FIND("[",$A53)+1,FIND("]",$A53)-FIND("[",$A53)-1),"")</f>
        <v/>
      </c>
      <c r="C53" s="15">
        <f>IFERROR(INDEX(Personnes!$B$5:$B$153,MATCH($B53,Personnes!$A$5:$A$153,0))&amp;"","")</f>
        <v/>
      </c>
      <c r="D53" s="15">
        <f>IFERROR(INDEX(Personnes!$C$5:$C$153,MATCH($B53,Personnes!$A$5:$A$153,0))&amp;"","")</f>
        <v/>
      </c>
      <c r="E53" s="14" t="n"/>
      <c r="F53" s="15">
        <f>IFERROR(INDEX(Referentiels!$C$66:$C$76,MATCH($E53,Referentiels!$A$66:$A$76,0))&amp;"","")</f>
        <v/>
      </c>
      <c r="G53" s="15">
        <f>IFERROR(INDEX(Referentiels!$B$66:$B$76,MATCH($E53,Referentiels!$A$66:$A$76,0))&amp;"","")</f>
        <v/>
      </c>
      <c r="H53" s="16" t="n"/>
      <c r="I53" s="16" t="n"/>
      <c r="J53" s="14" t="n"/>
      <c r="K53" s="18" t="n"/>
    </row>
    <row r="54">
      <c r="A54" s="14" t="n"/>
      <c r="B54" s="15">
        <f>IFERROR(MID($A54,FIND("[",$A54)+1,FIND("]",$A54)-FIND("[",$A54)-1),"")</f>
        <v/>
      </c>
      <c r="C54" s="15">
        <f>IFERROR(INDEX(Personnes!$B$5:$B$153,MATCH($B54,Personnes!$A$5:$A$153,0))&amp;"","")</f>
        <v/>
      </c>
      <c r="D54" s="15">
        <f>IFERROR(INDEX(Personnes!$C$5:$C$153,MATCH($B54,Personnes!$A$5:$A$153,0))&amp;"","")</f>
        <v/>
      </c>
      <c r="E54" s="14" t="n"/>
      <c r="F54" s="15">
        <f>IFERROR(INDEX(Referentiels!$C$66:$C$76,MATCH($E54,Referentiels!$A$66:$A$76,0))&amp;"","")</f>
        <v/>
      </c>
      <c r="G54" s="15">
        <f>IFERROR(INDEX(Referentiels!$B$66:$B$76,MATCH($E54,Referentiels!$A$66:$A$76,0))&amp;"","")</f>
        <v/>
      </c>
      <c r="H54" s="16" t="n"/>
      <c r="I54" s="16" t="n"/>
      <c r="J54" s="14" t="n"/>
      <c r="K54" s="18" t="n"/>
    </row>
    <row r="55">
      <c r="A55" s="14" t="n"/>
      <c r="B55" s="15">
        <f>IFERROR(MID($A55,FIND("[",$A55)+1,FIND("]",$A55)-FIND("[",$A55)-1),"")</f>
        <v/>
      </c>
      <c r="C55" s="15">
        <f>IFERROR(INDEX(Personnes!$B$5:$B$153,MATCH($B55,Personnes!$A$5:$A$153,0))&amp;"","")</f>
        <v/>
      </c>
      <c r="D55" s="15">
        <f>IFERROR(INDEX(Personnes!$C$5:$C$153,MATCH($B55,Personnes!$A$5:$A$153,0))&amp;"","")</f>
        <v/>
      </c>
      <c r="E55" s="14" t="n"/>
      <c r="F55" s="15">
        <f>IFERROR(INDEX(Referentiels!$C$66:$C$76,MATCH($E55,Referentiels!$A$66:$A$76,0))&amp;"","")</f>
        <v/>
      </c>
      <c r="G55" s="15">
        <f>IFERROR(INDEX(Referentiels!$B$66:$B$76,MATCH($E55,Referentiels!$A$66:$A$76,0))&amp;"","")</f>
        <v/>
      </c>
      <c r="H55" s="16" t="n"/>
      <c r="I55" s="16" t="n"/>
      <c r="J55" s="14" t="n"/>
      <c r="K55" s="18" t="n"/>
    </row>
    <row r="56">
      <c r="A56" s="14" t="n"/>
      <c r="B56" s="15">
        <f>IFERROR(MID($A56,FIND("[",$A56)+1,FIND("]",$A56)-FIND("[",$A56)-1),"")</f>
        <v/>
      </c>
      <c r="C56" s="15">
        <f>IFERROR(INDEX(Personnes!$B$5:$B$153,MATCH($B56,Personnes!$A$5:$A$153,0))&amp;"","")</f>
        <v/>
      </c>
      <c r="D56" s="15">
        <f>IFERROR(INDEX(Personnes!$C$5:$C$153,MATCH($B56,Personnes!$A$5:$A$153,0))&amp;"","")</f>
        <v/>
      </c>
      <c r="E56" s="14" t="n"/>
      <c r="F56" s="15">
        <f>IFERROR(INDEX(Referentiels!$C$66:$C$76,MATCH($E56,Referentiels!$A$66:$A$76,0))&amp;"","")</f>
        <v/>
      </c>
      <c r="G56" s="15">
        <f>IFERROR(INDEX(Referentiels!$B$66:$B$76,MATCH($E56,Referentiels!$A$66:$A$76,0))&amp;"","")</f>
        <v/>
      </c>
      <c r="H56" s="16" t="n"/>
      <c r="I56" s="16" t="n"/>
      <c r="J56" s="14" t="n"/>
      <c r="K56" s="18" t="n"/>
    </row>
    <row r="57">
      <c r="A57" s="14" t="n"/>
      <c r="B57" s="15">
        <f>IFERROR(MID($A57,FIND("[",$A57)+1,FIND("]",$A57)-FIND("[",$A57)-1),"")</f>
        <v/>
      </c>
      <c r="C57" s="15">
        <f>IFERROR(INDEX(Personnes!$B$5:$B$153,MATCH($B57,Personnes!$A$5:$A$153,0))&amp;"","")</f>
        <v/>
      </c>
      <c r="D57" s="15">
        <f>IFERROR(INDEX(Personnes!$C$5:$C$153,MATCH($B57,Personnes!$A$5:$A$153,0))&amp;"","")</f>
        <v/>
      </c>
      <c r="E57" s="14" t="n"/>
      <c r="F57" s="15">
        <f>IFERROR(INDEX(Referentiels!$C$66:$C$76,MATCH($E57,Referentiels!$A$66:$A$76,0))&amp;"","")</f>
        <v/>
      </c>
      <c r="G57" s="15">
        <f>IFERROR(INDEX(Referentiels!$B$66:$B$76,MATCH($E57,Referentiels!$A$66:$A$76,0))&amp;"","")</f>
        <v/>
      </c>
      <c r="H57" s="16" t="n"/>
      <c r="I57" s="16" t="n"/>
      <c r="J57" s="14" t="n"/>
      <c r="K57" s="18" t="n"/>
    </row>
    <row r="58">
      <c r="A58" s="14" t="n"/>
      <c r="B58" s="15">
        <f>IFERROR(MID($A58,FIND("[",$A58)+1,FIND("]",$A58)-FIND("[",$A58)-1),"")</f>
        <v/>
      </c>
      <c r="C58" s="15">
        <f>IFERROR(INDEX(Personnes!$B$5:$B$153,MATCH($B58,Personnes!$A$5:$A$153,0))&amp;"","")</f>
        <v/>
      </c>
      <c r="D58" s="15">
        <f>IFERROR(INDEX(Personnes!$C$5:$C$153,MATCH($B58,Personnes!$A$5:$A$153,0))&amp;"","")</f>
        <v/>
      </c>
      <c r="E58" s="14" t="n"/>
      <c r="F58" s="15">
        <f>IFERROR(INDEX(Referentiels!$C$66:$C$76,MATCH($E58,Referentiels!$A$66:$A$76,0))&amp;"","")</f>
        <v/>
      </c>
      <c r="G58" s="15">
        <f>IFERROR(INDEX(Referentiels!$B$66:$B$76,MATCH($E58,Referentiels!$A$66:$A$76,0))&amp;"","")</f>
        <v/>
      </c>
      <c r="H58" s="16" t="n"/>
      <c r="I58" s="16" t="n"/>
      <c r="J58" s="14" t="n"/>
      <c r="K58" s="18" t="n"/>
    </row>
    <row r="59">
      <c r="A59" s="14" t="n"/>
      <c r="B59" s="15">
        <f>IFERROR(MID($A59,FIND("[",$A59)+1,FIND("]",$A59)-FIND("[",$A59)-1),"")</f>
        <v/>
      </c>
      <c r="C59" s="15">
        <f>IFERROR(INDEX(Personnes!$B$5:$B$153,MATCH($B59,Personnes!$A$5:$A$153,0))&amp;"","")</f>
        <v/>
      </c>
      <c r="D59" s="15">
        <f>IFERROR(INDEX(Personnes!$C$5:$C$153,MATCH($B59,Personnes!$A$5:$A$153,0))&amp;"","")</f>
        <v/>
      </c>
      <c r="E59" s="14" t="n"/>
      <c r="F59" s="15">
        <f>IFERROR(INDEX(Referentiels!$C$66:$C$76,MATCH($E59,Referentiels!$A$66:$A$76,0))&amp;"","")</f>
        <v/>
      </c>
      <c r="G59" s="15">
        <f>IFERROR(INDEX(Referentiels!$B$66:$B$76,MATCH($E59,Referentiels!$A$66:$A$76,0))&amp;"","")</f>
        <v/>
      </c>
      <c r="H59" s="16" t="n"/>
      <c r="I59" s="16" t="n"/>
      <c r="J59" s="14" t="n"/>
      <c r="K59" s="18" t="n"/>
    </row>
    <row r="60">
      <c r="A60" s="14" t="n"/>
      <c r="B60" s="15">
        <f>IFERROR(MID($A60,FIND("[",$A60)+1,FIND("]",$A60)-FIND("[",$A60)-1),"")</f>
        <v/>
      </c>
      <c r="C60" s="15">
        <f>IFERROR(INDEX(Personnes!$B$5:$B$153,MATCH($B60,Personnes!$A$5:$A$153,0))&amp;"","")</f>
        <v/>
      </c>
      <c r="D60" s="15">
        <f>IFERROR(INDEX(Personnes!$C$5:$C$153,MATCH($B60,Personnes!$A$5:$A$153,0))&amp;"","")</f>
        <v/>
      </c>
      <c r="E60" s="14" t="n"/>
      <c r="F60" s="15">
        <f>IFERROR(INDEX(Referentiels!$C$66:$C$76,MATCH($E60,Referentiels!$A$66:$A$76,0))&amp;"","")</f>
        <v/>
      </c>
      <c r="G60" s="15">
        <f>IFERROR(INDEX(Referentiels!$B$66:$B$76,MATCH($E60,Referentiels!$A$66:$A$76,0))&amp;"","")</f>
        <v/>
      </c>
      <c r="H60" s="16" t="n"/>
      <c r="I60" s="16" t="n"/>
      <c r="J60" s="14" t="n"/>
      <c r="K60" s="18" t="n"/>
    </row>
    <row r="61">
      <c r="A61" s="14" t="n"/>
      <c r="B61" s="15">
        <f>IFERROR(MID($A61,FIND("[",$A61)+1,FIND("]",$A61)-FIND("[",$A61)-1),"")</f>
        <v/>
      </c>
      <c r="C61" s="15">
        <f>IFERROR(INDEX(Personnes!$B$5:$B$153,MATCH($B61,Personnes!$A$5:$A$153,0))&amp;"","")</f>
        <v/>
      </c>
      <c r="D61" s="15">
        <f>IFERROR(INDEX(Personnes!$C$5:$C$153,MATCH($B61,Personnes!$A$5:$A$153,0))&amp;"","")</f>
        <v/>
      </c>
      <c r="E61" s="14" t="n"/>
      <c r="F61" s="15">
        <f>IFERROR(INDEX(Referentiels!$C$66:$C$76,MATCH($E61,Referentiels!$A$66:$A$76,0))&amp;"","")</f>
        <v/>
      </c>
      <c r="G61" s="15">
        <f>IFERROR(INDEX(Referentiels!$B$66:$B$76,MATCH($E61,Referentiels!$A$66:$A$76,0))&amp;"","")</f>
        <v/>
      </c>
      <c r="H61" s="16" t="n"/>
      <c r="I61" s="16" t="n"/>
      <c r="J61" s="14" t="n"/>
      <c r="K61" s="18" t="n"/>
    </row>
    <row r="62">
      <c r="A62" s="14" t="n"/>
      <c r="B62" s="15">
        <f>IFERROR(MID($A62,FIND("[",$A62)+1,FIND("]",$A62)-FIND("[",$A62)-1),"")</f>
        <v/>
      </c>
      <c r="C62" s="15">
        <f>IFERROR(INDEX(Personnes!$B$5:$B$153,MATCH($B62,Personnes!$A$5:$A$153,0))&amp;"","")</f>
        <v/>
      </c>
      <c r="D62" s="15">
        <f>IFERROR(INDEX(Personnes!$C$5:$C$153,MATCH($B62,Personnes!$A$5:$A$153,0))&amp;"","")</f>
        <v/>
      </c>
      <c r="E62" s="14" t="n"/>
      <c r="F62" s="15">
        <f>IFERROR(INDEX(Referentiels!$C$66:$C$76,MATCH($E62,Referentiels!$A$66:$A$76,0))&amp;"","")</f>
        <v/>
      </c>
      <c r="G62" s="15">
        <f>IFERROR(INDEX(Referentiels!$B$66:$B$76,MATCH($E62,Referentiels!$A$66:$A$76,0))&amp;"","")</f>
        <v/>
      </c>
      <c r="H62" s="16" t="n"/>
      <c r="I62" s="16" t="n"/>
      <c r="J62" s="14" t="n"/>
      <c r="K62" s="18" t="n"/>
    </row>
    <row r="63">
      <c r="A63" s="14" t="n"/>
      <c r="B63" s="15">
        <f>IFERROR(MID($A63,FIND("[",$A63)+1,FIND("]",$A63)-FIND("[",$A63)-1),"")</f>
        <v/>
      </c>
      <c r="C63" s="15">
        <f>IFERROR(INDEX(Personnes!$B$5:$B$153,MATCH($B63,Personnes!$A$5:$A$153,0))&amp;"","")</f>
        <v/>
      </c>
      <c r="D63" s="15">
        <f>IFERROR(INDEX(Personnes!$C$5:$C$153,MATCH($B63,Personnes!$A$5:$A$153,0))&amp;"","")</f>
        <v/>
      </c>
      <c r="E63" s="14" t="n"/>
      <c r="F63" s="15">
        <f>IFERROR(INDEX(Referentiels!$C$66:$C$76,MATCH($E63,Referentiels!$A$66:$A$76,0))&amp;"","")</f>
        <v/>
      </c>
      <c r="G63" s="15">
        <f>IFERROR(INDEX(Referentiels!$B$66:$B$76,MATCH($E63,Referentiels!$A$66:$A$76,0))&amp;"","")</f>
        <v/>
      </c>
      <c r="H63" s="16" t="n"/>
      <c r="I63" s="16" t="n"/>
      <c r="J63" s="14" t="n"/>
      <c r="K63" s="18" t="n"/>
    </row>
    <row r="64">
      <c r="A64" s="14" t="n"/>
      <c r="B64" s="15">
        <f>IFERROR(MID($A64,FIND("[",$A64)+1,FIND("]",$A64)-FIND("[",$A64)-1),"")</f>
        <v/>
      </c>
      <c r="C64" s="15">
        <f>IFERROR(INDEX(Personnes!$B$5:$B$153,MATCH($B64,Personnes!$A$5:$A$153,0))&amp;"","")</f>
        <v/>
      </c>
      <c r="D64" s="15">
        <f>IFERROR(INDEX(Personnes!$C$5:$C$153,MATCH($B64,Personnes!$A$5:$A$153,0))&amp;"","")</f>
        <v/>
      </c>
      <c r="E64" s="14" t="n"/>
      <c r="F64" s="15">
        <f>IFERROR(INDEX(Referentiels!$C$66:$C$76,MATCH($E64,Referentiels!$A$66:$A$76,0))&amp;"","")</f>
        <v/>
      </c>
      <c r="G64" s="15">
        <f>IFERROR(INDEX(Referentiels!$B$66:$B$76,MATCH($E64,Referentiels!$A$66:$A$76,0))&amp;"","")</f>
        <v/>
      </c>
      <c r="H64" s="16" t="n"/>
      <c r="I64" s="16" t="n"/>
      <c r="J64" s="14" t="n"/>
      <c r="K64" s="18" t="n"/>
    </row>
    <row r="65">
      <c r="A65" s="14" t="n"/>
      <c r="B65" s="15">
        <f>IFERROR(MID($A65,FIND("[",$A65)+1,FIND("]",$A65)-FIND("[",$A65)-1),"")</f>
        <v/>
      </c>
      <c r="C65" s="15">
        <f>IFERROR(INDEX(Personnes!$B$5:$B$153,MATCH($B65,Personnes!$A$5:$A$153,0))&amp;"","")</f>
        <v/>
      </c>
      <c r="D65" s="15">
        <f>IFERROR(INDEX(Personnes!$C$5:$C$153,MATCH($B65,Personnes!$A$5:$A$153,0))&amp;"","")</f>
        <v/>
      </c>
      <c r="E65" s="14" t="n"/>
      <c r="F65" s="15">
        <f>IFERROR(INDEX(Referentiels!$C$66:$C$76,MATCH($E65,Referentiels!$A$66:$A$76,0))&amp;"","")</f>
        <v/>
      </c>
      <c r="G65" s="15">
        <f>IFERROR(INDEX(Referentiels!$B$66:$B$76,MATCH($E65,Referentiels!$A$66:$A$76,0))&amp;"","")</f>
        <v/>
      </c>
      <c r="H65" s="16" t="n"/>
      <c r="I65" s="16" t="n"/>
      <c r="J65" s="14" t="n"/>
      <c r="K65" s="18" t="n"/>
    </row>
    <row r="66">
      <c r="A66" s="14" t="n"/>
      <c r="B66" s="15">
        <f>IFERROR(MID($A66,FIND("[",$A66)+1,FIND("]",$A66)-FIND("[",$A66)-1),"")</f>
        <v/>
      </c>
      <c r="C66" s="15">
        <f>IFERROR(INDEX(Personnes!$B$5:$B$153,MATCH($B66,Personnes!$A$5:$A$153,0))&amp;"","")</f>
        <v/>
      </c>
      <c r="D66" s="15">
        <f>IFERROR(INDEX(Personnes!$C$5:$C$153,MATCH($B66,Personnes!$A$5:$A$153,0))&amp;"","")</f>
        <v/>
      </c>
      <c r="E66" s="14" t="n"/>
      <c r="F66" s="15">
        <f>IFERROR(INDEX(Referentiels!$C$66:$C$76,MATCH($E66,Referentiels!$A$66:$A$76,0))&amp;"","")</f>
        <v/>
      </c>
      <c r="G66" s="15">
        <f>IFERROR(INDEX(Referentiels!$B$66:$B$76,MATCH($E66,Referentiels!$A$66:$A$76,0))&amp;"","")</f>
        <v/>
      </c>
      <c r="H66" s="16" t="n"/>
      <c r="I66" s="16" t="n"/>
      <c r="J66" s="14" t="n"/>
      <c r="K66" s="18" t="n"/>
    </row>
    <row r="67">
      <c r="A67" s="14" t="n"/>
      <c r="B67" s="15">
        <f>IFERROR(MID($A67,FIND("[",$A67)+1,FIND("]",$A67)-FIND("[",$A67)-1),"")</f>
        <v/>
      </c>
      <c r="C67" s="15">
        <f>IFERROR(INDEX(Personnes!$B$5:$B$153,MATCH($B67,Personnes!$A$5:$A$153,0))&amp;"","")</f>
        <v/>
      </c>
      <c r="D67" s="15">
        <f>IFERROR(INDEX(Personnes!$C$5:$C$153,MATCH($B67,Personnes!$A$5:$A$153,0))&amp;"","")</f>
        <v/>
      </c>
      <c r="E67" s="14" t="n"/>
      <c r="F67" s="15">
        <f>IFERROR(INDEX(Referentiels!$C$66:$C$76,MATCH($E67,Referentiels!$A$66:$A$76,0))&amp;"","")</f>
        <v/>
      </c>
      <c r="G67" s="15">
        <f>IFERROR(INDEX(Referentiels!$B$66:$B$76,MATCH($E67,Referentiels!$A$66:$A$76,0))&amp;"","")</f>
        <v/>
      </c>
      <c r="H67" s="16" t="n"/>
      <c r="I67" s="16" t="n"/>
      <c r="J67" s="14" t="n"/>
      <c r="K67" s="18" t="n"/>
    </row>
    <row r="68">
      <c r="A68" s="14" t="n"/>
      <c r="B68" s="15">
        <f>IFERROR(MID($A68,FIND("[",$A68)+1,FIND("]",$A68)-FIND("[",$A68)-1),"")</f>
        <v/>
      </c>
      <c r="C68" s="15">
        <f>IFERROR(INDEX(Personnes!$B$5:$B$153,MATCH($B68,Personnes!$A$5:$A$153,0))&amp;"","")</f>
        <v/>
      </c>
      <c r="D68" s="15">
        <f>IFERROR(INDEX(Personnes!$C$5:$C$153,MATCH($B68,Personnes!$A$5:$A$153,0))&amp;"","")</f>
        <v/>
      </c>
      <c r="E68" s="14" t="n"/>
      <c r="F68" s="15">
        <f>IFERROR(INDEX(Referentiels!$C$66:$C$76,MATCH($E68,Referentiels!$A$66:$A$76,0))&amp;"","")</f>
        <v/>
      </c>
      <c r="G68" s="15">
        <f>IFERROR(INDEX(Referentiels!$B$66:$B$76,MATCH($E68,Referentiels!$A$66:$A$76,0))&amp;"","")</f>
        <v/>
      </c>
      <c r="H68" s="16" t="n"/>
      <c r="I68" s="16" t="n"/>
      <c r="J68" s="14" t="n"/>
      <c r="K68" s="18" t="n"/>
    </row>
    <row r="69">
      <c r="A69" s="14" t="n"/>
      <c r="B69" s="15">
        <f>IFERROR(MID($A69,FIND("[",$A69)+1,FIND("]",$A69)-FIND("[",$A69)-1),"")</f>
        <v/>
      </c>
      <c r="C69" s="15">
        <f>IFERROR(INDEX(Personnes!$B$5:$B$153,MATCH($B69,Personnes!$A$5:$A$153,0))&amp;"","")</f>
        <v/>
      </c>
      <c r="D69" s="15">
        <f>IFERROR(INDEX(Personnes!$C$5:$C$153,MATCH($B69,Personnes!$A$5:$A$153,0))&amp;"","")</f>
        <v/>
      </c>
      <c r="E69" s="14" t="n"/>
      <c r="F69" s="15">
        <f>IFERROR(INDEX(Referentiels!$C$66:$C$76,MATCH($E69,Referentiels!$A$66:$A$76,0))&amp;"","")</f>
        <v/>
      </c>
      <c r="G69" s="15">
        <f>IFERROR(INDEX(Referentiels!$B$66:$B$76,MATCH($E69,Referentiels!$A$66:$A$76,0))&amp;"","")</f>
        <v/>
      </c>
      <c r="H69" s="16" t="n"/>
      <c r="I69" s="16" t="n"/>
      <c r="J69" s="14" t="n"/>
      <c r="K69" s="18" t="n"/>
    </row>
    <row r="70">
      <c r="A70" s="14" t="n"/>
      <c r="B70" s="15">
        <f>IFERROR(MID($A70,FIND("[",$A70)+1,FIND("]",$A70)-FIND("[",$A70)-1),"")</f>
        <v/>
      </c>
      <c r="C70" s="15">
        <f>IFERROR(INDEX(Personnes!$B$5:$B$153,MATCH($B70,Personnes!$A$5:$A$153,0))&amp;"","")</f>
        <v/>
      </c>
      <c r="D70" s="15">
        <f>IFERROR(INDEX(Personnes!$C$5:$C$153,MATCH($B70,Personnes!$A$5:$A$153,0))&amp;"","")</f>
        <v/>
      </c>
      <c r="E70" s="14" t="n"/>
      <c r="F70" s="15">
        <f>IFERROR(INDEX(Referentiels!$C$66:$C$76,MATCH($E70,Referentiels!$A$66:$A$76,0))&amp;"","")</f>
        <v/>
      </c>
      <c r="G70" s="15">
        <f>IFERROR(INDEX(Referentiels!$B$66:$B$76,MATCH($E70,Referentiels!$A$66:$A$76,0))&amp;"","")</f>
        <v/>
      </c>
      <c r="H70" s="16" t="n"/>
      <c r="I70" s="16" t="n"/>
      <c r="J70" s="14" t="n"/>
      <c r="K70" s="18" t="n"/>
    </row>
    <row r="71">
      <c r="A71" s="14" t="n"/>
      <c r="B71" s="15">
        <f>IFERROR(MID($A71,FIND("[",$A71)+1,FIND("]",$A71)-FIND("[",$A71)-1),"")</f>
        <v/>
      </c>
      <c r="C71" s="15">
        <f>IFERROR(INDEX(Personnes!$B$5:$B$153,MATCH($B71,Personnes!$A$5:$A$153,0))&amp;"","")</f>
        <v/>
      </c>
      <c r="D71" s="15">
        <f>IFERROR(INDEX(Personnes!$C$5:$C$153,MATCH($B71,Personnes!$A$5:$A$153,0))&amp;"","")</f>
        <v/>
      </c>
      <c r="E71" s="14" t="n"/>
      <c r="F71" s="15">
        <f>IFERROR(INDEX(Referentiels!$C$66:$C$76,MATCH($E71,Referentiels!$A$66:$A$76,0))&amp;"","")</f>
        <v/>
      </c>
      <c r="G71" s="15">
        <f>IFERROR(INDEX(Referentiels!$B$66:$B$76,MATCH($E71,Referentiels!$A$66:$A$76,0))&amp;"","")</f>
        <v/>
      </c>
      <c r="H71" s="16" t="n"/>
      <c r="I71" s="16" t="n"/>
      <c r="J71" s="14" t="n"/>
      <c r="K71" s="18" t="n"/>
    </row>
    <row r="72">
      <c r="A72" s="14" t="n"/>
      <c r="B72" s="15">
        <f>IFERROR(MID($A72,FIND("[",$A72)+1,FIND("]",$A72)-FIND("[",$A72)-1),"")</f>
        <v/>
      </c>
      <c r="C72" s="15">
        <f>IFERROR(INDEX(Personnes!$B$5:$B$153,MATCH($B72,Personnes!$A$5:$A$153,0))&amp;"","")</f>
        <v/>
      </c>
      <c r="D72" s="15">
        <f>IFERROR(INDEX(Personnes!$C$5:$C$153,MATCH($B72,Personnes!$A$5:$A$153,0))&amp;"","")</f>
        <v/>
      </c>
      <c r="E72" s="14" t="n"/>
      <c r="F72" s="15">
        <f>IFERROR(INDEX(Referentiels!$C$66:$C$76,MATCH($E72,Referentiels!$A$66:$A$76,0))&amp;"","")</f>
        <v/>
      </c>
      <c r="G72" s="15">
        <f>IFERROR(INDEX(Referentiels!$B$66:$B$76,MATCH($E72,Referentiels!$A$66:$A$76,0))&amp;"","")</f>
        <v/>
      </c>
      <c r="H72" s="16" t="n"/>
      <c r="I72" s="16" t="n"/>
      <c r="J72" s="14" t="n"/>
      <c r="K72" s="18" t="n"/>
    </row>
    <row r="73">
      <c r="A73" s="14" t="n"/>
      <c r="B73" s="15">
        <f>IFERROR(MID($A73,FIND("[",$A73)+1,FIND("]",$A73)-FIND("[",$A73)-1),"")</f>
        <v/>
      </c>
      <c r="C73" s="15">
        <f>IFERROR(INDEX(Personnes!$B$5:$B$153,MATCH($B73,Personnes!$A$5:$A$153,0))&amp;"","")</f>
        <v/>
      </c>
      <c r="D73" s="15">
        <f>IFERROR(INDEX(Personnes!$C$5:$C$153,MATCH($B73,Personnes!$A$5:$A$153,0))&amp;"","")</f>
        <v/>
      </c>
      <c r="E73" s="14" t="n"/>
      <c r="F73" s="15">
        <f>IFERROR(INDEX(Referentiels!$C$66:$C$76,MATCH($E73,Referentiels!$A$66:$A$76,0))&amp;"","")</f>
        <v/>
      </c>
      <c r="G73" s="15">
        <f>IFERROR(INDEX(Referentiels!$B$66:$B$76,MATCH($E73,Referentiels!$A$66:$A$76,0))&amp;"","")</f>
        <v/>
      </c>
      <c r="H73" s="16" t="n"/>
      <c r="I73" s="16" t="n"/>
      <c r="J73" s="14" t="n"/>
      <c r="K73" s="18" t="n"/>
    </row>
    <row r="74">
      <c r="A74" s="14" t="n"/>
      <c r="B74" s="15">
        <f>IFERROR(MID($A74,FIND("[",$A74)+1,FIND("]",$A74)-FIND("[",$A74)-1),"")</f>
        <v/>
      </c>
      <c r="C74" s="15">
        <f>IFERROR(INDEX(Personnes!$B$5:$B$153,MATCH($B74,Personnes!$A$5:$A$153,0))&amp;"","")</f>
        <v/>
      </c>
      <c r="D74" s="15">
        <f>IFERROR(INDEX(Personnes!$C$5:$C$153,MATCH($B74,Personnes!$A$5:$A$153,0))&amp;"","")</f>
        <v/>
      </c>
      <c r="E74" s="14" t="n"/>
      <c r="F74" s="15">
        <f>IFERROR(INDEX(Referentiels!$C$66:$C$76,MATCH($E74,Referentiels!$A$66:$A$76,0))&amp;"","")</f>
        <v/>
      </c>
      <c r="G74" s="15">
        <f>IFERROR(INDEX(Referentiels!$B$66:$B$76,MATCH($E74,Referentiels!$A$66:$A$76,0))&amp;"","")</f>
        <v/>
      </c>
      <c r="H74" s="16" t="n"/>
      <c r="I74" s="16" t="n"/>
      <c r="J74" s="14" t="n"/>
      <c r="K74" s="18" t="n"/>
    </row>
    <row r="75">
      <c r="A75" s="14" t="n"/>
      <c r="B75" s="15">
        <f>IFERROR(MID($A75,FIND("[",$A75)+1,FIND("]",$A75)-FIND("[",$A75)-1),"")</f>
        <v/>
      </c>
      <c r="C75" s="15">
        <f>IFERROR(INDEX(Personnes!$B$5:$B$153,MATCH($B75,Personnes!$A$5:$A$153,0))&amp;"","")</f>
        <v/>
      </c>
      <c r="D75" s="15">
        <f>IFERROR(INDEX(Personnes!$C$5:$C$153,MATCH($B75,Personnes!$A$5:$A$153,0))&amp;"","")</f>
        <v/>
      </c>
      <c r="E75" s="14" t="n"/>
      <c r="F75" s="15">
        <f>IFERROR(INDEX(Referentiels!$C$66:$C$76,MATCH($E75,Referentiels!$A$66:$A$76,0))&amp;"","")</f>
        <v/>
      </c>
      <c r="G75" s="15">
        <f>IFERROR(INDEX(Referentiels!$B$66:$B$76,MATCH($E75,Referentiels!$A$66:$A$76,0))&amp;"","")</f>
        <v/>
      </c>
      <c r="H75" s="16" t="n"/>
      <c r="I75" s="16" t="n"/>
      <c r="J75" s="14" t="n"/>
      <c r="K75" s="18" t="n"/>
    </row>
    <row r="76">
      <c r="A76" s="14" t="n"/>
      <c r="B76" s="15">
        <f>IFERROR(MID($A76,FIND("[",$A76)+1,FIND("]",$A76)-FIND("[",$A76)-1),"")</f>
        <v/>
      </c>
      <c r="C76" s="15">
        <f>IFERROR(INDEX(Personnes!$B$5:$B$153,MATCH($B76,Personnes!$A$5:$A$153,0))&amp;"","")</f>
        <v/>
      </c>
      <c r="D76" s="15">
        <f>IFERROR(INDEX(Personnes!$C$5:$C$153,MATCH($B76,Personnes!$A$5:$A$153,0))&amp;"","")</f>
        <v/>
      </c>
      <c r="E76" s="14" t="n"/>
      <c r="F76" s="15">
        <f>IFERROR(INDEX(Referentiels!$C$66:$C$76,MATCH($E76,Referentiels!$A$66:$A$76,0))&amp;"","")</f>
        <v/>
      </c>
      <c r="G76" s="15">
        <f>IFERROR(INDEX(Referentiels!$B$66:$B$76,MATCH($E76,Referentiels!$A$66:$A$76,0))&amp;"","")</f>
        <v/>
      </c>
      <c r="H76" s="16" t="n"/>
      <c r="I76" s="16" t="n"/>
      <c r="J76" s="14" t="n"/>
      <c r="K76" s="18" t="n"/>
    </row>
    <row r="77">
      <c r="A77" s="14" t="n"/>
      <c r="B77" s="15">
        <f>IFERROR(MID($A77,FIND("[",$A77)+1,FIND("]",$A77)-FIND("[",$A77)-1),"")</f>
        <v/>
      </c>
      <c r="C77" s="15">
        <f>IFERROR(INDEX(Personnes!$B$5:$B$153,MATCH($B77,Personnes!$A$5:$A$153,0))&amp;"","")</f>
        <v/>
      </c>
      <c r="D77" s="15">
        <f>IFERROR(INDEX(Personnes!$C$5:$C$153,MATCH($B77,Personnes!$A$5:$A$153,0))&amp;"","")</f>
        <v/>
      </c>
      <c r="E77" s="14" t="n"/>
      <c r="F77" s="15">
        <f>IFERROR(INDEX(Referentiels!$C$66:$C$76,MATCH($E77,Referentiels!$A$66:$A$76,0))&amp;"","")</f>
        <v/>
      </c>
      <c r="G77" s="15">
        <f>IFERROR(INDEX(Referentiels!$B$66:$B$76,MATCH($E77,Referentiels!$A$66:$A$76,0))&amp;"","")</f>
        <v/>
      </c>
      <c r="H77" s="16" t="n"/>
      <c r="I77" s="16" t="n"/>
      <c r="J77" s="14" t="n"/>
      <c r="K77" s="18" t="n"/>
    </row>
    <row r="78">
      <c r="A78" s="14" t="n"/>
      <c r="B78" s="15">
        <f>IFERROR(MID($A78,FIND("[",$A78)+1,FIND("]",$A78)-FIND("[",$A78)-1),"")</f>
        <v/>
      </c>
      <c r="C78" s="15">
        <f>IFERROR(INDEX(Personnes!$B$5:$B$153,MATCH($B78,Personnes!$A$5:$A$153,0))&amp;"","")</f>
        <v/>
      </c>
      <c r="D78" s="15">
        <f>IFERROR(INDEX(Personnes!$C$5:$C$153,MATCH($B78,Personnes!$A$5:$A$153,0))&amp;"","")</f>
        <v/>
      </c>
      <c r="E78" s="14" t="n"/>
      <c r="F78" s="15">
        <f>IFERROR(INDEX(Referentiels!$C$66:$C$76,MATCH($E78,Referentiels!$A$66:$A$76,0))&amp;"","")</f>
        <v/>
      </c>
      <c r="G78" s="15">
        <f>IFERROR(INDEX(Referentiels!$B$66:$B$76,MATCH($E78,Referentiels!$A$66:$A$76,0))&amp;"","")</f>
        <v/>
      </c>
      <c r="H78" s="16" t="n"/>
      <c r="I78" s="16" t="n"/>
      <c r="J78" s="14" t="n"/>
      <c r="K78" s="18" t="n"/>
    </row>
    <row r="79">
      <c r="A79" s="14" t="n"/>
      <c r="B79" s="15">
        <f>IFERROR(MID($A79,FIND("[",$A79)+1,FIND("]",$A79)-FIND("[",$A79)-1),"")</f>
        <v/>
      </c>
      <c r="C79" s="15">
        <f>IFERROR(INDEX(Personnes!$B$5:$B$153,MATCH($B79,Personnes!$A$5:$A$153,0))&amp;"","")</f>
        <v/>
      </c>
      <c r="D79" s="15">
        <f>IFERROR(INDEX(Personnes!$C$5:$C$153,MATCH($B79,Personnes!$A$5:$A$153,0))&amp;"","")</f>
        <v/>
      </c>
      <c r="E79" s="14" t="n"/>
      <c r="F79" s="15">
        <f>IFERROR(INDEX(Referentiels!$C$66:$C$76,MATCH($E79,Referentiels!$A$66:$A$76,0))&amp;"","")</f>
        <v/>
      </c>
      <c r="G79" s="15">
        <f>IFERROR(INDEX(Referentiels!$B$66:$B$76,MATCH($E79,Referentiels!$A$66:$A$76,0))&amp;"","")</f>
        <v/>
      </c>
      <c r="H79" s="16" t="n"/>
      <c r="I79" s="16" t="n"/>
      <c r="J79" s="14" t="n"/>
      <c r="K79" s="18" t="n"/>
    </row>
    <row r="80">
      <c r="A80" s="14" t="n"/>
      <c r="B80" s="15">
        <f>IFERROR(MID($A80,FIND("[",$A80)+1,FIND("]",$A80)-FIND("[",$A80)-1),"")</f>
        <v/>
      </c>
      <c r="C80" s="15">
        <f>IFERROR(INDEX(Personnes!$B$5:$B$153,MATCH($B80,Personnes!$A$5:$A$153,0))&amp;"","")</f>
        <v/>
      </c>
      <c r="D80" s="15">
        <f>IFERROR(INDEX(Personnes!$C$5:$C$153,MATCH($B80,Personnes!$A$5:$A$153,0))&amp;"","")</f>
        <v/>
      </c>
      <c r="E80" s="14" t="n"/>
      <c r="F80" s="15">
        <f>IFERROR(INDEX(Referentiels!$C$66:$C$76,MATCH($E80,Referentiels!$A$66:$A$76,0))&amp;"","")</f>
        <v/>
      </c>
      <c r="G80" s="15">
        <f>IFERROR(INDEX(Referentiels!$B$66:$B$76,MATCH($E80,Referentiels!$A$66:$A$76,0))&amp;"","")</f>
        <v/>
      </c>
      <c r="H80" s="16" t="n"/>
      <c r="I80" s="16" t="n"/>
      <c r="J80" s="14" t="n"/>
      <c r="K80" s="18" t="n"/>
    </row>
    <row r="81">
      <c r="A81" s="14" t="n"/>
      <c r="B81" s="15">
        <f>IFERROR(MID($A81,FIND("[",$A81)+1,FIND("]",$A81)-FIND("[",$A81)-1),"")</f>
        <v/>
      </c>
      <c r="C81" s="15">
        <f>IFERROR(INDEX(Personnes!$B$5:$B$153,MATCH($B81,Personnes!$A$5:$A$153,0))&amp;"","")</f>
        <v/>
      </c>
      <c r="D81" s="15">
        <f>IFERROR(INDEX(Personnes!$C$5:$C$153,MATCH($B81,Personnes!$A$5:$A$153,0))&amp;"","")</f>
        <v/>
      </c>
      <c r="E81" s="14" t="n"/>
      <c r="F81" s="15">
        <f>IFERROR(INDEX(Referentiels!$C$66:$C$76,MATCH($E81,Referentiels!$A$66:$A$76,0))&amp;"","")</f>
        <v/>
      </c>
      <c r="G81" s="15">
        <f>IFERROR(INDEX(Referentiels!$B$66:$B$76,MATCH($E81,Referentiels!$A$66:$A$76,0))&amp;"","")</f>
        <v/>
      </c>
      <c r="H81" s="16" t="n"/>
      <c r="I81" s="16" t="n"/>
      <c r="J81" s="14" t="n"/>
      <c r="K81" s="18" t="n"/>
    </row>
    <row r="82">
      <c r="A82" s="14" t="n"/>
      <c r="B82" s="15">
        <f>IFERROR(MID($A82,FIND("[",$A82)+1,FIND("]",$A82)-FIND("[",$A82)-1),"")</f>
        <v/>
      </c>
      <c r="C82" s="15">
        <f>IFERROR(INDEX(Personnes!$B$5:$B$153,MATCH($B82,Personnes!$A$5:$A$153,0))&amp;"","")</f>
        <v/>
      </c>
      <c r="D82" s="15">
        <f>IFERROR(INDEX(Personnes!$C$5:$C$153,MATCH($B82,Personnes!$A$5:$A$153,0))&amp;"","")</f>
        <v/>
      </c>
      <c r="E82" s="14" t="n"/>
      <c r="F82" s="15">
        <f>IFERROR(INDEX(Referentiels!$C$66:$C$76,MATCH($E82,Referentiels!$A$66:$A$76,0))&amp;"","")</f>
        <v/>
      </c>
      <c r="G82" s="15">
        <f>IFERROR(INDEX(Referentiels!$B$66:$B$76,MATCH($E82,Referentiels!$A$66:$A$76,0))&amp;"","")</f>
        <v/>
      </c>
      <c r="H82" s="16" t="n"/>
      <c r="I82" s="16" t="n"/>
      <c r="J82" s="14" t="n"/>
      <c r="K82" s="18" t="n"/>
    </row>
    <row r="83">
      <c r="A83" s="14" t="n"/>
      <c r="B83" s="15">
        <f>IFERROR(MID($A83,FIND("[",$A83)+1,FIND("]",$A83)-FIND("[",$A83)-1),"")</f>
        <v/>
      </c>
      <c r="C83" s="15">
        <f>IFERROR(INDEX(Personnes!$B$5:$B$153,MATCH($B83,Personnes!$A$5:$A$153,0))&amp;"","")</f>
        <v/>
      </c>
      <c r="D83" s="15">
        <f>IFERROR(INDEX(Personnes!$C$5:$C$153,MATCH($B83,Personnes!$A$5:$A$153,0))&amp;"","")</f>
        <v/>
      </c>
      <c r="E83" s="14" t="n"/>
      <c r="F83" s="15">
        <f>IFERROR(INDEX(Referentiels!$C$66:$C$76,MATCH($E83,Referentiels!$A$66:$A$76,0))&amp;"","")</f>
        <v/>
      </c>
      <c r="G83" s="15">
        <f>IFERROR(INDEX(Referentiels!$B$66:$B$76,MATCH($E83,Referentiels!$A$66:$A$76,0))&amp;"","")</f>
        <v/>
      </c>
      <c r="H83" s="16" t="n"/>
      <c r="I83" s="16" t="n"/>
      <c r="J83" s="14" t="n"/>
      <c r="K83" s="18" t="n"/>
    </row>
    <row r="84">
      <c r="A84" s="14" t="n"/>
      <c r="B84" s="15">
        <f>IFERROR(MID($A84,FIND("[",$A84)+1,FIND("]",$A84)-FIND("[",$A84)-1),"")</f>
        <v/>
      </c>
      <c r="C84" s="15">
        <f>IFERROR(INDEX(Personnes!$B$5:$B$153,MATCH($B84,Personnes!$A$5:$A$153,0))&amp;"","")</f>
        <v/>
      </c>
      <c r="D84" s="15">
        <f>IFERROR(INDEX(Personnes!$C$5:$C$153,MATCH($B84,Personnes!$A$5:$A$153,0))&amp;"","")</f>
        <v/>
      </c>
      <c r="E84" s="14" t="n"/>
      <c r="F84" s="15">
        <f>IFERROR(INDEX(Referentiels!$C$66:$C$76,MATCH($E84,Referentiels!$A$66:$A$76,0))&amp;"","")</f>
        <v/>
      </c>
      <c r="G84" s="15">
        <f>IFERROR(INDEX(Referentiels!$B$66:$B$76,MATCH($E84,Referentiels!$A$66:$A$76,0))&amp;"","")</f>
        <v/>
      </c>
      <c r="H84" s="16" t="n"/>
      <c r="I84" s="16" t="n"/>
      <c r="J84" s="14" t="n"/>
      <c r="K84" s="18" t="n"/>
    </row>
    <row r="85">
      <c r="A85" s="14" t="n"/>
      <c r="B85" s="15">
        <f>IFERROR(MID($A85,FIND("[",$A85)+1,FIND("]",$A85)-FIND("[",$A85)-1),"")</f>
        <v/>
      </c>
      <c r="C85" s="15">
        <f>IFERROR(INDEX(Personnes!$B$5:$B$153,MATCH($B85,Personnes!$A$5:$A$153,0))&amp;"","")</f>
        <v/>
      </c>
      <c r="D85" s="15">
        <f>IFERROR(INDEX(Personnes!$C$5:$C$153,MATCH($B85,Personnes!$A$5:$A$153,0))&amp;"","")</f>
        <v/>
      </c>
      <c r="E85" s="14" t="n"/>
      <c r="F85" s="15">
        <f>IFERROR(INDEX(Referentiels!$C$66:$C$76,MATCH($E85,Referentiels!$A$66:$A$76,0))&amp;"","")</f>
        <v/>
      </c>
      <c r="G85" s="15">
        <f>IFERROR(INDEX(Referentiels!$B$66:$B$76,MATCH($E85,Referentiels!$A$66:$A$76,0))&amp;"","")</f>
        <v/>
      </c>
      <c r="H85" s="16" t="n"/>
      <c r="I85" s="16" t="n"/>
      <c r="J85" s="14" t="n"/>
      <c r="K85" s="18" t="n"/>
    </row>
    <row r="86">
      <c r="A86" s="14" t="n"/>
      <c r="B86" s="15">
        <f>IFERROR(MID($A86,FIND("[",$A86)+1,FIND("]",$A86)-FIND("[",$A86)-1),"")</f>
        <v/>
      </c>
      <c r="C86" s="15">
        <f>IFERROR(INDEX(Personnes!$B$5:$B$153,MATCH($B86,Personnes!$A$5:$A$153,0))&amp;"","")</f>
        <v/>
      </c>
      <c r="D86" s="15">
        <f>IFERROR(INDEX(Personnes!$C$5:$C$153,MATCH($B86,Personnes!$A$5:$A$153,0))&amp;"","")</f>
        <v/>
      </c>
      <c r="E86" s="14" t="n"/>
      <c r="F86" s="15">
        <f>IFERROR(INDEX(Referentiels!$C$66:$C$76,MATCH($E86,Referentiels!$A$66:$A$76,0))&amp;"","")</f>
        <v/>
      </c>
      <c r="G86" s="15">
        <f>IFERROR(INDEX(Referentiels!$B$66:$B$76,MATCH($E86,Referentiels!$A$66:$A$76,0))&amp;"","")</f>
        <v/>
      </c>
      <c r="H86" s="16" t="n"/>
      <c r="I86" s="16" t="n"/>
      <c r="J86" s="14" t="n"/>
      <c r="K86" s="18" t="n"/>
    </row>
    <row r="87">
      <c r="A87" s="14" t="n"/>
      <c r="B87" s="15">
        <f>IFERROR(MID($A87,FIND("[",$A87)+1,FIND("]",$A87)-FIND("[",$A87)-1),"")</f>
        <v/>
      </c>
      <c r="C87" s="15">
        <f>IFERROR(INDEX(Personnes!$B$5:$B$153,MATCH($B87,Personnes!$A$5:$A$153,0))&amp;"","")</f>
        <v/>
      </c>
      <c r="D87" s="15">
        <f>IFERROR(INDEX(Personnes!$C$5:$C$153,MATCH($B87,Personnes!$A$5:$A$153,0))&amp;"","")</f>
        <v/>
      </c>
      <c r="E87" s="14" t="n"/>
      <c r="F87" s="15">
        <f>IFERROR(INDEX(Referentiels!$C$66:$C$76,MATCH($E87,Referentiels!$A$66:$A$76,0))&amp;"","")</f>
        <v/>
      </c>
      <c r="G87" s="15">
        <f>IFERROR(INDEX(Referentiels!$B$66:$B$76,MATCH($E87,Referentiels!$A$66:$A$76,0))&amp;"","")</f>
        <v/>
      </c>
      <c r="H87" s="16" t="n"/>
      <c r="I87" s="16" t="n"/>
      <c r="J87" s="14" t="n"/>
      <c r="K87" s="18" t="n"/>
    </row>
    <row r="88">
      <c r="A88" s="14" t="n"/>
      <c r="B88" s="15">
        <f>IFERROR(MID($A88,FIND("[",$A88)+1,FIND("]",$A88)-FIND("[",$A88)-1),"")</f>
        <v/>
      </c>
      <c r="C88" s="15">
        <f>IFERROR(INDEX(Personnes!$B$5:$B$153,MATCH($B88,Personnes!$A$5:$A$153,0))&amp;"","")</f>
        <v/>
      </c>
      <c r="D88" s="15">
        <f>IFERROR(INDEX(Personnes!$C$5:$C$153,MATCH($B88,Personnes!$A$5:$A$153,0))&amp;"","")</f>
        <v/>
      </c>
      <c r="E88" s="14" t="n"/>
      <c r="F88" s="15">
        <f>IFERROR(INDEX(Referentiels!$C$66:$C$76,MATCH($E88,Referentiels!$A$66:$A$76,0))&amp;"","")</f>
        <v/>
      </c>
      <c r="G88" s="15">
        <f>IFERROR(INDEX(Referentiels!$B$66:$B$76,MATCH($E88,Referentiels!$A$66:$A$76,0))&amp;"","")</f>
        <v/>
      </c>
      <c r="H88" s="16" t="n"/>
      <c r="I88" s="16" t="n"/>
      <c r="J88" s="14" t="n"/>
      <c r="K88" s="18" t="n"/>
    </row>
    <row r="89">
      <c r="A89" s="14" t="n"/>
      <c r="B89" s="15">
        <f>IFERROR(MID($A89,FIND("[",$A89)+1,FIND("]",$A89)-FIND("[",$A89)-1),"")</f>
        <v/>
      </c>
      <c r="C89" s="15">
        <f>IFERROR(INDEX(Personnes!$B$5:$B$153,MATCH($B89,Personnes!$A$5:$A$153,0))&amp;"","")</f>
        <v/>
      </c>
      <c r="D89" s="15">
        <f>IFERROR(INDEX(Personnes!$C$5:$C$153,MATCH($B89,Personnes!$A$5:$A$153,0))&amp;"","")</f>
        <v/>
      </c>
      <c r="E89" s="14" t="n"/>
      <c r="F89" s="15">
        <f>IFERROR(INDEX(Referentiels!$C$66:$C$76,MATCH($E89,Referentiels!$A$66:$A$76,0))&amp;"","")</f>
        <v/>
      </c>
      <c r="G89" s="15">
        <f>IFERROR(INDEX(Referentiels!$B$66:$B$76,MATCH($E89,Referentiels!$A$66:$A$76,0))&amp;"","")</f>
        <v/>
      </c>
      <c r="H89" s="16" t="n"/>
      <c r="I89" s="16" t="n"/>
      <c r="J89" s="14" t="n"/>
      <c r="K89" s="18" t="n"/>
    </row>
    <row r="90">
      <c r="A90" s="14" t="n"/>
      <c r="B90" s="15">
        <f>IFERROR(MID($A90,FIND("[",$A90)+1,FIND("]",$A90)-FIND("[",$A90)-1),"")</f>
        <v/>
      </c>
      <c r="C90" s="15">
        <f>IFERROR(INDEX(Personnes!$B$5:$B$153,MATCH($B90,Personnes!$A$5:$A$153,0))&amp;"","")</f>
        <v/>
      </c>
      <c r="D90" s="15">
        <f>IFERROR(INDEX(Personnes!$C$5:$C$153,MATCH($B90,Personnes!$A$5:$A$153,0))&amp;"","")</f>
        <v/>
      </c>
      <c r="E90" s="14" t="n"/>
      <c r="F90" s="15">
        <f>IFERROR(INDEX(Referentiels!$C$66:$C$76,MATCH($E90,Referentiels!$A$66:$A$76,0))&amp;"","")</f>
        <v/>
      </c>
      <c r="G90" s="15">
        <f>IFERROR(INDEX(Referentiels!$B$66:$B$76,MATCH($E90,Referentiels!$A$66:$A$76,0))&amp;"","")</f>
        <v/>
      </c>
      <c r="H90" s="16" t="n"/>
      <c r="I90" s="16" t="n"/>
      <c r="J90" s="14" t="n"/>
      <c r="K90" s="18" t="n"/>
    </row>
    <row r="91">
      <c r="A91" s="14" t="n"/>
      <c r="B91" s="15">
        <f>IFERROR(MID($A91,FIND("[",$A91)+1,FIND("]",$A91)-FIND("[",$A91)-1),"")</f>
        <v/>
      </c>
      <c r="C91" s="15">
        <f>IFERROR(INDEX(Personnes!$B$5:$B$153,MATCH($B91,Personnes!$A$5:$A$153,0))&amp;"","")</f>
        <v/>
      </c>
      <c r="D91" s="15">
        <f>IFERROR(INDEX(Personnes!$C$5:$C$153,MATCH($B91,Personnes!$A$5:$A$153,0))&amp;"","")</f>
        <v/>
      </c>
      <c r="E91" s="14" t="n"/>
      <c r="F91" s="15">
        <f>IFERROR(INDEX(Referentiels!$C$66:$C$76,MATCH($E91,Referentiels!$A$66:$A$76,0))&amp;"","")</f>
        <v/>
      </c>
      <c r="G91" s="15">
        <f>IFERROR(INDEX(Referentiels!$B$66:$B$76,MATCH($E91,Referentiels!$A$66:$A$76,0))&amp;"","")</f>
        <v/>
      </c>
      <c r="H91" s="16" t="n"/>
      <c r="I91" s="16" t="n"/>
      <c r="J91" s="14" t="n"/>
      <c r="K91" s="18" t="n"/>
    </row>
    <row r="92">
      <c r="A92" s="14" t="n"/>
      <c r="B92" s="15">
        <f>IFERROR(MID($A92,FIND("[",$A92)+1,FIND("]",$A92)-FIND("[",$A92)-1),"")</f>
        <v/>
      </c>
      <c r="C92" s="15">
        <f>IFERROR(INDEX(Personnes!$B$5:$B$153,MATCH($B92,Personnes!$A$5:$A$153,0))&amp;"","")</f>
        <v/>
      </c>
      <c r="D92" s="15">
        <f>IFERROR(INDEX(Personnes!$C$5:$C$153,MATCH($B92,Personnes!$A$5:$A$153,0))&amp;"","")</f>
        <v/>
      </c>
      <c r="E92" s="14" t="n"/>
      <c r="F92" s="15">
        <f>IFERROR(INDEX(Referentiels!$C$66:$C$76,MATCH($E92,Referentiels!$A$66:$A$76,0))&amp;"","")</f>
        <v/>
      </c>
      <c r="G92" s="15">
        <f>IFERROR(INDEX(Referentiels!$B$66:$B$76,MATCH($E92,Referentiels!$A$66:$A$76,0))&amp;"","")</f>
        <v/>
      </c>
      <c r="H92" s="16" t="n"/>
      <c r="I92" s="16" t="n"/>
      <c r="J92" s="14" t="n"/>
      <c r="K92" s="18" t="n"/>
    </row>
    <row r="93">
      <c r="A93" s="14" t="n"/>
      <c r="B93" s="15">
        <f>IFERROR(MID($A93,FIND("[",$A93)+1,FIND("]",$A93)-FIND("[",$A93)-1),"")</f>
        <v/>
      </c>
      <c r="C93" s="15">
        <f>IFERROR(INDEX(Personnes!$B$5:$B$153,MATCH($B93,Personnes!$A$5:$A$153,0))&amp;"","")</f>
        <v/>
      </c>
      <c r="D93" s="15">
        <f>IFERROR(INDEX(Personnes!$C$5:$C$153,MATCH($B93,Personnes!$A$5:$A$153,0))&amp;"","")</f>
        <v/>
      </c>
      <c r="E93" s="14" t="n"/>
      <c r="F93" s="15">
        <f>IFERROR(INDEX(Referentiels!$C$66:$C$76,MATCH($E93,Referentiels!$A$66:$A$76,0))&amp;"","")</f>
        <v/>
      </c>
      <c r="G93" s="15">
        <f>IFERROR(INDEX(Referentiels!$B$66:$B$76,MATCH($E93,Referentiels!$A$66:$A$76,0))&amp;"","")</f>
        <v/>
      </c>
      <c r="H93" s="16" t="n"/>
      <c r="I93" s="16" t="n"/>
      <c r="J93" s="14" t="n"/>
      <c r="K93" s="18" t="n"/>
    </row>
    <row r="94">
      <c r="A94" s="14" t="n"/>
      <c r="B94" s="15">
        <f>IFERROR(MID($A94,FIND("[",$A94)+1,FIND("]",$A94)-FIND("[",$A94)-1),"")</f>
        <v/>
      </c>
      <c r="C94" s="15">
        <f>IFERROR(INDEX(Personnes!$B$5:$B$153,MATCH($B94,Personnes!$A$5:$A$153,0))&amp;"","")</f>
        <v/>
      </c>
      <c r="D94" s="15">
        <f>IFERROR(INDEX(Personnes!$C$5:$C$153,MATCH($B94,Personnes!$A$5:$A$153,0))&amp;"","")</f>
        <v/>
      </c>
      <c r="E94" s="14" t="n"/>
      <c r="F94" s="15">
        <f>IFERROR(INDEX(Referentiels!$C$66:$C$76,MATCH($E94,Referentiels!$A$66:$A$76,0))&amp;"","")</f>
        <v/>
      </c>
      <c r="G94" s="15">
        <f>IFERROR(INDEX(Referentiels!$B$66:$B$76,MATCH($E94,Referentiels!$A$66:$A$76,0))&amp;"","")</f>
        <v/>
      </c>
      <c r="H94" s="16" t="n"/>
      <c r="I94" s="16" t="n"/>
      <c r="J94" s="14" t="n"/>
      <c r="K94" s="18" t="n"/>
    </row>
    <row r="95">
      <c r="A95" s="14" t="n"/>
      <c r="B95" s="15">
        <f>IFERROR(MID($A95,FIND("[",$A95)+1,FIND("]",$A95)-FIND("[",$A95)-1),"")</f>
        <v/>
      </c>
      <c r="C95" s="15">
        <f>IFERROR(INDEX(Personnes!$B$5:$B$153,MATCH($B95,Personnes!$A$5:$A$153,0))&amp;"","")</f>
        <v/>
      </c>
      <c r="D95" s="15">
        <f>IFERROR(INDEX(Personnes!$C$5:$C$153,MATCH($B95,Personnes!$A$5:$A$153,0))&amp;"","")</f>
        <v/>
      </c>
      <c r="E95" s="14" t="n"/>
      <c r="F95" s="15">
        <f>IFERROR(INDEX(Referentiels!$C$66:$C$76,MATCH($E95,Referentiels!$A$66:$A$76,0))&amp;"","")</f>
        <v/>
      </c>
      <c r="G95" s="15">
        <f>IFERROR(INDEX(Referentiels!$B$66:$B$76,MATCH($E95,Referentiels!$A$66:$A$76,0))&amp;"","")</f>
        <v/>
      </c>
      <c r="H95" s="16" t="n"/>
      <c r="I95" s="16" t="n"/>
      <c r="J95" s="14" t="n"/>
      <c r="K95" s="18" t="n"/>
    </row>
    <row r="96">
      <c r="A96" s="14" t="n"/>
      <c r="B96" s="15">
        <f>IFERROR(MID($A96,FIND("[",$A96)+1,FIND("]",$A96)-FIND("[",$A96)-1),"")</f>
        <v/>
      </c>
      <c r="C96" s="15">
        <f>IFERROR(INDEX(Personnes!$B$5:$B$153,MATCH($B96,Personnes!$A$5:$A$153,0))&amp;"","")</f>
        <v/>
      </c>
      <c r="D96" s="15">
        <f>IFERROR(INDEX(Personnes!$C$5:$C$153,MATCH($B96,Personnes!$A$5:$A$153,0))&amp;"","")</f>
        <v/>
      </c>
      <c r="E96" s="14" t="n"/>
      <c r="F96" s="15">
        <f>IFERROR(INDEX(Referentiels!$C$66:$C$76,MATCH($E96,Referentiels!$A$66:$A$76,0))&amp;"","")</f>
        <v/>
      </c>
      <c r="G96" s="15">
        <f>IFERROR(INDEX(Referentiels!$B$66:$B$76,MATCH($E96,Referentiels!$A$66:$A$76,0))&amp;"","")</f>
        <v/>
      </c>
      <c r="H96" s="16" t="n"/>
      <c r="I96" s="16" t="n"/>
      <c r="J96" s="14" t="n"/>
      <c r="K96" s="18" t="n"/>
    </row>
    <row r="97">
      <c r="A97" s="14" t="n"/>
      <c r="B97" s="15">
        <f>IFERROR(MID($A97,FIND("[",$A97)+1,FIND("]",$A97)-FIND("[",$A97)-1),"")</f>
        <v/>
      </c>
      <c r="C97" s="15">
        <f>IFERROR(INDEX(Personnes!$B$5:$B$153,MATCH($B97,Personnes!$A$5:$A$153,0))&amp;"","")</f>
        <v/>
      </c>
      <c r="D97" s="15">
        <f>IFERROR(INDEX(Personnes!$C$5:$C$153,MATCH($B97,Personnes!$A$5:$A$153,0))&amp;"","")</f>
        <v/>
      </c>
      <c r="E97" s="14" t="n"/>
      <c r="F97" s="15">
        <f>IFERROR(INDEX(Referentiels!$C$66:$C$76,MATCH($E97,Referentiels!$A$66:$A$76,0))&amp;"","")</f>
        <v/>
      </c>
      <c r="G97" s="15">
        <f>IFERROR(INDEX(Referentiels!$B$66:$B$76,MATCH($E97,Referentiels!$A$66:$A$76,0))&amp;"","")</f>
        <v/>
      </c>
      <c r="H97" s="16" t="n"/>
      <c r="I97" s="16" t="n"/>
      <c r="J97" s="14" t="n"/>
      <c r="K97" s="18" t="n"/>
    </row>
    <row r="98">
      <c r="A98" s="14" t="n"/>
      <c r="B98" s="15">
        <f>IFERROR(MID($A98,FIND("[",$A98)+1,FIND("]",$A98)-FIND("[",$A98)-1),"")</f>
        <v/>
      </c>
      <c r="C98" s="15">
        <f>IFERROR(INDEX(Personnes!$B$5:$B$153,MATCH($B98,Personnes!$A$5:$A$153,0))&amp;"","")</f>
        <v/>
      </c>
      <c r="D98" s="15">
        <f>IFERROR(INDEX(Personnes!$C$5:$C$153,MATCH($B98,Personnes!$A$5:$A$153,0))&amp;"","")</f>
        <v/>
      </c>
      <c r="E98" s="14" t="n"/>
      <c r="F98" s="15">
        <f>IFERROR(INDEX(Referentiels!$C$66:$C$76,MATCH($E98,Referentiels!$A$66:$A$76,0))&amp;"","")</f>
        <v/>
      </c>
      <c r="G98" s="15">
        <f>IFERROR(INDEX(Referentiels!$B$66:$B$76,MATCH($E98,Referentiels!$A$66:$A$76,0))&amp;"","")</f>
        <v/>
      </c>
      <c r="H98" s="16" t="n"/>
      <c r="I98" s="16" t="n"/>
      <c r="J98" s="14" t="n"/>
      <c r="K98" s="18" t="n"/>
    </row>
    <row r="99">
      <c r="A99" s="14" t="n"/>
      <c r="B99" s="15">
        <f>IFERROR(MID($A99,FIND("[",$A99)+1,FIND("]",$A99)-FIND("[",$A99)-1),"")</f>
        <v/>
      </c>
      <c r="C99" s="15">
        <f>IFERROR(INDEX(Personnes!$B$5:$B$153,MATCH($B99,Personnes!$A$5:$A$153,0))&amp;"","")</f>
        <v/>
      </c>
      <c r="D99" s="15">
        <f>IFERROR(INDEX(Personnes!$C$5:$C$153,MATCH($B99,Personnes!$A$5:$A$153,0))&amp;"","")</f>
        <v/>
      </c>
      <c r="E99" s="14" t="n"/>
      <c r="F99" s="15">
        <f>IFERROR(INDEX(Referentiels!$C$66:$C$76,MATCH($E99,Referentiels!$A$66:$A$76,0))&amp;"","")</f>
        <v/>
      </c>
      <c r="G99" s="15">
        <f>IFERROR(INDEX(Referentiels!$B$66:$B$76,MATCH($E99,Referentiels!$A$66:$A$76,0))&amp;"","")</f>
        <v/>
      </c>
      <c r="H99" s="16" t="n"/>
      <c r="I99" s="16" t="n"/>
      <c r="J99" s="14" t="n"/>
      <c r="K99" s="18" t="n"/>
    </row>
    <row r="100">
      <c r="A100" s="14" t="n"/>
      <c r="B100" s="15">
        <f>IFERROR(MID($A100,FIND("[",$A100)+1,FIND("]",$A100)-FIND("[",$A100)-1),"")</f>
        <v/>
      </c>
      <c r="C100" s="15">
        <f>IFERROR(INDEX(Personnes!$B$5:$B$153,MATCH($B100,Personnes!$A$5:$A$153,0))&amp;"","")</f>
        <v/>
      </c>
      <c r="D100" s="15">
        <f>IFERROR(INDEX(Personnes!$C$5:$C$153,MATCH($B100,Personnes!$A$5:$A$153,0))&amp;"","")</f>
        <v/>
      </c>
      <c r="E100" s="14" t="n"/>
      <c r="F100" s="15">
        <f>IFERROR(INDEX(Referentiels!$C$66:$C$76,MATCH($E100,Referentiels!$A$66:$A$76,0))&amp;"","")</f>
        <v/>
      </c>
      <c r="G100" s="15">
        <f>IFERROR(INDEX(Referentiels!$B$66:$B$76,MATCH($E100,Referentiels!$A$66:$A$76,0))&amp;"","")</f>
        <v/>
      </c>
      <c r="H100" s="16" t="n"/>
      <c r="I100" s="16" t="n"/>
      <c r="J100" s="14" t="n"/>
      <c r="K100" s="18" t="n"/>
    </row>
    <row r="101">
      <c r="A101" s="14" t="n"/>
      <c r="B101" s="15">
        <f>IFERROR(MID($A101,FIND("[",$A101)+1,FIND("]",$A101)-FIND("[",$A101)-1),"")</f>
        <v/>
      </c>
      <c r="C101" s="15">
        <f>IFERROR(INDEX(Personnes!$B$5:$B$153,MATCH($B101,Personnes!$A$5:$A$153,0))&amp;"","")</f>
        <v/>
      </c>
      <c r="D101" s="15">
        <f>IFERROR(INDEX(Personnes!$C$5:$C$153,MATCH($B101,Personnes!$A$5:$A$153,0))&amp;"","")</f>
        <v/>
      </c>
      <c r="E101" s="14" t="n"/>
      <c r="F101" s="15">
        <f>IFERROR(INDEX(Referentiels!$C$66:$C$76,MATCH($E101,Referentiels!$A$66:$A$76,0))&amp;"","")</f>
        <v/>
      </c>
      <c r="G101" s="15">
        <f>IFERROR(INDEX(Referentiels!$B$66:$B$76,MATCH($E101,Referentiels!$A$66:$A$76,0))&amp;"","")</f>
        <v/>
      </c>
      <c r="H101" s="16" t="n"/>
      <c r="I101" s="16" t="n"/>
      <c r="J101" s="14" t="n"/>
      <c r="K101" s="18" t="n"/>
    </row>
    <row r="102">
      <c r="A102" s="14" t="n"/>
      <c r="B102" s="15">
        <f>IFERROR(MID($A102,FIND("[",$A102)+1,FIND("]",$A102)-FIND("[",$A102)-1),"")</f>
        <v/>
      </c>
      <c r="C102" s="15">
        <f>IFERROR(INDEX(Personnes!$B$5:$B$153,MATCH($B102,Personnes!$A$5:$A$153,0))&amp;"","")</f>
        <v/>
      </c>
      <c r="D102" s="15">
        <f>IFERROR(INDEX(Personnes!$C$5:$C$153,MATCH($B102,Personnes!$A$5:$A$153,0))&amp;"","")</f>
        <v/>
      </c>
      <c r="E102" s="14" t="n"/>
      <c r="F102" s="15">
        <f>IFERROR(INDEX(Referentiels!$C$66:$C$76,MATCH($E102,Referentiels!$A$66:$A$76,0))&amp;"","")</f>
        <v/>
      </c>
      <c r="G102" s="15">
        <f>IFERROR(INDEX(Referentiels!$B$66:$B$76,MATCH($E102,Referentiels!$A$66:$A$76,0))&amp;"","")</f>
        <v/>
      </c>
      <c r="H102" s="16" t="n"/>
      <c r="I102" s="16" t="n"/>
      <c r="J102" s="14" t="n"/>
      <c r="K102" s="18" t="n"/>
    </row>
    <row r="103">
      <c r="A103" s="14" t="n"/>
      <c r="B103" s="15">
        <f>IFERROR(MID($A103,FIND("[",$A103)+1,FIND("]",$A103)-FIND("[",$A103)-1),"")</f>
        <v/>
      </c>
      <c r="C103" s="15">
        <f>IFERROR(INDEX(Personnes!$B$5:$B$153,MATCH($B103,Personnes!$A$5:$A$153,0))&amp;"","")</f>
        <v/>
      </c>
      <c r="D103" s="15">
        <f>IFERROR(INDEX(Personnes!$C$5:$C$153,MATCH($B103,Personnes!$A$5:$A$153,0))&amp;"","")</f>
        <v/>
      </c>
      <c r="E103" s="14" t="n"/>
      <c r="F103" s="15">
        <f>IFERROR(INDEX(Referentiels!$C$66:$C$76,MATCH($E103,Referentiels!$A$66:$A$76,0))&amp;"","")</f>
        <v/>
      </c>
      <c r="G103" s="15">
        <f>IFERROR(INDEX(Referentiels!$B$66:$B$76,MATCH($E103,Referentiels!$A$66:$A$76,0))&amp;"","")</f>
        <v/>
      </c>
      <c r="H103" s="16" t="n"/>
      <c r="I103" s="16" t="n"/>
      <c r="J103" s="14" t="n"/>
      <c r="K103" s="18" t="n"/>
    </row>
    <row r="104">
      <c r="A104" s="14" t="n"/>
      <c r="B104" s="15">
        <f>IFERROR(MID($A104,FIND("[",$A104)+1,FIND("]",$A104)-FIND("[",$A104)-1),"")</f>
        <v/>
      </c>
      <c r="C104" s="15">
        <f>IFERROR(INDEX(Personnes!$B$5:$B$153,MATCH($B104,Personnes!$A$5:$A$153,0))&amp;"","")</f>
        <v/>
      </c>
      <c r="D104" s="15">
        <f>IFERROR(INDEX(Personnes!$C$5:$C$153,MATCH($B104,Personnes!$A$5:$A$153,0))&amp;"","")</f>
        <v/>
      </c>
      <c r="E104" s="14" t="n"/>
      <c r="F104" s="15">
        <f>IFERROR(INDEX(Referentiels!$C$66:$C$76,MATCH($E104,Referentiels!$A$66:$A$76,0))&amp;"","")</f>
        <v/>
      </c>
      <c r="G104" s="15">
        <f>IFERROR(INDEX(Referentiels!$B$66:$B$76,MATCH($E104,Referentiels!$A$66:$A$76,0))&amp;"","")</f>
        <v/>
      </c>
      <c r="H104" s="16" t="n"/>
      <c r="I104" s="16" t="n"/>
      <c r="J104" s="14" t="n"/>
      <c r="K104" s="18" t="n"/>
    </row>
    <row r="105">
      <c r="A105" s="14" t="n"/>
      <c r="B105" s="15">
        <f>IFERROR(MID($A105,FIND("[",$A105)+1,FIND("]",$A105)-FIND("[",$A105)-1),"")</f>
        <v/>
      </c>
      <c r="C105" s="15">
        <f>IFERROR(INDEX(Personnes!$B$5:$B$153,MATCH($B105,Personnes!$A$5:$A$153,0))&amp;"","")</f>
        <v/>
      </c>
      <c r="D105" s="15">
        <f>IFERROR(INDEX(Personnes!$C$5:$C$153,MATCH($B105,Personnes!$A$5:$A$153,0))&amp;"","")</f>
        <v/>
      </c>
      <c r="E105" s="14" t="n"/>
      <c r="F105" s="15">
        <f>IFERROR(INDEX(Referentiels!$C$66:$C$76,MATCH($E105,Referentiels!$A$66:$A$76,0))&amp;"","")</f>
        <v/>
      </c>
      <c r="G105" s="15">
        <f>IFERROR(INDEX(Referentiels!$B$66:$B$76,MATCH($E105,Referentiels!$A$66:$A$76,0))&amp;"","")</f>
        <v/>
      </c>
      <c r="H105" s="16" t="n"/>
      <c r="I105" s="16" t="n"/>
      <c r="J105" s="14" t="n"/>
      <c r="K105" s="18" t="n"/>
    </row>
    <row r="106">
      <c r="A106" s="14" t="n"/>
      <c r="B106" s="15">
        <f>IFERROR(MID($A106,FIND("[",$A106)+1,FIND("]",$A106)-FIND("[",$A106)-1),"")</f>
        <v/>
      </c>
      <c r="C106" s="15">
        <f>IFERROR(INDEX(Personnes!$B$5:$B$153,MATCH($B106,Personnes!$A$5:$A$153,0))&amp;"","")</f>
        <v/>
      </c>
      <c r="D106" s="15">
        <f>IFERROR(INDEX(Personnes!$C$5:$C$153,MATCH($B106,Personnes!$A$5:$A$153,0))&amp;"","")</f>
        <v/>
      </c>
      <c r="E106" s="14" t="n"/>
      <c r="F106" s="15">
        <f>IFERROR(INDEX(Referentiels!$C$66:$C$76,MATCH($E106,Referentiels!$A$66:$A$76,0))&amp;"","")</f>
        <v/>
      </c>
      <c r="G106" s="15">
        <f>IFERROR(INDEX(Referentiels!$B$66:$B$76,MATCH($E106,Referentiels!$A$66:$A$76,0))&amp;"","")</f>
        <v/>
      </c>
      <c r="H106" s="16" t="n"/>
      <c r="I106" s="16" t="n"/>
      <c r="J106" s="14" t="n"/>
      <c r="K106" s="18" t="n"/>
    </row>
    <row r="107">
      <c r="A107" s="14" t="n"/>
      <c r="B107" s="15">
        <f>IFERROR(MID($A107,FIND("[",$A107)+1,FIND("]",$A107)-FIND("[",$A107)-1),"")</f>
        <v/>
      </c>
      <c r="C107" s="15">
        <f>IFERROR(INDEX(Personnes!$B$5:$B$153,MATCH($B107,Personnes!$A$5:$A$153,0))&amp;"","")</f>
        <v/>
      </c>
      <c r="D107" s="15">
        <f>IFERROR(INDEX(Personnes!$C$5:$C$153,MATCH($B107,Personnes!$A$5:$A$153,0))&amp;"","")</f>
        <v/>
      </c>
      <c r="E107" s="14" t="n"/>
      <c r="F107" s="15">
        <f>IFERROR(INDEX(Referentiels!$C$66:$C$76,MATCH($E107,Referentiels!$A$66:$A$76,0))&amp;"","")</f>
        <v/>
      </c>
      <c r="G107" s="15">
        <f>IFERROR(INDEX(Referentiels!$B$66:$B$76,MATCH($E107,Referentiels!$A$66:$A$76,0))&amp;"","")</f>
        <v/>
      </c>
      <c r="H107" s="16" t="n"/>
      <c r="I107" s="16" t="n"/>
      <c r="J107" s="14" t="n"/>
      <c r="K107" s="18" t="n"/>
    </row>
    <row r="108">
      <c r="A108" s="14" t="n"/>
      <c r="B108" s="15">
        <f>IFERROR(MID($A108,FIND("[",$A108)+1,FIND("]",$A108)-FIND("[",$A108)-1),"")</f>
        <v/>
      </c>
      <c r="C108" s="15">
        <f>IFERROR(INDEX(Personnes!$B$5:$B$153,MATCH($B108,Personnes!$A$5:$A$153,0))&amp;"","")</f>
        <v/>
      </c>
      <c r="D108" s="15">
        <f>IFERROR(INDEX(Personnes!$C$5:$C$153,MATCH($B108,Personnes!$A$5:$A$153,0))&amp;"","")</f>
        <v/>
      </c>
      <c r="E108" s="14" t="n"/>
      <c r="F108" s="15">
        <f>IFERROR(INDEX(Referentiels!$C$66:$C$76,MATCH($E108,Referentiels!$A$66:$A$76,0))&amp;"","")</f>
        <v/>
      </c>
      <c r="G108" s="15">
        <f>IFERROR(INDEX(Referentiels!$B$66:$B$76,MATCH($E108,Referentiels!$A$66:$A$76,0))&amp;"","")</f>
        <v/>
      </c>
      <c r="H108" s="16" t="n"/>
      <c r="I108" s="16" t="n"/>
      <c r="J108" s="14" t="n"/>
      <c r="K108" s="18" t="n"/>
    </row>
    <row r="109">
      <c r="A109" s="14" t="n"/>
      <c r="B109" s="15">
        <f>IFERROR(MID($A109,FIND("[",$A109)+1,FIND("]",$A109)-FIND("[",$A109)-1),"")</f>
        <v/>
      </c>
      <c r="C109" s="15">
        <f>IFERROR(INDEX(Personnes!$B$5:$B$153,MATCH($B109,Personnes!$A$5:$A$153,0))&amp;"","")</f>
        <v/>
      </c>
      <c r="D109" s="15">
        <f>IFERROR(INDEX(Personnes!$C$5:$C$153,MATCH($B109,Personnes!$A$5:$A$153,0))&amp;"","")</f>
        <v/>
      </c>
      <c r="E109" s="14" t="n"/>
      <c r="F109" s="15">
        <f>IFERROR(INDEX(Referentiels!$C$66:$C$76,MATCH($E109,Referentiels!$A$66:$A$76,0))&amp;"","")</f>
        <v/>
      </c>
      <c r="G109" s="15">
        <f>IFERROR(INDEX(Referentiels!$B$66:$B$76,MATCH($E109,Referentiels!$A$66:$A$76,0))&amp;"","")</f>
        <v/>
      </c>
      <c r="H109" s="16" t="n"/>
      <c r="I109" s="16" t="n"/>
      <c r="J109" s="14" t="n"/>
      <c r="K109" s="18" t="n"/>
    </row>
    <row r="110">
      <c r="A110" s="14" t="n"/>
      <c r="B110" s="15">
        <f>IFERROR(MID($A110,FIND("[",$A110)+1,FIND("]",$A110)-FIND("[",$A110)-1),"")</f>
        <v/>
      </c>
      <c r="C110" s="15">
        <f>IFERROR(INDEX(Personnes!$B$5:$B$153,MATCH($B110,Personnes!$A$5:$A$153,0))&amp;"","")</f>
        <v/>
      </c>
      <c r="D110" s="15">
        <f>IFERROR(INDEX(Personnes!$C$5:$C$153,MATCH($B110,Personnes!$A$5:$A$153,0))&amp;"","")</f>
        <v/>
      </c>
      <c r="E110" s="14" t="n"/>
      <c r="F110" s="15">
        <f>IFERROR(INDEX(Referentiels!$C$66:$C$76,MATCH($E110,Referentiels!$A$66:$A$76,0))&amp;"","")</f>
        <v/>
      </c>
      <c r="G110" s="15">
        <f>IFERROR(INDEX(Referentiels!$B$66:$B$76,MATCH($E110,Referentiels!$A$66:$A$76,0))&amp;"","")</f>
        <v/>
      </c>
      <c r="H110" s="16" t="n"/>
      <c r="I110" s="16" t="n"/>
      <c r="J110" s="14" t="n"/>
      <c r="K110" s="18" t="n"/>
    </row>
    <row r="111">
      <c r="A111" s="14" t="n"/>
      <c r="B111" s="15">
        <f>IFERROR(MID($A111,FIND("[",$A111)+1,FIND("]",$A111)-FIND("[",$A111)-1),"")</f>
        <v/>
      </c>
      <c r="C111" s="15">
        <f>IFERROR(INDEX(Personnes!$B$5:$B$153,MATCH($B111,Personnes!$A$5:$A$153,0))&amp;"","")</f>
        <v/>
      </c>
      <c r="D111" s="15">
        <f>IFERROR(INDEX(Personnes!$C$5:$C$153,MATCH($B111,Personnes!$A$5:$A$153,0))&amp;"","")</f>
        <v/>
      </c>
      <c r="E111" s="14" t="n"/>
      <c r="F111" s="15">
        <f>IFERROR(INDEX(Referentiels!$C$66:$C$76,MATCH($E111,Referentiels!$A$66:$A$76,0))&amp;"","")</f>
        <v/>
      </c>
      <c r="G111" s="15">
        <f>IFERROR(INDEX(Referentiels!$B$66:$B$76,MATCH($E111,Referentiels!$A$66:$A$76,0))&amp;"","")</f>
        <v/>
      </c>
      <c r="H111" s="16" t="n"/>
      <c r="I111" s="16" t="n"/>
      <c r="J111" s="14" t="n"/>
      <c r="K111" s="18" t="n"/>
    </row>
    <row r="112">
      <c r="A112" s="14" t="n"/>
      <c r="B112" s="15">
        <f>IFERROR(MID($A112,FIND("[",$A112)+1,FIND("]",$A112)-FIND("[",$A112)-1),"")</f>
        <v/>
      </c>
      <c r="C112" s="15">
        <f>IFERROR(INDEX(Personnes!$B$5:$B$153,MATCH($B112,Personnes!$A$5:$A$153,0))&amp;"","")</f>
        <v/>
      </c>
      <c r="D112" s="15">
        <f>IFERROR(INDEX(Personnes!$C$5:$C$153,MATCH($B112,Personnes!$A$5:$A$153,0))&amp;"","")</f>
        <v/>
      </c>
      <c r="E112" s="14" t="n"/>
      <c r="F112" s="15">
        <f>IFERROR(INDEX(Referentiels!$C$66:$C$76,MATCH($E112,Referentiels!$A$66:$A$76,0))&amp;"","")</f>
        <v/>
      </c>
      <c r="G112" s="15">
        <f>IFERROR(INDEX(Referentiels!$B$66:$B$76,MATCH($E112,Referentiels!$A$66:$A$76,0))&amp;"","")</f>
        <v/>
      </c>
      <c r="H112" s="16" t="n"/>
      <c r="I112" s="16" t="n"/>
      <c r="J112" s="14" t="n"/>
      <c r="K112" s="18" t="n"/>
    </row>
    <row r="113">
      <c r="A113" s="14" t="n"/>
      <c r="B113" s="15">
        <f>IFERROR(MID($A113,FIND("[",$A113)+1,FIND("]",$A113)-FIND("[",$A113)-1),"")</f>
        <v/>
      </c>
      <c r="C113" s="15">
        <f>IFERROR(INDEX(Personnes!$B$5:$B$153,MATCH($B113,Personnes!$A$5:$A$153,0))&amp;"","")</f>
        <v/>
      </c>
      <c r="D113" s="15">
        <f>IFERROR(INDEX(Personnes!$C$5:$C$153,MATCH($B113,Personnes!$A$5:$A$153,0))&amp;"","")</f>
        <v/>
      </c>
      <c r="E113" s="14" t="n"/>
      <c r="F113" s="15">
        <f>IFERROR(INDEX(Referentiels!$C$66:$C$76,MATCH($E113,Referentiels!$A$66:$A$76,0))&amp;"","")</f>
        <v/>
      </c>
      <c r="G113" s="15">
        <f>IFERROR(INDEX(Referentiels!$B$66:$B$76,MATCH($E113,Referentiels!$A$66:$A$76,0))&amp;"","")</f>
        <v/>
      </c>
      <c r="H113" s="16" t="n"/>
      <c r="I113" s="16" t="n"/>
      <c r="J113" s="14" t="n"/>
      <c r="K113" s="18" t="n"/>
    </row>
    <row r="114">
      <c r="A114" s="14" t="n"/>
      <c r="B114" s="15">
        <f>IFERROR(MID($A114,FIND("[",$A114)+1,FIND("]",$A114)-FIND("[",$A114)-1),"")</f>
        <v/>
      </c>
      <c r="C114" s="15">
        <f>IFERROR(INDEX(Personnes!$B$5:$B$153,MATCH($B114,Personnes!$A$5:$A$153,0))&amp;"","")</f>
        <v/>
      </c>
      <c r="D114" s="15">
        <f>IFERROR(INDEX(Personnes!$C$5:$C$153,MATCH($B114,Personnes!$A$5:$A$153,0))&amp;"","")</f>
        <v/>
      </c>
      <c r="E114" s="14" t="n"/>
      <c r="F114" s="15">
        <f>IFERROR(INDEX(Referentiels!$C$66:$C$76,MATCH($E114,Referentiels!$A$66:$A$76,0))&amp;"","")</f>
        <v/>
      </c>
      <c r="G114" s="15">
        <f>IFERROR(INDEX(Referentiels!$B$66:$B$76,MATCH($E114,Referentiels!$A$66:$A$76,0))&amp;"","")</f>
        <v/>
      </c>
      <c r="H114" s="16" t="n"/>
      <c r="I114" s="16" t="n"/>
      <c r="J114" s="14" t="n"/>
      <c r="K114" s="18" t="n"/>
    </row>
    <row r="115">
      <c r="A115" s="14" t="n"/>
      <c r="B115" s="15">
        <f>IFERROR(MID($A115,FIND("[",$A115)+1,FIND("]",$A115)-FIND("[",$A115)-1),"")</f>
        <v/>
      </c>
      <c r="C115" s="15">
        <f>IFERROR(INDEX(Personnes!$B$5:$B$153,MATCH($B115,Personnes!$A$5:$A$153,0))&amp;"","")</f>
        <v/>
      </c>
      <c r="D115" s="15">
        <f>IFERROR(INDEX(Personnes!$C$5:$C$153,MATCH($B115,Personnes!$A$5:$A$153,0))&amp;"","")</f>
        <v/>
      </c>
      <c r="E115" s="14" t="n"/>
      <c r="F115" s="15">
        <f>IFERROR(INDEX(Referentiels!$C$66:$C$76,MATCH($E115,Referentiels!$A$66:$A$76,0))&amp;"","")</f>
        <v/>
      </c>
      <c r="G115" s="15">
        <f>IFERROR(INDEX(Referentiels!$B$66:$B$76,MATCH($E115,Referentiels!$A$66:$A$76,0))&amp;"","")</f>
        <v/>
      </c>
      <c r="H115" s="16" t="n"/>
      <c r="I115" s="16" t="n"/>
      <c r="J115" s="14" t="n"/>
      <c r="K115" s="18" t="n"/>
    </row>
    <row r="116">
      <c r="A116" s="14" t="n"/>
      <c r="B116" s="15">
        <f>IFERROR(MID($A116,FIND("[",$A116)+1,FIND("]",$A116)-FIND("[",$A116)-1),"")</f>
        <v/>
      </c>
      <c r="C116" s="15">
        <f>IFERROR(INDEX(Personnes!$B$5:$B$153,MATCH($B116,Personnes!$A$5:$A$153,0))&amp;"","")</f>
        <v/>
      </c>
      <c r="D116" s="15">
        <f>IFERROR(INDEX(Personnes!$C$5:$C$153,MATCH($B116,Personnes!$A$5:$A$153,0))&amp;"","")</f>
        <v/>
      </c>
      <c r="E116" s="14" t="n"/>
      <c r="F116" s="15">
        <f>IFERROR(INDEX(Referentiels!$C$66:$C$76,MATCH($E116,Referentiels!$A$66:$A$76,0))&amp;"","")</f>
        <v/>
      </c>
      <c r="G116" s="15">
        <f>IFERROR(INDEX(Referentiels!$B$66:$B$76,MATCH($E116,Referentiels!$A$66:$A$76,0))&amp;"","")</f>
        <v/>
      </c>
      <c r="H116" s="16" t="n"/>
      <c r="I116" s="16" t="n"/>
      <c r="J116" s="14" t="n"/>
      <c r="K116" s="18" t="n"/>
    </row>
    <row r="117">
      <c r="A117" s="14" t="n"/>
      <c r="B117" s="15">
        <f>IFERROR(MID($A117,FIND("[",$A117)+1,FIND("]",$A117)-FIND("[",$A117)-1),"")</f>
        <v/>
      </c>
      <c r="C117" s="15">
        <f>IFERROR(INDEX(Personnes!$B$5:$B$153,MATCH($B117,Personnes!$A$5:$A$153,0))&amp;"","")</f>
        <v/>
      </c>
      <c r="D117" s="15">
        <f>IFERROR(INDEX(Personnes!$C$5:$C$153,MATCH($B117,Personnes!$A$5:$A$153,0))&amp;"","")</f>
        <v/>
      </c>
      <c r="E117" s="14" t="n"/>
      <c r="F117" s="15">
        <f>IFERROR(INDEX(Referentiels!$C$66:$C$76,MATCH($E117,Referentiels!$A$66:$A$76,0))&amp;"","")</f>
        <v/>
      </c>
      <c r="G117" s="15">
        <f>IFERROR(INDEX(Referentiels!$B$66:$B$76,MATCH($E117,Referentiels!$A$66:$A$76,0))&amp;"","")</f>
        <v/>
      </c>
      <c r="H117" s="16" t="n"/>
      <c r="I117" s="16" t="n"/>
      <c r="J117" s="14" t="n"/>
      <c r="K117" s="18" t="n"/>
    </row>
    <row r="118">
      <c r="A118" s="14" t="n"/>
      <c r="B118" s="15">
        <f>IFERROR(MID($A118,FIND("[",$A118)+1,FIND("]",$A118)-FIND("[",$A118)-1),"")</f>
        <v/>
      </c>
      <c r="C118" s="15">
        <f>IFERROR(INDEX(Personnes!$B$5:$B$153,MATCH($B118,Personnes!$A$5:$A$153,0))&amp;"","")</f>
        <v/>
      </c>
      <c r="D118" s="15">
        <f>IFERROR(INDEX(Personnes!$C$5:$C$153,MATCH($B118,Personnes!$A$5:$A$153,0))&amp;"","")</f>
        <v/>
      </c>
      <c r="E118" s="14" t="n"/>
      <c r="F118" s="15">
        <f>IFERROR(INDEX(Referentiels!$C$66:$C$76,MATCH($E118,Referentiels!$A$66:$A$76,0))&amp;"","")</f>
        <v/>
      </c>
      <c r="G118" s="15">
        <f>IFERROR(INDEX(Referentiels!$B$66:$B$76,MATCH($E118,Referentiels!$A$66:$A$76,0))&amp;"","")</f>
        <v/>
      </c>
      <c r="H118" s="16" t="n"/>
      <c r="I118" s="16" t="n"/>
      <c r="J118" s="14" t="n"/>
      <c r="K118" s="18" t="n"/>
    </row>
    <row r="119">
      <c r="A119" s="14" t="n"/>
      <c r="B119" s="15">
        <f>IFERROR(MID($A119,FIND("[",$A119)+1,FIND("]",$A119)-FIND("[",$A119)-1),"")</f>
        <v/>
      </c>
      <c r="C119" s="15">
        <f>IFERROR(INDEX(Personnes!$B$5:$B$153,MATCH($B119,Personnes!$A$5:$A$153,0))&amp;"","")</f>
        <v/>
      </c>
      <c r="D119" s="15">
        <f>IFERROR(INDEX(Personnes!$C$5:$C$153,MATCH($B119,Personnes!$A$5:$A$153,0))&amp;"","")</f>
        <v/>
      </c>
      <c r="E119" s="14" t="n"/>
      <c r="F119" s="15">
        <f>IFERROR(INDEX(Referentiels!$C$66:$C$76,MATCH($E119,Referentiels!$A$66:$A$76,0))&amp;"","")</f>
        <v/>
      </c>
      <c r="G119" s="15">
        <f>IFERROR(INDEX(Referentiels!$B$66:$B$76,MATCH($E119,Referentiels!$A$66:$A$76,0))&amp;"","")</f>
        <v/>
      </c>
      <c r="H119" s="16" t="n"/>
      <c r="I119" s="16" t="n"/>
      <c r="J119" s="14" t="n"/>
      <c r="K119" s="18" t="n"/>
    </row>
    <row r="120">
      <c r="A120" s="14" t="n"/>
      <c r="B120" s="15">
        <f>IFERROR(MID($A120,FIND("[",$A120)+1,FIND("]",$A120)-FIND("[",$A120)-1),"")</f>
        <v/>
      </c>
      <c r="C120" s="15">
        <f>IFERROR(INDEX(Personnes!$B$5:$B$153,MATCH($B120,Personnes!$A$5:$A$153,0))&amp;"","")</f>
        <v/>
      </c>
      <c r="D120" s="15">
        <f>IFERROR(INDEX(Personnes!$C$5:$C$153,MATCH($B120,Personnes!$A$5:$A$153,0))&amp;"","")</f>
        <v/>
      </c>
      <c r="E120" s="14" t="n"/>
      <c r="F120" s="15">
        <f>IFERROR(INDEX(Referentiels!$C$66:$C$76,MATCH($E120,Referentiels!$A$66:$A$76,0))&amp;"","")</f>
        <v/>
      </c>
      <c r="G120" s="15">
        <f>IFERROR(INDEX(Referentiels!$B$66:$B$76,MATCH($E120,Referentiels!$A$66:$A$76,0))&amp;"","")</f>
        <v/>
      </c>
      <c r="H120" s="16" t="n"/>
      <c r="I120" s="16" t="n"/>
      <c r="J120" s="14" t="n"/>
      <c r="K120" s="18" t="n"/>
    </row>
    <row r="121">
      <c r="A121" s="14" t="n"/>
      <c r="B121" s="15">
        <f>IFERROR(MID($A121,FIND("[",$A121)+1,FIND("]",$A121)-FIND("[",$A121)-1),"")</f>
        <v/>
      </c>
      <c r="C121" s="15">
        <f>IFERROR(INDEX(Personnes!$B$5:$B$153,MATCH($B121,Personnes!$A$5:$A$153,0))&amp;"","")</f>
        <v/>
      </c>
      <c r="D121" s="15">
        <f>IFERROR(INDEX(Personnes!$C$5:$C$153,MATCH($B121,Personnes!$A$5:$A$153,0))&amp;"","")</f>
        <v/>
      </c>
      <c r="E121" s="14" t="n"/>
      <c r="F121" s="15">
        <f>IFERROR(INDEX(Referentiels!$C$66:$C$76,MATCH($E121,Referentiels!$A$66:$A$76,0))&amp;"","")</f>
        <v/>
      </c>
      <c r="G121" s="15">
        <f>IFERROR(INDEX(Referentiels!$B$66:$B$76,MATCH($E121,Referentiels!$A$66:$A$76,0))&amp;"","")</f>
        <v/>
      </c>
      <c r="H121" s="16" t="n"/>
      <c r="I121" s="16" t="n"/>
      <c r="J121" s="14" t="n"/>
      <c r="K121" s="18" t="n"/>
    </row>
    <row r="122">
      <c r="A122" s="14" t="n"/>
      <c r="B122" s="15">
        <f>IFERROR(MID($A122,FIND("[",$A122)+1,FIND("]",$A122)-FIND("[",$A122)-1),"")</f>
        <v/>
      </c>
      <c r="C122" s="15">
        <f>IFERROR(INDEX(Personnes!$B$5:$B$153,MATCH($B122,Personnes!$A$5:$A$153,0))&amp;"","")</f>
        <v/>
      </c>
      <c r="D122" s="15">
        <f>IFERROR(INDEX(Personnes!$C$5:$C$153,MATCH($B122,Personnes!$A$5:$A$153,0))&amp;"","")</f>
        <v/>
      </c>
      <c r="E122" s="14" t="n"/>
      <c r="F122" s="15">
        <f>IFERROR(INDEX(Referentiels!$C$66:$C$76,MATCH($E122,Referentiels!$A$66:$A$76,0))&amp;"","")</f>
        <v/>
      </c>
      <c r="G122" s="15">
        <f>IFERROR(INDEX(Referentiels!$B$66:$B$76,MATCH($E122,Referentiels!$A$66:$A$76,0))&amp;"","")</f>
        <v/>
      </c>
      <c r="H122" s="16" t="n"/>
      <c r="I122" s="16" t="n"/>
      <c r="J122" s="14" t="n"/>
      <c r="K122" s="18" t="n"/>
    </row>
    <row r="123">
      <c r="A123" s="14" t="n"/>
      <c r="B123" s="15">
        <f>IFERROR(MID($A123,FIND("[",$A123)+1,FIND("]",$A123)-FIND("[",$A123)-1),"")</f>
        <v/>
      </c>
      <c r="C123" s="15">
        <f>IFERROR(INDEX(Personnes!$B$5:$B$153,MATCH($B123,Personnes!$A$5:$A$153,0))&amp;"","")</f>
        <v/>
      </c>
      <c r="D123" s="15">
        <f>IFERROR(INDEX(Personnes!$C$5:$C$153,MATCH($B123,Personnes!$A$5:$A$153,0))&amp;"","")</f>
        <v/>
      </c>
      <c r="E123" s="14" t="n"/>
      <c r="F123" s="15">
        <f>IFERROR(INDEX(Referentiels!$C$66:$C$76,MATCH($E123,Referentiels!$A$66:$A$76,0))&amp;"","")</f>
        <v/>
      </c>
      <c r="G123" s="15">
        <f>IFERROR(INDEX(Referentiels!$B$66:$B$76,MATCH($E123,Referentiels!$A$66:$A$76,0))&amp;"","")</f>
        <v/>
      </c>
      <c r="H123" s="16" t="n"/>
      <c r="I123" s="16" t="n"/>
      <c r="J123" s="14" t="n"/>
      <c r="K123" s="18" t="n"/>
    </row>
    <row r="124">
      <c r="A124" s="14" t="n"/>
      <c r="B124" s="15">
        <f>IFERROR(MID($A124,FIND("[",$A124)+1,FIND("]",$A124)-FIND("[",$A124)-1),"")</f>
        <v/>
      </c>
      <c r="C124" s="15">
        <f>IFERROR(INDEX(Personnes!$B$5:$B$153,MATCH($B124,Personnes!$A$5:$A$153,0))&amp;"","")</f>
        <v/>
      </c>
      <c r="D124" s="15">
        <f>IFERROR(INDEX(Personnes!$C$5:$C$153,MATCH($B124,Personnes!$A$5:$A$153,0))&amp;"","")</f>
        <v/>
      </c>
      <c r="E124" s="14" t="n"/>
      <c r="F124" s="15">
        <f>IFERROR(INDEX(Referentiels!$C$66:$C$76,MATCH($E124,Referentiels!$A$66:$A$76,0))&amp;"","")</f>
        <v/>
      </c>
      <c r="G124" s="15">
        <f>IFERROR(INDEX(Referentiels!$B$66:$B$76,MATCH($E124,Referentiels!$A$66:$A$76,0))&amp;"","")</f>
        <v/>
      </c>
      <c r="H124" s="16" t="n"/>
      <c r="I124" s="16" t="n"/>
      <c r="J124" s="14" t="n"/>
      <c r="K124" s="18" t="n"/>
    </row>
    <row r="125">
      <c r="A125" s="14" t="n"/>
      <c r="B125" s="15">
        <f>IFERROR(MID($A125,FIND("[",$A125)+1,FIND("]",$A125)-FIND("[",$A125)-1),"")</f>
        <v/>
      </c>
      <c r="C125" s="15">
        <f>IFERROR(INDEX(Personnes!$B$5:$B$153,MATCH($B125,Personnes!$A$5:$A$153,0))&amp;"","")</f>
        <v/>
      </c>
      <c r="D125" s="15">
        <f>IFERROR(INDEX(Personnes!$C$5:$C$153,MATCH($B125,Personnes!$A$5:$A$153,0))&amp;"","")</f>
        <v/>
      </c>
      <c r="E125" s="14" t="n"/>
      <c r="F125" s="15">
        <f>IFERROR(INDEX(Referentiels!$C$66:$C$76,MATCH($E125,Referentiels!$A$66:$A$76,0))&amp;"","")</f>
        <v/>
      </c>
      <c r="G125" s="15">
        <f>IFERROR(INDEX(Referentiels!$B$66:$B$76,MATCH($E125,Referentiels!$A$66:$A$76,0))&amp;"","")</f>
        <v/>
      </c>
      <c r="H125" s="16" t="n"/>
      <c r="I125" s="16" t="n"/>
      <c r="J125" s="14" t="n"/>
      <c r="K125" s="18" t="n"/>
    </row>
    <row r="126">
      <c r="A126" s="14" t="n"/>
      <c r="B126" s="15">
        <f>IFERROR(MID($A126,FIND("[",$A126)+1,FIND("]",$A126)-FIND("[",$A126)-1),"")</f>
        <v/>
      </c>
      <c r="C126" s="15">
        <f>IFERROR(INDEX(Personnes!$B$5:$B$153,MATCH($B126,Personnes!$A$5:$A$153,0))&amp;"","")</f>
        <v/>
      </c>
      <c r="D126" s="15">
        <f>IFERROR(INDEX(Personnes!$C$5:$C$153,MATCH($B126,Personnes!$A$5:$A$153,0))&amp;"","")</f>
        <v/>
      </c>
      <c r="E126" s="14" t="n"/>
      <c r="F126" s="15">
        <f>IFERROR(INDEX(Referentiels!$C$66:$C$76,MATCH($E126,Referentiels!$A$66:$A$76,0))&amp;"","")</f>
        <v/>
      </c>
      <c r="G126" s="15">
        <f>IFERROR(INDEX(Referentiels!$B$66:$B$76,MATCH($E126,Referentiels!$A$66:$A$76,0))&amp;"","")</f>
        <v/>
      </c>
      <c r="H126" s="16" t="n"/>
      <c r="I126" s="16" t="n"/>
      <c r="J126" s="14" t="n"/>
      <c r="K126" s="18" t="n"/>
    </row>
    <row r="127">
      <c r="A127" s="14" t="n"/>
      <c r="B127" s="15">
        <f>IFERROR(MID($A127,FIND("[",$A127)+1,FIND("]",$A127)-FIND("[",$A127)-1),"")</f>
        <v/>
      </c>
      <c r="C127" s="15">
        <f>IFERROR(INDEX(Personnes!$B$5:$B$153,MATCH($B127,Personnes!$A$5:$A$153,0))&amp;"","")</f>
        <v/>
      </c>
      <c r="D127" s="15">
        <f>IFERROR(INDEX(Personnes!$C$5:$C$153,MATCH($B127,Personnes!$A$5:$A$153,0))&amp;"","")</f>
        <v/>
      </c>
      <c r="E127" s="14" t="n"/>
      <c r="F127" s="15">
        <f>IFERROR(INDEX(Referentiels!$C$66:$C$76,MATCH($E127,Referentiels!$A$66:$A$76,0))&amp;"","")</f>
        <v/>
      </c>
      <c r="G127" s="15">
        <f>IFERROR(INDEX(Referentiels!$B$66:$B$76,MATCH($E127,Referentiels!$A$66:$A$76,0))&amp;"","")</f>
        <v/>
      </c>
      <c r="H127" s="16" t="n"/>
      <c r="I127" s="16" t="n"/>
      <c r="J127" s="14" t="n"/>
      <c r="K127" s="18" t="n"/>
    </row>
    <row r="128">
      <c r="A128" s="14" t="n"/>
      <c r="B128" s="15">
        <f>IFERROR(MID($A128,FIND("[",$A128)+1,FIND("]",$A128)-FIND("[",$A128)-1),"")</f>
        <v/>
      </c>
      <c r="C128" s="15">
        <f>IFERROR(INDEX(Personnes!$B$5:$B$153,MATCH($B128,Personnes!$A$5:$A$153,0))&amp;"","")</f>
        <v/>
      </c>
      <c r="D128" s="15">
        <f>IFERROR(INDEX(Personnes!$C$5:$C$153,MATCH($B128,Personnes!$A$5:$A$153,0))&amp;"","")</f>
        <v/>
      </c>
      <c r="E128" s="14" t="n"/>
      <c r="F128" s="15">
        <f>IFERROR(INDEX(Referentiels!$C$66:$C$76,MATCH($E128,Referentiels!$A$66:$A$76,0))&amp;"","")</f>
        <v/>
      </c>
      <c r="G128" s="15">
        <f>IFERROR(INDEX(Referentiels!$B$66:$B$76,MATCH($E128,Referentiels!$A$66:$A$76,0))&amp;"","")</f>
        <v/>
      </c>
      <c r="H128" s="16" t="n"/>
      <c r="I128" s="16" t="n"/>
      <c r="J128" s="14" t="n"/>
      <c r="K128" s="18" t="n"/>
    </row>
    <row r="129">
      <c r="A129" s="14" t="n"/>
      <c r="B129" s="15">
        <f>IFERROR(MID($A129,FIND("[",$A129)+1,FIND("]",$A129)-FIND("[",$A129)-1),"")</f>
        <v/>
      </c>
      <c r="C129" s="15">
        <f>IFERROR(INDEX(Personnes!$B$5:$B$153,MATCH($B129,Personnes!$A$5:$A$153,0))&amp;"","")</f>
        <v/>
      </c>
      <c r="D129" s="15">
        <f>IFERROR(INDEX(Personnes!$C$5:$C$153,MATCH($B129,Personnes!$A$5:$A$153,0))&amp;"","")</f>
        <v/>
      </c>
      <c r="E129" s="14" t="n"/>
      <c r="F129" s="15">
        <f>IFERROR(INDEX(Referentiels!$C$66:$C$76,MATCH($E129,Referentiels!$A$66:$A$76,0))&amp;"","")</f>
        <v/>
      </c>
      <c r="G129" s="15">
        <f>IFERROR(INDEX(Referentiels!$B$66:$B$76,MATCH($E129,Referentiels!$A$66:$A$76,0))&amp;"","")</f>
        <v/>
      </c>
      <c r="H129" s="16" t="n"/>
      <c r="I129" s="16" t="n"/>
      <c r="J129" s="14" t="n"/>
      <c r="K129" s="18" t="n"/>
    </row>
    <row r="130">
      <c r="A130" s="14" t="n"/>
      <c r="B130" s="15">
        <f>IFERROR(MID($A130,FIND("[",$A130)+1,FIND("]",$A130)-FIND("[",$A130)-1),"")</f>
        <v/>
      </c>
      <c r="C130" s="15">
        <f>IFERROR(INDEX(Personnes!$B$5:$B$153,MATCH($B130,Personnes!$A$5:$A$153,0))&amp;"","")</f>
        <v/>
      </c>
      <c r="D130" s="15">
        <f>IFERROR(INDEX(Personnes!$C$5:$C$153,MATCH($B130,Personnes!$A$5:$A$153,0))&amp;"","")</f>
        <v/>
      </c>
      <c r="E130" s="14" t="n"/>
      <c r="F130" s="15">
        <f>IFERROR(INDEX(Referentiels!$C$66:$C$76,MATCH($E130,Referentiels!$A$66:$A$76,0))&amp;"","")</f>
        <v/>
      </c>
      <c r="G130" s="15">
        <f>IFERROR(INDEX(Referentiels!$B$66:$B$76,MATCH($E130,Referentiels!$A$66:$A$76,0))&amp;"","")</f>
        <v/>
      </c>
      <c r="H130" s="16" t="n"/>
      <c r="I130" s="16" t="n"/>
      <c r="J130" s="14" t="n"/>
      <c r="K130" s="18" t="n"/>
    </row>
    <row r="131">
      <c r="A131" s="14" t="n"/>
      <c r="B131" s="15">
        <f>IFERROR(MID($A131,FIND("[",$A131)+1,FIND("]",$A131)-FIND("[",$A131)-1),"")</f>
        <v/>
      </c>
      <c r="C131" s="15">
        <f>IFERROR(INDEX(Personnes!$B$5:$B$153,MATCH($B131,Personnes!$A$5:$A$153,0))&amp;"","")</f>
        <v/>
      </c>
      <c r="D131" s="15">
        <f>IFERROR(INDEX(Personnes!$C$5:$C$153,MATCH($B131,Personnes!$A$5:$A$153,0))&amp;"","")</f>
        <v/>
      </c>
      <c r="E131" s="14" t="n"/>
      <c r="F131" s="15">
        <f>IFERROR(INDEX(Referentiels!$C$66:$C$76,MATCH($E131,Referentiels!$A$66:$A$76,0))&amp;"","")</f>
        <v/>
      </c>
      <c r="G131" s="15">
        <f>IFERROR(INDEX(Referentiels!$B$66:$B$76,MATCH($E131,Referentiels!$A$66:$A$76,0))&amp;"","")</f>
        <v/>
      </c>
      <c r="H131" s="16" t="n"/>
      <c r="I131" s="16" t="n"/>
      <c r="J131" s="14" t="n"/>
      <c r="K131" s="18" t="n"/>
    </row>
    <row r="132">
      <c r="A132" s="14" t="n"/>
      <c r="B132" s="15">
        <f>IFERROR(MID($A132,FIND("[",$A132)+1,FIND("]",$A132)-FIND("[",$A132)-1),"")</f>
        <v/>
      </c>
      <c r="C132" s="15">
        <f>IFERROR(INDEX(Personnes!$B$5:$B$153,MATCH($B132,Personnes!$A$5:$A$153,0))&amp;"","")</f>
        <v/>
      </c>
      <c r="D132" s="15">
        <f>IFERROR(INDEX(Personnes!$C$5:$C$153,MATCH($B132,Personnes!$A$5:$A$153,0))&amp;"","")</f>
        <v/>
      </c>
      <c r="E132" s="14" t="n"/>
      <c r="F132" s="15">
        <f>IFERROR(INDEX(Referentiels!$C$66:$C$76,MATCH($E132,Referentiels!$A$66:$A$76,0))&amp;"","")</f>
        <v/>
      </c>
      <c r="G132" s="15">
        <f>IFERROR(INDEX(Referentiels!$B$66:$B$76,MATCH($E132,Referentiels!$A$66:$A$76,0))&amp;"","")</f>
        <v/>
      </c>
      <c r="H132" s="16" t="n"/>
      <c r="I132" s="16" t="n"/>
      <c r="J132" s="14" t="n"/>
      <c r="K132" s="18" t="n"/>
    </row>
    <row r="133">
      <c r="A133" s="14" t="n"/>
      <c r="B133" s="15">
        <f>IFERROR(MID($A133,FIND("[",$A133)+1,FIND("]",$A133)-FIND("[",$A133)-1),"")</f>
        <v/>
      </c>
      <c r="C133" s="15">
        <f>IFERROR(INDEX(Personnes!$B$5:$B$153,MATCH($B133,Personnes!$A$5:$A$153,0))&amp;"","")</f>
        <v/>
      </c>
      <c r="D133" s="15">
        <f>IFERROR(INDEX(Personnes!$C$5:$C$153,MATCH($B133,Personnes!$A$5:$A$153,0))&amp;"","")</f>
        <v/>
      </c>
      <c r="E133" s="14" t="n"/>
      <c r="F133" s="15">
        <f>IFERROR(INDEX(Referentiels!$C$66:$C$76,MATCH($E133,Referentiels!$A$66:$A$76,0))&amp;"","")</f>
        <v/>
      </c>
      <c r="G133" s="15">
        <f>IFERROR(INDEX(Referentiels!$B$66:$B$76,MATCH($E133,Referentiels!$A$66:$A$76,0))&amp;"","")</f>
        <v/>
      </c>
      <c r="H133" s="16" t="n"/>
      <c r="I133" s="16" t="n"/>
      <c r="J133" s="14" t="n"/>
      <c r="K133" s="18" t="n"/>
    </row>
    <row r="134">
      <c r="A134" s="14" t="n"/>
      <c r="B134" s="15">
        <f>IFERROR(MID($A134,FIND("[",$A134)+1,FIND("]",$A134)-FIND("[",$A134)-1),"")</f>
        <v/>
      </c>
      <c r="C134" s="15">
        <f>IFERROR(INDEX(Personnes!$B$5:$B$153,MATCH($B134,Personnes!$A$5:$A$153,0))&amp;"","")</f>
        <v/>
      </c>
      <c r="D134" s="15">
        <f>IFERROR(INDEX(Personnes!$C$5:$C$153,MATCH($B134,Personnes!$A$5:$A$153,0))&amp;"","")</f>
        <v/>
      </c>
      <c r="E134" s="14" t="n"/>
      <c r="F134" s="15">
        <f>IFERROR(INDEX(Referentiels!$C$66:$C$76,MATCH($E134,Referentiels!$A$66:$A$76,0))&amp;"","")</f>
        <v/>
      </c>
      <c r="G134" s="15">
        <f>IFERROR(INDEX(Referentiels!$B$66:$B$76,MATCH($E134,Referentiels!$A$66:$A$76,0))&amp;"","")</f>
        <v/>
      </c>
      <c r="H134" s="16" t="n"/>
      <c r="I134" s="16" t="n"/>
      <c r="J134" s="14" t="n"/>
      <c r="K134" s="18" t="n"/>
    </row>
    <row r="135">
      <c r="A135" s="14" t="n"/>
      <c r="B135" s="15">
        <f>IFERROR(MID($A135,FIND("[",$A135)+1,FIND("]",$A135)-FIND("[",$A135)-1),"")</f>
        <v/>
      </c>
      <c r="C135" s="15">
        <f>IFERROR(INDEX(Personnes!$B$5:$B$153,MATCH($B135,Personnes!$A$5:$A$153,0))&amp;"","")</f>
        <v/>
      </c>
      <c r="D135" s="15">
        <f>IFERROR(INDEX(Personnes!$C$5:$C$153,MATCH($B135,Personnes!$A$5:$A$153,0))&amp;"","")</f>
        <v/>
      </c>
      <c r="E135" s="14" t="n"/>
      <c r="F135" s="15">
        <f>IFERROR(INDEX(Referentiels!$C$66:$C$76,MATCH($E135,Referentiels!$A$66:$A$76,0))&amp;"","")</f>
        <v/>
      </c>
      <c r="G135" s="15">
        <f>IFERROR(INDEX(Referentiels!$B$66:$B$76,MATCH($E135,Referentiels!$A$66:$A$76,0))&amp;"","")</f>
        <v/>
      </c>
      <c r="H135" s="16" t="n"/>
      <c r="I135" s="16" t="n"/>
      <c r="J135" s="14" t="n"/>
      <c r="K135" s="18" t="n"/>
    </row>
    <row r="136">
      <c r="A136" s="14" t="n"/>
      <c r="B136" s="15">
        <f>IFERROR(MID($A136,FIND("[",$A136)+1,FIND("]",$A136)-FIND("[",$A136)-1),"")</f>
        <v/>
      </c>
      <c r="C136" s="15">
        <f>IFERROR(INDEX(Personnes!$B$5:$B$153,MATCH($B136,Personnes!$A$5:$A$153,0))&amp;"","")</f>
        <v/>
      </c>
      <c r="D136" s="15">
        <f>IFERROR(INDEX(Personnes!$C$5:$C$153,MATCH($B136,Personnes!$A$5:$A$153,0))&amp;"","")</f>
        <v/>
      </c>
      <c r="E136" s="14" t="n"/>
      <c r="F136" s="15">
        <f>IFERROR(INDEX(Referentiels!$C$66:$C$76,MATCH($E136,Referentiels!$A$66:$A$76,0))&amp;"","")</f>
        <v/>
      </c>
      <c r="G136" s="15">
        <f>IFERROR(INDEX(Referentiels!$B$66:$B$76,MATCH($E136,Referentiels!$A$66:$A$76,0))&amp;"","")</f>
        <v/>
      </c>
      <c r="H136" s="16" t="n"/>
      <c r="I136" s="16" t="n"/>
      <c r="J136" s="14" t="n"/>
      <c r="K136" s="18" t="n"/>
    </row>
    <row r="137">
      <c r="A137" s="14" t="n"/>
      <c r="B137" s="15">
        <f>IFERROR(MID($A137,FIND("[",$A137)+1,FIND("]",$A137)-FIND("[",$A137)-1),"")</f>
        <v/>
      </c>
      <c r="C137" s="15">
        <f>IFERROR(INDEX(Personnes!$B$5:$B$153,MATCH($B137,Personnes!$A$5:$A$153,0))&amp;"","")</f>
        <v/>
      </c>
      <c r="D137" s="15">
        <f>IFERROR(INDEX(Personnes!$C$5:$C$153,MATCH($B137,Personnes!$A$5:$A$153,0))&amp;"","")</f>
        <v/>
      </c>
      <c r="E137" s="14" t="n"/>
      <c r="F137" s="15">
        <f>IFERROR(INDEX(Referentiels!$C$66:$C$76,MATCH($E137,Referentiels!$A$66:$A$76,0))&amp;"","")</f>
        <v/>
      </c>
      <c r="G137" s="15">
        <f>IFERROR(INDEX(Referentiels!$B$66:$B$76,MATCH($E137,Referentiels!$A$66:$A$76,0))&amp;"","")</f>
        <v/>
      </c>
      <c r="H137" s="16" t="n"/>
      <c r="I137" s="16" t="n"/>
      <c r="J137" s="14" t="n"/>
      <c r="K137" s="18" t="n"/>
    </row>
    <row r="138">
      <c r="A138" s="14" t="n"/>
      <c r="B138" s="15">
        <f>IFERROR(MID($A138,FIND("[",$A138)+1,FIND("]",$A138)-FIND("[",$A138)-1),"")</f>
        <v/>
      </c>
      <c r="C138" s="15">
        <f>IFERROR(INDEX(Personnes!$B$5:$B$153,MATCH($B138,Personnes!$A$5:$A$153,0))&amp;"","")</f>
        <v/>
      </c>
      <c r="D138" s="15">
        <f>IFERROR(INDEX(Personnes!$C$5:$C$153,MATCH($B138,Personnes!$A$5:$A$153,0))&amp;"","")</f>
        <v/>
      </c>
      <c r="E138" s="14" t="n"/>
      <c r="F138" s="15">
        <f>IFERROR(INDEX(Referentiels!$C$66:$C$76,MATCH($E138,Referentiels!$A$66:$A$76,0))&amp;"","")</f>
        <v/>
      </c>
      <c r="G138" s="15">
        <f>IFERROR(INDEX(Referentiels!$B$66:$B$76,MATCH($E138,Referentiels!$A$66:$A$76,0))&amp;"","")</f>
        <v/>
      </c>
      <c r="H138" s="16" t="n"/>
      <c r="I138" s="16" t="n"/>
      <c r="J138" s="14" t="n"/>
      <c r="K138" s="18" t="n"/>
    </row>
    <row r="139">
      <c r="A139" s="14" t="n"/>
      <c r="B139" s="15">
        <f>IFERROR(MID($A139,FIND("[",$A139)+1,FIND("]",$A139)-FIND("[",$A139)-1),"")</f>
        <v/>
      </c>
      <c r="C139" s="15">
        <f>IFERROR(INDEX(Personnes!$B$5:$B$153,MATCH($B139,Personnes!$A$5:$A$153,0))&amp;"","")</f>
        <v/>
      </c>
      <c r="D139" s="15">
        <f>IFERROR(INDEX(Personnes!$C$5:$C$153,MATCH($B139,Personnes!$A$5:$A$153,0))&amp;"","")</f>
        <v/>
      </c>
      <c r="E139" s="14" t="n"/>
      <c r="F139" s="15">
        <f>IFERROR(INDEX(Referentiels!$C$66:$C$76,MATCH($E139,Referentiels!$A$66:$A$76,0))&amp;"","")</f>
        <v/>
      </c>
      <c r="G139" s="15">
        <f>IFERROR(INDEX(Referentiels!$B$66:$B$76,MATCH($E139,Referentiels!$A$66:$A$76,0))&amp;"","")</f>
        <v/>
      </c>
      <c r="H139" s="16" t="n"/>
      <c r="I139" s="16" t="n"/>
      <c r="J139" s="14" t="n"/>
      <c r="K139" s="18" t="n"/>
    </row>
    <row r="140">
      <c r="A140" s="14" t="n"/>
      <c r="B140" s="15">
        <f>IFERROR(MID($A140,FIND("[",$A140)+1,FIND("]",$A140)-FIND("[",$A140)-1),"")</f>
        <v/>
      </c>
      <c r="C140" s="15">
        <f>IFERROR(INDEX(Personnes!$B$5:$B$153,MATCH($B140,Personnes!$A$5:$A$153,0))&amp;"","")</f>
        <v/>
      </c>
      <c r="D140" s="15">
        <f>IFERROR(INDEX(Personnes!$C$5:$C$153,MATCH($B140,Personnes!$A$5:$A$153,0))&amp;"","")</f>
        <v/>
      </c>
      <c r="E140" s="14" t="n"/>
      <c r="F140" s="15">
        <f>IFERROR(INDEX(Referentiels!$C$66:$C$76,MATCH($E140,Referentiels!$A$66:$A$76,0))&amp;"","")</f>
        <v/>
      </c>
      <c r="G140" s="15">
        <f>IFERROR(INDEX(Referentiels!$B$66:$B$76,MATCH($E140,Referentiels!$A$66:$A$76,0))&amp;"","")</f>
        <v/>
      </c>
      <c r="H140" s="16" t="n"/>
      <c r="I140" s="16" t="n"/>
      <c r="J140" s="14" t="n"/>
      <c r="K140" s="18" t="n"/>
    </row>
    <row r="141">
      <c r="A141" s="14" t="n"/>
      <c r="B141" s="15">
        <f>IFERROR(MID($A141,FIND("[",$A141)+1,FIND("]",$A141)-FIND("[",$A141)-1),"")</f>
        <v/>
      </c>
      <c r="C141" s="15">
        <f>IFERROR(INDEX(Personnes!$B$5:$B$153,MATCH($B141,Personnes!$A$5:$A$153,0))&amp;"","")</f>
        <v/>
      </c>
      <c r="D141" s="15">
        <f>IFERROR(INDEX(Personnes!$C$5:$C$153,MATCH($B141,Personnes!$A$5:$A$153,0))&amp;"","")</f>
        <v/>
      </c>
      <c r="E141" s="14" t="n"/>
      <c r="F141" s="15">
        <f>IFERROR(INDEX(Referentiels!$C$66:$C$76,MATCH($E141,Referentiels!$A$66:$A$76,0))&amp;"","")</f>
        <v/>
      </c>
      <c r="G141" s="15">
        <f>IFERROR(INDEX(Referentiels!$B$66:$B$76,MATCH($E141,Referentiels!$A$66:$A$76,0))&amp;"","")</f>
        <v/>
      </c>
      <c r="H141" s="16" t="n"/>
      <c r="I141" s="16" t="n"/>
      <c r="J141" s="14" t="n"/>
      <c r="K141" s="18" t="n"/>
    </row>
    <row r="142">
      <c r="A142" s="14" t="n"/>
      <c r="B142" s="15">
        <f>IFERROR(MID($A142,FIND("[",$A142)+1,FIND("]",$A142)-FIND("[",$A142)-1),"")</f>
        <v/>
      </c>
      <c r="C142" s="15">
        <f>IFERROR(INDEX(Personnes!$B$5:$B$153,MATCH($B142,Personnes!$A$5:$A$153,0))&amp;"","")</f>
        <v/>
      </c>
      <c r="D142" s="15">
        <f>IFERROR(INDEX(Personnes!$C$5:$C$153,MATCH($B142,Personnes!$A$5:$A$153,0))&amp;"","")</f>
        <v/>
      </c>
      <c r="E142" s="14" t="n"/>
      <c r="F142" s="15">
        <f>IFERROR(INDEX(Referentiels!$C$66:$C$76,MATCH($E142,Referentiels!$A$66:$A$76,0))&amp;"","")</f>
        <v/>
      </c>
      <c r="G142" s="15">
        <f>IFERROR(INDEX(Referentiels!$B$66:$B$76,MATCH($E142,Referentiels!$A$66:$A$76,0))&amp;"","")</f>
        <v/>
      </c>
      <c r="H142" s="16" t="n"/>
      <c r="I142" s="16" t="n"/>
      <c r="J142" s="14" t="n"/>
      <c r="K142" s="18" t="n"/>
    </row>
    <row r="143">
      <c r="A143" s="14" t="n"/>
      <c r="B143" s="15">
        <f>IFERROR(MID($A143,FIND("[",$A143)+1,FIND("]",$A143)-FIND("[",$A143)-1),"")</f>
        <v/>
      </c>
      <c r="C143" s="15">
        <f>IFERROR(INDEX(Personnes!$B$5:$B$153,MATCH($B143,Personnes!$A$5:$A$153,0))&amp;"","")</f>
        <v/>
      </c>
      <c r="D143" s="15">
        <f>IFERROR(INDEX(Personnes!$C$5:$C$153,MATCH($B143,Personnes!$A$5:$A$153,0))&amp;"","")</f>
        <v/>
      </c>
      <c r="E143" s="14" t="n"/>
      <c r="F143" s="15">
        <f>IFERROR(INDEX(Referentiels!$C$66:$C$76,MATCH($E143,Referentiels!$A$66:$A$76,0))&amp;"","")</f>
        <v/>
      </c>
      <c r="G143" s="15">
        <f>IFERROR(INDEX(Referentiels!$B$66:$B$76,MATCH($E143,Referentiels!$A$66:$A$76,0))&amp;"","")</f>
        <v/>
      </c>
      <c r="H143" s="16" t="n"/>
      <c r="I143" s="16" t="n"/>
      <c r="J143" s="14" t="n"/>
      <c r="K143" s="18" t="n"/>
    </row>
    <row r="144">
      <c r="A144" s="14" t="n"/>
      <c r="B144" s="15">
        <f>IFERROR(MID($A144,FIND("[",$A144)+1,FIND("]",$A144)-FIND("[",$A144)-1),"")</f>
        <v/>
      </c>
      <c r="C144" s="15">
        <f>IFERROR(INDEX(Personnes!$B$5:$B$153,MATCH($B144,Personnes!$A$5:$A$153,0))&amp;"","")</f>
        <v/>
      </c>
      <c r="D144" s="15">
        <f>IFERROR(INDEX(Personnes!$C$5:$C$153,MATCH($B144,Personnes!$A$5:$A$153,0))&amp;"","")</f>
        <v/>
      </c>
      <c r="E144" s="14" t="n"/>
      <c r="F144" s="15">
        <f>IFERROR(INDEX(Referentiels!$C$66:$C$76,MATCH($E144,Referentiels!$A$66:$A$76,0))&amp;"","")</f>
        <v/>
      </c>
      <c r="G144" s="15">
        <f>IFERROR(INDEX(Referentiels!$B$66:$B$76,MATCH($E144,Referentiels!$A$66:$A$76,0))&amp;"","")</f>
        <v/>
      </c>
      <c r="H144" s="16" t="n"/>
      <c r="I144" s="16" t="n"/>
      <c r="J144" s="14" t="n"/>
      <c r="K144" s="18" t="n"/>
    </row>
    <row r="145">
      <c r="A145" s="14" t="n"/>
      <c r="B145" s="15">
        <f>IFERROR(MID($A145,FIND("[",$A145)+1,FIND("]",$A145)-FIND("[",$A145)-1),"")</f>
        <v/>
      </c>
      <c r="C145" s="15">
        <f>IFERROR(INDEX(Personnes!$B$5:$B$153,MATCH($B145,Personnes!$A$5:$A$153,0))&amp;"","")</f>
        <v/>
      </c>
      <c r="D145" s="15">
        <f>IFERROR(INDEX(Personnes!$C$5:$C$153,MATCH($B145,Personnes!$A$5:$A$153,0))&amp;"","")</f>
        <v/>
      </c>
      <c r="E145" s="14" t="n"/>
      <c r="F145" s="15">
        <f>IFERROR(INDEX(Referentiels!$C$66:$C$76,MATCH($E145,Referentiels!$A$66:$A$76,0))&amp;"","")</f>
        <v/>
      </c>
      <c r="G145" s="15">
        <f>IFERROR(INDEX(Referentiels!$B$66:$B$76,MATCH($E145,Referentiels!$A$66:$A$76,0))&amp;"","")</f>
        <v/>
      </c>
      <c r="H145" s="16" t="n"/>
      <c r="I145" s="16" t="n"/>
      <c r="J145" s="14" t="n"/>
      <c r="K145" s="18" t="n"/>
    </row>
    <row r="146">
      <c r="A146" s="14" t="n"/>
      <c r="B146" s="15">
        <f>IFERROR(MID($A146,FIND("[",$A146)+1,FIND("]",$A146)-FIND("[",$A146)-1),"")</f>
        <v/>
      </c>
      <c r="C146" s="15">
        <f>IFERROR(INDEX(Personnes!$B$5:$B$153,MATCH($B146,Personnes!$A$5:$A$153,0))&amp;"","")</f>
        <v/>
      </c>
      <c r="D146" s="15">
        <f>IFERROR(INDEX(Personnes!$C$5:$C$153,MATCH($B146,Personnes!$A$5:$A$153,0))&amp;"","")</f>
        <v/>
      </c>
      <c r="E146" s="14" t="n"/>
      <c r="F146" s="15">
        <f>IFERROR(INDEX(Referentiels!$C$66:$C$76,MATCH($E146,Referentiels!$A$66:$A$76,0))&amp;"","")</f>
        <v/>
      </c>
      <c r="G146" s="15">
        <f>IFERROR(INDEX(Referentiels!$B$66:$B$76,MATCH($E146,Referentiels!$A$66:$A$76,0))&amp;"","")</f>
        <v/>
      </c>
      <c r="H146" s="16" t="n"/>
      <c r="I146" s="16" t="n"/>
      <c r="J146" s="14" t="n"/>
      <c r="K146" s="18" t="n"/>
    </row>
    <row r="147">
      <c r="A147" s="14" t="n"/>
      <c r="B147" s="15">
        <f>IFERROR(MID($A147,FIND("[",$A147)+1,FIND("]",$A147)-FIND("[",$A147)-1),"")</f>
        <v/>
      </c>
      <c r="C147" s="15">
        <f>IFERROR(INDEX(Personnes!$B$5:$B$153,MATCH($B147,Personnes!$A$5:$A$153,0))&amp;"","")</f>
        <v/>
      </c>
      <c r="D147" s="15">
        <f>IFERROR(INDEX(Personnes!$C$5:$C$153,MATCH($B147,Personnes!$A$5:$A$153,0))&amp;"","")</f>
        <v/>
      </c>
      <c r="E147" s="14" t="n"/>
      <c r="F147" s="15">
        <f>IFERROR(INDEX(Referentiels!$C$66:$C$76,MATCH($E147,Referentiels!$A$66:$A$76,0))&amp;"","")</f>
        <v/>
      </c>
      <c r="G147" s="15">
        <f>IFERROR(INDEX(Referentiels!$B$66:$B$76,MATCH($E147,Referentiels!$A$66:$A$76,0))&amp;"","")</f>
        <v/>
      </c>
      <c r="H147" s="16" t="n"/>
      <c r="I147" s="16" t="n"/>
      <c r="J147" s="14" t="n"/>
      <c r="K147" s="18" t="n"/>
    </row>
    <row r="148">
      <c r="A148" s="14" t="n"/>
      <c r="B148" s="15">
        <f>IFERROR(MID($A148,FIND("[",$A148)+1,FIND("]",$A148)-FIND("[",$A148)-1),"")</f>
        <v/>
      </c>
      <c r="C148" s="15">
        <f>IFERROR(INDEX(Personnes!$B$5:$B$153,MATCH($B148,Personnes!$A$5:$A$153,0))&amp;"","")</f>
        <v/>
      </c>
      <c r="D148" s="15">
        <f>IFERROR(INDEX(Personnes!$C$5:$C$153,MATCH($B148,Personnes!$A$5:$A$153,0))&amp;"","")</f>
        <v/>
      </c>
      <c r="E148" s="14" t="n"/>
      <c r="F148" s="15">
        <f>IFERROR(INDEX(Referentiels!$C$66:$C$76,MATCH($E148,Referentiels!$A$66:$A$76,0))&amp;"","")</f>
        <v/>
      </c>
      <c r="G148" s="15">
        <f>IFERROR(INDEX(Referentiels!$B$66:$B$76,MATCH($E148,Referentiels!$A$66:$A$76,0))&amp;"","")</f>
        <v/>
      </c>
      <c r="H148" s="16" t="n"/>
      <c r="I148" s="16" t="n"/>
      <c r="J148" s="14" t="n"/>
      <c r="K148" s="18" t="n"/>
    </row>
    <row r="149">
      <c r="A149" s="14" t="n"/>
      <c r="B149" s="15">
        <f>IFERROR(MID($A149,FIND("[",$A149)+1,FIND("]",$A149)-FIND("[",$A149)-1),"")</f>
        <v/>
      </c>
      <c r="C149" s="15">
        <f>IFERROR(INDEX(Personnes!$B$5:$B$153,MATCH($B149,Personnes!$A$5:$A$153,0))&amp;"","")</f>
        <v/>
      </c>
      <c r="D149" s="15">
        <f>IFERROR(INDEX(Personnes!$C$5:$C$153,MATCH($B149,Personnes!$A$5:$A$153,0))&amp;"","")</f>
        <v/>
      </c>
      <c r="E149" s="14" t="n"/>
      <c r="F149" s="15">
        <f>IFERROR(INDEX(Referentiels!$C$66:$C$76,MATCH($E149,Referentiels!$A$66:$A$76,0))&amp;"","")</f>
        <v/>
      </c>
      <c r="G149" s="15">
        <f>IFERROR(INDEX(Referentiels!$B$66:$B$76,MATCH($E149,Referentiels!$A$66:$A$76,0))&amp;"","")</f>
        <v/>
      </c>
      <c r="H149" s="16" t="n"/>
      <c r="I149" s="16" t="n"/>
      <c r="J149" s="14" t="n"/>
      <c r="K149" s="18" t="n"/>
    </row>
    <row r="150">
      <c r="A150" s="14" t="n"/>
      <c r="B150" s="15">
        <f>IFERROR(MID($A150,FIND("[",$A150)+1,FIND("]",$A150)-FIND("[",$A150)-1),"")</f>
        <v/>
      </c>
      <c r="C150" s="15">
        <f>IFERROR(INDEX(Personnes!$B$5:$B$153,MATCH($B150,Personnes!$A$5:$A$153,0))&amp;"","")</f>
        <v/>
      </c>
      <c r="D150" s="15">
        <f>IFERROR(INDEX(Personnes!$C$5:$C$153,MATCH($B150,Personnes!$A$5:$A$153,0))&amp;"","")</f>
        <v/>
      </c>
      <c r="E150" s="14" t="n"/>
      <c r="F150" s="15">
        <f>IFERROR(INDEX(Referentiels!$C$66:$C$76,MATCH($E150,Referentiels!$A$66:$A$76,0))&amp;"","")</f>
        <v/>
      </c>
      <c r="G150" s="15">
        <f>IFERROR(INDEX(Referentiels!$B$66:$B$76,MATCH($E150,Referentiels!$A$66:$A$76,0))&amp;"","")</f>
        <v/>
      </c>
      <c r="H150" s="16" t="n"/>
      <c r="I150" s="16" t="n"/>
      <c r="J150" s="14" t="n"/>
      <c r="K150" s="18" t="n"/>
    </row>
    <row r="151">
      <c r="A151" s="14" t="n"/>
      <c r="B151" s="15">
        <f>IFERROR(MID($A151,FIND("[",$A151)+1,FIND("]",$A151)-FIND("[",$A151)-1),"")</f>
        <v/>
      </c>
      <c r="C151" s="15">
        <f>IFERROR(INDEX(Personnes!$B$5:$B$153,MATCH($B151,Personnes!$A$5:$A$153,0))&amp;"","")</f>
        <v/>
      </c>
      <c r="D151" s="15">
        <f>IFERROR(INDEX(Personnes!$C$5:$C$153,MATCH($B151,Personnes!$A$5:$A$153,0))&amp;"","")</f>
        <v/>
      </c>
      <c r="E151" s="14" t="n"/>
      <c r="F151" s="15">
        <f>IFERROR(INDEX(Referentiels!$C$66:$C$76,MATCH($E151,Referentiels!$A$66:$A$76,0))&amp;"","")</f>
        <v/>
      </c>
      <c r="G151" s="15">
        <f>IFERROR(INDEX(Referentiels!$B$66:$B$76,MATCH($E151,Referentiels!$A$66:$A$76,0))&amp;"","")</f>
        <v/>
      </c>
      <c r="H151" s="16" t="n"/>
      <c r="I151" s="16" t="n"/>
      <c r="J151" s="14" t="n"/>
      <c r="K151" s="18" t="n"/>
    </row>
    <row r="152">
      <c r="A152" s="14" t="n"/>
      <c r="B152" s="15">
        <f>IFERROR(MID($A152,FIND("[",$A152)+1,FIND("]",$A152)-FIND("[",$A152)-1),"")</f>
        <v/>
      </c>
      <c r="C152" s="15">
        <f>IFERROR(INDEX(Personnes!$B$5:$B$153,MATCH($B152,Personnes!$A$5:$A$153,0))&amp;"","")</f>
        <v/>
      </c>
      <c r="D152" s="15">
        <f>IFERROR(INDEX(Personnes!$C$5:$C$153,MATCH($B152,Personnes!$A$5:$A$153,0))&amp;"","")</f>
        <v/>
      </c>
      <c r="E152" s="14" t="n"/>
      <c r="F152" s="15">
        <f>IFERROR(INDEX(Referentiels!$C$66:$C$76,MATCH($E152,Referentiels!$A$66:$A$76,0))&amp;"","")</f>
        <v/>
      </c>
      <c r="G152" s="15">
        <f>IFERROR(INDEX(Referentiels!$B$66:$B$76,MATCH($E152,Referentiels!$A$66:$A$76,0))&amp;"","")</f>
        <v/>
      </c>
      <c r="H152" s="16" t="n"/>
      <c r="I152" s="16" t="n"/>
      <c r="J152" s="14" t="n"/>
      <c r="K152" s="18" t="n"/>
    </row>
    <row r="153">
      <c r="A153" s="14" t="n"/>
      <c r="B153" s="15">
        <f>IFERROR(MID($A153,FIND("[",$A153)+1,FIND("]",$A153)-FIND("[",$A153)-1),"")</f>
        <v/>
      </c>
      <c r="C153" s="15">
        <f>IFERROR(INDEX(Personnes!$B$5:$B$153,MATCH($B153,Personnes!$A$5:$A$153,0))&amp;"","")</f>
        <v/>
      </c>
      <c r="D153" s="15">
        <f>IFERROR(INDEX(Personnes!$C$5:$C$153,MATCH($B153,Personnes!$A$5:$A$153,0))&amp;"","")</f>
        <v/>
      </c>
      <c r="E153" s="14" t="n"/>
      <c r="F153" s="15">
        <f>IFERROR(INDEX(Referentiels!$C$66:$C$76,MATCH($E153,Referentiels!$A$66:$A$76,0))&amp;"","")</f>
        <v/>
      </c>
      <c r="G153" s="15">
        <f>IFERROR(INDEX(Referentiels!$B$66:$B$76,MATCH($E153,Referentiels!$A$66:$A$76,0))&amp;"","")</f>
        <v/>
      </c>
      <c r="H153" s="16" t="n"/>
      <c r="I153" s="16" t="n"/>
      <c r="J153" s="14" t="n"/>
      <c r="K153" s="18" t="n"/>
    </row>
    <row r="154">
      <c r="A154" s="14" t="n"/>
      <c r="B154" s="15">
        <f>IFERROR(MID($A154,FIND("[",$A154)+1,FIND("]",$A154)-FIND("[",$A154)-1),"")</f>
        <v/>
      </c>
      <c r="C154" s="15">
        <f>IFERROR(INDEX(Personnes!$B$5:$B$153,MATCH($B154,Personnes!$A$5:$A$153,0))&amp;"","")</f>
        <v/>
      </c>
      <c r="D154" s="15">
        <f>IFERROR(INDEX(Personnes!$C$5:$C$153,MATCH($B154,Personnes!$A$5:$A$153,0))&amp;"","")</f>
        <v/>
      </c>
      <c r="E154" s="14" t="n"/>
      <c r="F154" s="15">
        <f>IFERROR(INDEX(Referentiels!$C$66:$C$76,MATCH($E154,Referentiels!$A$66:$A$76,0))&amp;"","")</f>
        <v/>
      </c>
      <c r="G154" s="15">
        <f>IFERROR(INDEX(Referentiels!$B$66:$B$76,MATCH($E154,Referentiels!$A$66:$A$76,0))&amp;"","")</f>
        <v/>
      </c>
      <c r="H154" s="16" t="n"/>
      <c r="I154" s="16" t="n"/>
      <c r="J154" s="14" t="n"/>
      <c r="K154" s="18" t="n"/>
    </row>
    <row r="155">
      <c r="A155" s="14" t="n"/>
      <c r="B155" s="15">
        <f>IFERROR(MID($A155,FIND("[",$A155)+1,FIND("]",$A155)-FIND("[",$A155)-1),"")</f>
        <v/>
      </c>
      <c r="C155" s="15">
        <f>IFERROR(INDEX(Personnes!$B$5:$B$153,MATCH($B155,Personnes!$A$5:$A$153,0))&amp;"","")</f>
        <v/>
      </c>
      <c r="D155" s="15">
        <f>IFERROR(INDEX(Personnes!$C$5:$C$153,MATCH($B155,Personnes!$A$5:$A$153,0))&amp;"","")</f>
        <v/>
      </c>
      <c r="E155" s="14" t="n"/>
      <c r="F155" s="15">
        <f>IFERROR(INDEX(Referentiels!$C$66:$C$76,MATCH($E155,Referentiels!$A$66:$A$76,0))&amp;"","")</f>
        <v/>
      </c>
      <c r="G155" s="15">
        <f>IFERROR(INDEX(Referentiels!$B$66:$B$76,MATCH($E155,Referentiels!$A$66:$A$76,0))&amp;"","")</f>
        <v/>
      </c>
      <c r="H155" s="16" t="n"/>
      <c r="I155" s="16" t="n"/>
      <c r="J155" s="14" t="n"/>
      <c r="K155" s="18" t="n"/>
    </row>
    <row r="156">
      <c r="A156" s="14" t="n"/>
      <c r="B156" s="15">
        <f>IFERROR(MID($A156,FIND("[",$A156)+1,FIND("]",$A156)-FIND("[",$A156)-1),"")</f>
        <v/>
      </c>
      <c r="C156" s="15">
        <f>IFERROR(INDEX(Personnes!$B$5:$B$153,MATCH($B156,Personnes!$A$5:$A$153,0))&amp;"","")</f>
        <v/>
      </c>
      <c r="D156" s="15">
        <f>IFERROR(INDEX(Personnes!$C$5:$C$153,MATCH($B156,Personnes!$A$5:$A$153,0))&amp;"","")</f>
        <v/>
      </c>
      <c r="E156" s="14" t="n"/>
      <c r="F156" s="15">
        <f>IFERROR(INDEX(Referentiels!$C$66:$C$76,MATCH($E156,Referentiels!$A$66:$A$76,0))&amp;"","")</f>
        <v/>
      </c>
      <c r="G156" s="15">
        <f>IFERROR(INDEX(Referentiels!$B$66:$B$76,MATCH($E156,Referentiels!$A$66:$A$76,0))&amp;"","")</f>
        <v/>
      </c>
      <c r="H156" s="16" t="n"/>
      <c r="I156" s="16" t="n"/>
      <c r="J156" s="14" t="n"/>
      <c r="K156" s="18" t="n"/>
    </row>
    <row r="157">
      <c r="A157" s="14" t="n"/>
      <c r="B157" s="15">
        <f>IFERROR(MID($A157,FIND("[",$A157)+1,FIND("]",$A157)-FIND("[",$A157)-1),"")</f>
        <v/>
      </c>
      <c r="C157" s="15">
        <f>IFERROR(INDEX(Personnes!$B$5:$B$153,MATCH($B157,Personnes!$A$5:$A$153,0))&amp;"","")</f>
        <v/>
      </c>
      <c r="D157" s="15">
        <f>IFERROR(INDEX(Personnes!$C$5:$C$153,MATCH($B157,Personnes!$A$5:$A$153,0))&amp;"","")</f>
        <v/>
      </c>
      <c r="E157" s="14" t="n"/>
      <c r="F157" s="15">
        <f>IFERROR(INDEX(Referentiels!$C$66:$C$76,MATCH($E157,Referentiels!$A$66:$A$76,0))&amp;"","")</f>
        <v/>
      </c>
      <c r="G157" s="15">
        <f>IFERROR(INDEX(Referentiels!$B$66:$B$76,MATCH($E157,Referentiels!$A$66:$A$76,0))&amp;"","")</f>
        <v/>
      </c>
      <c r="H157" s="16" t="n"/>
      <c r="I157" s="16" t="n"/>
      <c r="J157" s="14" t="n"/>
      <c r="K157" s="18" t="n"/>
    </row>
    <row r="158">
      <c r="A158" s="14" t="n"/>
      <c r="B158" s="15">
        <f>IFERROR(MID($A158,FIND("[",$A158)+1,FIND("]",$A158)-FIND("[",$A158)-1),"")</f>
        <v/>
      </c>
      <c r="C158" s="15">
        <f>IFERROR(INDEX(Personnes!$B$5:$B$153,MATCH($B158,Personnes!$A$5:$A$153,0))&amp;"","")</f>
        <v/>
      </c>
      <c r="D158" s="15">
        <f>IFERROR(INDEX(Personnes!$C$5:$C$153,MATCH($B158,Personnes!$A$5:$A$153,0))&amp;"","")</f>
        <v/>
      </c>
      <c r="E158" s="14" t="n"/>
      <c r="F158" s="15">
        <f>IFERROR(INDEX(Referentiels!$C$66:$C$76,MATCH($E158,Referentiels!$A$66:$A$76,0))&amp;"","")</f>
        <v/>
      </c>
      <c r="G158" s="15">
        <f>IFERROR(INDEX(Referentiels!$B$66:$B$76,MATCH($E158,Referentiels!$A$66:$A$76,0))&amp;"","")</f>
        <v/>
      </c>
      <c r="H158" s="16" t="n"/>
      <c r="I158" s="16" t="n"/>
      <c r="J158" s="14" t="n"/>
      <c r="K158" s="18" t="n"/>
    </row>
    <row r="159">
      <c r="A159" s="14" t="n"/>
      <c r="B159" s="15">
        <f>IFERROR(MID($A159,FIND("[",$A159)+1,FIND("]",$A159)-FIND("[",$A159)-1),"")</f>
        <v/>
      </c>
      <c r="C159" s="15">
        <f>IFERROR(INDEX(Personnes!$B$5:$B$153,MATCH($B159,Personnes!$A$5:$A$153,0))&amp;"","")</f>
        <v/>
      </c>
      <c r="D159" s="15">
        <f>IFERROR(INDEX(Personnes!$C$5:$C$153,MATCH($B159,Personnes!$A$5:$A$153,0))&amp;"","")</f>
        <v/>
      </c>
      <c r="E159" s="14" t="n"/>
      <c r="F159" s="15">
        <f>IFERROR(INDEX(Referentiels!$C$66:$C$76,MATCH($E159,Referentiels!$A$66:$A$76,0))&amp;"","")</f>
        <v/>
      </c>
      <c r="G159" s="15">
        <f>IFERROR(INDEX(Referentiels!$B$66:$B$76,MATCH($E159,Referentiels!$A$66:$A$76,0))&amp;"","")</f>
        <v/>
      </c>
      <c r="H159" s="16" t="n"/>
      <c r="I159" s="16" t="n"/>
      <c r="J159" s="14" t="n"/>
      <c r="K159" s="18" t="n"/>
    </row>
    <row r="160">
      <c r="A160" s="14" t="n"/>
      <c r="B160" s="15">
        <f>IFERROR(MID($A160,FIND("[",$A160)+1,FIND("]",$A160)-FIND("[",$A160)-1),"")</f>
        <v/>
      </c>
      <c r="C160" s="15">
        <f>IFERROR(INDEX(Personnes!$B$5:$B$153,MATCH($B160,Personnes!$A$5:$A$153,0))&amp;"","")</f>
        <v/>
      </c>
      <c r="D160" s="15">
        <f>IFERROR(INDEX(Personnes!$C$5:$C$153,MATCH($B160,Personnes!$A$5:$A$153,0))&amp;"","")</f>
        <v/>
      </c>
      <c r="E160" s="14" t="n"/>
      <c r="F160" s="15">
        <f>IFERROR(INDEX(Referentiels!$C$66:$C$76,MATCH($E160,Referentiels!$A$66:$A$76,0))&amp;"","")</f>
        <v/>
      </c>
      <c r="G160" s="15">
        <f>IFERROR(INDEX(Referentiels!$B$66:$B$76,MATCH($E160,Referentiels!$A$66:$A$76,0))&amp;"","")</f>
        <v/>
      </c>
      <c r="H160" s="16" t="n"/>
      <c r="I160" s="16" t="n"/>
      <c r="J160" s="14" t="n"/>
      <c r="K160" s="18" t="n"/>
    </row>
    <row r="161">
      <c r="A161" s="14" t="n"/>
      <c r="B161" s="15">
        <f>IFERROR(MID($A161,FIND("[",$A161)+1,FIND("]",$A161)-FIND("[",$A161)-1),"")</f>
        <v/>
      </c>
      <c r="C161" s="15">
        <f>IFERROR(INDEX(Personnes!$B$5:$B$153,MATCH($B161,Personnes!$A$5:$A$153,0))&amp;"","")</f>
        <v/>
      </c>
      <c r="D161" s="15">
        <f>IFERROR(INDEX(Personnes!$C$5:$C$153,MATCH($B161,Personnes!$A$5:$A$153,0))&amp;"","")</f>
        <v/>
      </c>
      <c r="E161" s="14" t="n"/>
      <c r="F161" s="15">
        <f>IFERROR(INDEX(Referentiels!$C$66:$C$76,MATCH($E161,Referentiels!$A$66:$A$76,0))&amp;"","")</f>
        <v/>
      </c>
      <c r="G161" s="15">
        <f>IFERROR(INDEX(Referentiels!$B$66:$B$76,MATCH($E161,Referentiels!$A$66:$A$76,0))&amp;"","")</f>
        <v/>
      </c>
      <c r="H161" s="16" t="n"/>
      <c r="I161" s="16" t="n"/>
      <c r="J161" s="14" t="n"/>
      <c r="K161" s="18" t="n"/>
    </row>
    <row r="162">
      <c r="A162" s="14" t="n"/>
      <c r="B162" s="15">
        <f>IFERROR(MID($A162,FIND("[",$A162)+1,FIND("]",$A162)-FIND("[",$A162)-1),"")</f>
        <v/>
      </c>
      <c r="C162" s="15">
        <f>IFERROR(INDEX(Personnes!$B$5:$B$153,MATCH($B162,Personnes!$A$5:$A$153,0))&amp;"","")</f>
        <v/>
      </c>
      <c r="D162" s="15">
        <f>IFERROR(INDEX(Personnes!$C$5:$C$153,MATCH($B162,Personnes!$A$5:$A$153,0))&amp;"","")</f>
        <v/>
      </c>
      <c r="E162" s="14" t="n"/>
      <c r="F162" s="15">
        <f>IFERROR(INDEX(Referentiels!$C$66:$C$76,MATCH($E162,Referentiels!$A$66:$A$76,0))&amp;"","")</f>
        <v/>
      </c>
      <c r="G162" s="15">
        <f>IFERROR(INDEX(Referentiels!$B$66:$B$76,MATCH($E162,Referentiels!$A$66:$A$76,0))&amp;"","")</f>
        <v/>
      </c>
      <c r="H162" s="16" t="n"/>
      <c r="I162" s="16" t="n"/>
      <c r="J162" s="14" t="n"/>
      <c r="K162" s="18" t="n"/>
    </row>
    <row r="163">
      <c r="A163" s="14" t="n"/>
      <c r="B163" s="15">
        <f>IFERROR(MID($A163,FIND("[",$A163)+1,FIND("]",$A163)-FIND("[",$A163)-1),"")</f>
        <v/>
      </c>
      <c r="C163" s="15">
        <f>IFERROR(INDEX(Personnes!$B$5:$B$153,MATCH($B163,Personnes!$A$5:$A$153,0))&amp;"","")</f>
        <v/>
      </c>
      <c r="D163" s="15">
        <f>IFERROR(INDEX(Personnes!$C$5:$C$153,MATCH($B163,Personnes!$A$5:$A$153,0))&amp;"","")</f>
        <v/>
      </c>
      <c r="E163" s="14" t="n"/>
      <c r="F163" s="15">
        <f>IFERROR(INDEX(Referentiels!$C$66:$C$76,MATCH($E163,Referentiels!$A$66:$A$76,0))&amp;"","")</f>
        <v/>
      </c>
      <c r="G163" s="15">
        <f>IFERROR(INDEX(Referentiels!$B$66:$B$76,MATCH($E163,Referentiels!$A$66:$A$76,0))&amp;"","")</f>
        <v/>
      </c>
      <c r="H163" s="16" t="n"/>
      <c r="I163" s="16" t="n"/>
      <c r="J163" s="14" t="n"/>
      <c r="K163" s="18" t="n"/>
    </row>
    <row r="164">
      <c r="A164" s="14" t="n"/>
      <c r="B164" s="15">
        <f>IFERROR(MID($A164,FIND("[",$A164)+1,FIND("]",$A164)-FIND("[",$A164)-1),"")</f>
        <v/>
      </c>
      <c r="C164" s="15">
        <f>IFERROR(INDEX(Personnes!$B$5:$B$153,MATCH($B164,Personnes!$A$5:$A$153,0))&amp;"","")</f>
        <v/>
      </c>
      <c r="D164" s="15">
        <f>IFERROR(INDEX(Personnes!$C$5:$C$153,MATCH($B164,Personnes!$A$5:$A$153,0))&amp;"","")</f>
        <v/>
      </c>
      <c r="E164" s="14" t="n"/>
      <c r="F164" s="15">
        <f>IFERROR(INDEX(Referentiels!$C$66:$C$76,MATCH($E164,Referentiels!$A$66:$A$76,0))&amp;"","")</f>
        <v/>
      </c>
      <c r="G164" s="15">
        <f>IFERROR(INDEX(Referentiels!$B$66:$B$76,MATCH($E164,Referentiels!$A$66:$A$76,0))&amp;"","")</f>
        <v/>
      </c>
      <c r="H164" s="16" t="n"/>
      <c r="I164" s="16" t="n"/>
      <c r="J164" s="14" t="n"/>
      <c r="K164" s="18" t="n"/>
    </row>
    <row r="165">
      <c r="A165" s="14" t="n"/>
      <c r="B165" s="15">
        <f>IFERROR(MID($A165,FIND("[",$A165)+1,FIND("]",$A165)-FIND("[",$A165)-1),"")</f>
        <v/>
      </c>
      <c r="C165" s="15">
        <f>IFERROR(INDEX(Personnes!$B$5:$B$153,MATCH($B165,Personnes!$A$5:$A$153,0))&amp;"","")</f>
        <v/>
      </c>
      <c r="D165" s="15">
        <f>IFERROR(INDEX(Personnes!$C$5:$C$153,MATCH($B165,Personnes!$A$5:$A$153,0))&amp;"","")</f>
        <v/>
      </c>
      <c r="E165" s="14" t="n"/>
      <c r="F165" s="15">
        <f>IFERROR(INDEX(Referentiels!$C$66:$C$76,MATCH($E165,Referentiels!$A$66:$A$76,0))&amp;"","")</f>
        <v/>
      </c>
      <c r="G165" s="15">
        <f>IFERROR(INDEX(Referentiels!$B$66:$B$76,MATCH($E165,Referentiels!$A$66:$A$76,0))&amp;"","")</f>
        <v/>
      </c>
      <c r="H165" s="16" t="n"/>
      <c r="I165" s="16" t="n"/>
      <c r="J165" s="14" t="n"/>
      <c r="K165" s="18" t="n"/>
    </row>
    <row r="166">
      <c r="A166" s="14" t="n"/>
      <c r="B166" s="15">
        <f>IFERROR(MID($A166,FIND("[",$A166)+1,FIND("]",$A166)-FIND("[",$A166)-1),"")</f>
        <v/>
      </c>
      <c r="C166" s="15">
        <f>IFERROR(INDEX(Personnes!$B$5:$B$153,MATCH($B166,Personnes!$A$5:$A$153,0))&amp;"","")</f>
        <v/>
      </c>
      <c r="D166" s="15">
        <f>IFERROR(INDEX(Personnes!$C$5:$C$153,MATCH($B166,Personnes!$A$5:$A$153,0))&amp;"","")</f>
        <v/>
      </c>
      <c r="E166" s="14" t="n"/>
      <c r="F166" s="15">
        <f>IFERROR(INDEX(Referentiels!$C$66:$C$76,MATCH($E166,Referentiels!$A$66:$A$76,0))&amp;"","")</f>
        <v/>
      </c>
      <c r="G166" s="15">
        <f>IFERROR(INDEX(Referentiels!$B$66:$B$76,MATCH($E166,Referentiels!$A$66:$A$76,0))&amp;"","")</f>
        <v/>
      </c>
      <c r="H166" s="16" t="n"/>
      <c r="I166" s="16" t="n"/>
      <c r="J166" s="14" t="n"/>
      <c r="K166" s="18" t="n"/>
    </row>
    <row r="167">
      <c r="A167" s="14" t="n"/>
      <c r="B167" s="15">
        <f>IFERROR(MID($A167,FIND("[",$A167)+1,FIND("]",$A167)-FIND("[",$A167)-1),"")</f>
        <v/>
      </c>
      <c r="C167" s="15">
        <f>IFERROR(INDEX(Personnes!$B$5:$B$153,MATCH($B167,Personnes!$A$5:$A$153,0))&amp;"","")</f>
        <v/>
      </c>
      <c r="D167" s="15">
        <f>IFERROR(INDEX(Personnes!$C$5:$C$153,MATCH($B167,Personnes!$A$5:$A$153,0))&amp;"","")</f>
        <v/>
      </c>
      <c r="E167" s="14" t="n"/>
      <c r="F167" s="15">
        <f>IFERROR(INDEX(Referentiels!$C$66:$C$76,MATCH($E167,Referentiels!$A$66:$A$76,0))&amp;"","")</f>
        <v/>
      </c>
      <c r="G167" s="15">
        <f>IFERROR(INDEX(Referentiels!$B$66:$B$76,MATCH($E167,Referentiels!$A$66:$A$76,0))&amp;"","")</f>
        <v/>
      </c>
      <c r="H167" s="16" t="n"/>
      <c r="I167" s="16" t="n"/>
      <c r="J167" s="14" t="n"/>
      <c r="K167" s="18" t="n"/>
    </row>
    <row r="168">
      <c r="A168" s="14" t="n"/>
      <c r="B168" s="15">
        <f>IFERROR(MID($A168,FIND("[",$A168)+1,FIND("]",$A168)-FIND("[",$A168)-1),"")</f>
        <v/>
      </c>
      <c r="C168" s="15">
        <f>IFERROR(INDEX(Personnes!$B$5:$B$153,MATCH($B168,Personnes!$A$5:$A$153,0))&amp;"","")</f>
        <v/>
      </c>
      <c r="D168" s="15">
        <f>IFERROR(INDEX(Personnes!$C$5:$C$153,MATCH($B168,Personnes!$A$5:$A$153,0))&amp;"","")</f>
        <v/>
      </c>
      <c r="E168" s="14" t="n"/>
      <c r="F168" s="15">
        <f>IFERROR(INDEX(Referentiels!$C$66:$C$76,MATCH($E168,Referentiels!$A$66:$A$76,0))&amp;"","")</f>
        <v/>
      </c>
      <c r="G168" s="15">
        <f>IFERROR(INDEX(Referentiels!$B$66:$B$76,MATCH($E168,Referentiels!$A$66:$A$76,0))&amp;"","")</f>
        <v/>
      </c>
      <c r="H168" s="16" t="n"/>
      <c r="I168" s="16" t="n"/>
      <c r="J168" s="14" t="n"/>
      <c r="K168" s="18" t="n"/>
    </row>
    <row r="169">
      <c r="A169" s="14" t="n"/>
      <c r="B169" s="15">
        <f>IFERROR(MID($A169,FIND("[",$A169)+1,FIND("]",$A169)-FIND("[",$A169)-1),"")</f>
        <v/>
      </c>
      <c r="C169" s="15">
        <f>IFERROR(INDEX(Personnes!$B$5:$B$153,MATCH($B169,Personnes!$A$5:$A$153,0))&amp;"","")</f>
        <v/>
      </c>
      <c r="D169" s="15">
        <f>IFERROR(INDEX(Personnes!$C$5:$C$153,MATCH($B169,Personnes!$A$5:$A$153,0))&amp;"","")</f>
        <v/>
      </c>
      <c r="E169" s="14" t="n"/>
      <c r="F169" s="15">
        <f>IFERROR(INDEX(Referentiels!$C$66:$C$76,MATCH($E169,Referentiels!$A$66:$A$76,0))&amp;"","")</f>
        <v/>
      </c>
      <c r="G169" s="15">
        <f>IFERROR(INDEX(Referentiels!$B$66:$B$76,MATCH($E169,Referentiels!$A$66:$A$76,0))&amp;"","")</f>
        <v/>
      </c>
      <c r="H169" s="16" t="n"/>
      <c r="I169" s="16" t="n"/>
      <c r="J169" s="14" t="n"/>
      <c r="K169" s="18" t="n"/>
    </row>
    <row r="170">
      <c r="A170" s="14" t="n"/>
      <c r="B170" s="15">
        <f>IFERROR(MID($A170,FIND("[",$A170)+1,FIND("]",$A170)-FIND("[",$A170)-1),"")</f>
        <v/>
      </c>
      <c r="C170" s="15">
        <f>IFERROR(INDEX(Personnes!$B$5:$B$153,MATCH($B170,Personnes!$A$5:$A$153,0))&amp;"","")</f>
        <v/>
      </c>
      <c r="D170" s="15">
        <f>IFERROR(INDEX(Personnes!$C$5:$C$153,MATCH($B170,Personnes!$A$5:$A$153,0))&amp;"","")</f>
        <v/>
      </c>
      <c r="E170" s="14" t="n"/>
      <c r="F170" s="15">
        <f>IFERROR(INDEX(Referentiels!$C$66:$C$76,MATCH($E170,Referentiels!$A$66:$A$76,0))&amp;"","")</f>
        <v/>
      </c>
      <c r="G170" s="15">
        <f>IFERROR(INDEX(Referentiels!$B$66:$B$76,MATCH($E170,Referentiels!$A$66:$A$76,0))&amp;"","")</f>
        <v/>
      </c>
      <c r="H170" s="16" t="n"/>
      <c r="I170" s="16" t="n"/>
      <c r="J170" s="14" t="n"/>
      <c r="K170" s="18" t="n"/>
    </row>
    <row r="171">
      <c r="A171" s="14" t="n"/>
      <c r="B171" s="15">
        <f>IFERROR(MID($A171,FIND("[",$A171)+1,FIND("]",$A171)-FIND("[",$A171)-1),"")</f>
        <v/>
      </c>
      <c r="C171" s="15">
        <f>IFERROR(INDEX(Personnes!$B$5:$B$153,MATCH($B171,Personnes!$A$5:$A$153,0))&amp;"","")</f>
        <v/>
      </c>
      <c r="D171" s="15">
        <f>IFERROR(INDEX(Personnes!$C$5:$C$153,MATCH($B171,Personnes!$A$5:$A$153,0))&amp;"","")</f>
        <v/>
      </c>
      <c r="E171" s="14" t="n"/>
      <c r="F171" s="15">
        <f>IFERROR(INDEX(Referentiels!$C$66:$C$76,MATCH($E171,Referentiels!$A$66:$A$76,0))&amp;"","")</f>
        <v/>
      </c>
      <c r="G171" s="15">
        <f>IFERROR(INDEX(Referentiels!$B$66:$B$76,MATCH($E171,Referentiels!$A$66:$A$76,0))&amp;"","")</f>
        <v/>
      </c>
      <c r="H171" s="16" t="n"/>
      <c r="I171" s="16" t="n"/>
      <c r="J171" s="14" t="n"/>
      <c r="K171" s="18" t="n"/>
    </row>
    <row r="172">
      <c r="A172" s="14" t="n"/>
      <c r="B172" s="15">
        <f>IFERROR(MID($A172,FIND("[",$A172)+1,FIND("]",$A172)-FIND("[",$A172)-1),"")</f>
        <v/>
      </c>
      <c r="C172" s="15">
        <f>IFERROR(INDEX(Personnes!$B$5:$B$153,MATCH($B172,Personnes!$A$5:$A$153,0))&amp;"","")</f>
        <v/>
      </c>
      <c r="D172" s="15">
        <f>IFERROR(INDEX(Personnes!$C$5:$C$153,MATCH($B172,Personnes!$A$5:$A$153,0))&amp;"","")</f>
        <v/>
      </c>
      <c r="E172" s="14" t="n"/>
      <c r="F172" s="15">
        <f>IFERROR(INDEX(Referentiels!$C$66:$C$76,MATCH($E172,Referentiels!$A$66:$A$76,0))&amp;"","")</f>
        <v/>
      </c>
      <c r="G172" s="15">
        <f>IFERROR(INDEX(Referentiels!$B$66:$B$76,MATCH($E172,Referentiels!$A$66:$A$76,0))&amp;"","")</f>
        <v/>
      </c>
      <c r="H172" s="16" t="n"/>
      <c r="I172" s="16" t="n"/>
      <c r="J172" s="14" t="n"/>
      <c r="K172" s="18" t="n"/>
    </row>
    <row r="173">
      <c r="A173" s="14" t="n"/>
      <c r="B173" s="15">
        <f>IFERROR(MID($A173,FIND("[",$A173)+1,FIND("]",$A173)-FIND("[",$A173)-1),"")</f>
        <v/>
      </c>
      <c r="C173" s="15">
        <f>IFERROR(INDEX(Personnes!$B$5:$B$153,MATCH($B173,Personnes!$A$5:$A$153,0))&amp;"","")</f>
        <v/>
      </c>
      <c r="D173" s="15">
        <f>IFERROR(INDEX(Personnes!$C$5:$C$153,MATCH($B173,Personnes!$A$5:$A$153,0))&amp;"","")</f>
        <v/>
      </c>
      <c r="E173" s="14" t="n"/>
      <c r="F173" s="15">
        <f>IFERROR(INDEX(Referentiels!$C$66:$C$76,MATCH($E173,Referentiels!$A$66:$A$76,0))&amp;"","")</f>
        <v/>
      </c>
      <c r="G173" s="15">
        <f>IFERROR(INDEX(Referentiels!$B$66:$B$76,MATCH($E173,Referentiels!$A$66:$A$76,0))&amp;"","")</f>
        <v/>
      </c>
      <c r="H173" s="16" t="n"/>
      <c r="I173" s="16" t="n"/>
      <c r="J173" s="14" t="n"/>
      <c r="K173" s="18" t="n"/>
    </row>
    <row r="174">
      <c r="A174" s="14" t="n"/>
      <c r="B174" s="15">
        <f>IFERROR(MID($A174,FIND("[",$A174)+1,FIND("]",$A174)-FIND("[",$A174)-1),"")</f>
        <v/>
      </c>
      <c r="C174" s="15">
        <f>IFERROR(INDEX(Personnes!$B$5:$B$153,MATCH($B174,Personnes!$A$5:$A$153,0))&amp;"","")</f>
        <v/>
      </c>
      <c r="D174" s="15">
        <f>IFERROR(INDEX(Personnes!$C$5:$C$153,MATCH($B174,Personnes!$A$5:$A$153,0))&amp;"","")</f>
        <v/>
      </c>
      <c r="E174" s="14" t="n"/>
      <c r="F174" s="15">
        <f>IFERROR(INDEX(Referentiels!$C$66:$C$76,MATCH($E174,Referentiels!$A$66:$A$76,0))&amp;"","")</f>
        <v/>
      </c>
      <c r="G174" s="15">
        <f>IFERROR(INDEX(Referentiels!$B$66:$B$76,MATCH($E174,Referentiels!$A$66:$A$76,0))&amp;"","")</f>
        <v/>
      </c>
      <c r="H174" s="16" t="n"/>
      <c r="I174" s="16" t="n"/>
      <c r="J174" s="14" t="n"/>
      <c r="K174" s="18" t="n"/>
    </row>
    <row r="175">
      <c r="A175" s="14" t="n"/>
      <c r="B175" s="15">
        <f>IFERROR(MID($A175,FIND("[",$A175)+1,FIND("]",$A175)-FIND("[",$A175)-1),"")</f>
        <v/>
      </c>
      <c r="C175" s="15">
        <f>IFERROR(INDEX(Personnes!$B$5:$B$153,MATCH($B175,Personnes!$A$5:$A$153,0))&amp;"","")</f>
        <v/>
      </c>
      <c r="D175" s="15">
        <f>IFERROR(INDEX(Personnes!$C$5:$C$153,MATCH($B175,Personnes!$A$5:$A$153,0))&amp;"","")</f>
        <v/>
      </c>
      <c r="E175" s="14" t="n"/>
      <c r="F175" s="15">
        <f>IFERROR(INDEX(Referentiels!$C$66:$C$76,MATCH($E175,Referentiels!$A$66:$A$76,0))&amp;"","")</f>
        <v/>
      </c>
      <c r="G175" s="15">
        <f>IFERROR(INDEX(Referentiels!$B$66:$B$76,MATCH($E175,Referentiels!$A$66:$A$76,0))&amp;"","")</f>
        <v/>
      </c>
      <c r="H175" s="16" t="n"/>
      <c r="I175" s="16" t="n"/>
      <c r="J175" s="14" t="n"/>
      <c r="K175" s="18" t="n"/>
    </row>
    <row r="176">
      <c r="A176" s="14" t="n"/>
      <c r="B176" s="15">
        <f>IFERROR(MID($A176,FIND("[",$A176)+1,FIND("]",$A176)-FIND("[",$A176)-1),"")</f>
        <v/>
      </c>
      <c r="C176" s="15">
        <f>IFERROR(INDEX(Personnes!$B$5:$B$153,MATCH($B176,Personnes!$A$5:$A$153,0))&amp;"","")</f>
        <v/>
      </c>
      <c r="D176" s="15">
        <f>IFERROR(INDEX(Personnes!$C$5:$C$153,MATCH($B176,Personnes!$A$5:$A$153,0))&amp;"","")</f>
        <v/>
      </c>
      <c r="E176" s="14" t="n"/>
      <c r="F176" s="15">
        <f>IFERROR(INDEX(Referentiels!$C$66:$C$76,MATCH($E176,Referentiels!$A$66:$A$76,0))&amp;"","")</f>
        <v/>
      </c>
      <c r="G176" s="15">
        <f>IFERROR(INDEX(Referentiels!$B$66:$B$76,MATCH($E176,Referentiels!$A$66:$A$76,0))&amp;"","")</f>
        <v/>
      </c>
      <c r="H176" s="16" t="n"/>
      <c r="I176" s="16" t="n"/>
      <c r="J176" s="14" t="n"/>
      <c r="K176" s="18" t="n"/>
    </row>
    <row r="177">
      <c r="A177" s="14" t="n"/>
      <c r="B177" s="15">
        <f>IFERROR(MID($A177,FIND("[",$A177)+1,FIND("]",$A177)-FIND("[",$A177)-1),"")</f>
        <v/>
      </c>
      <c r="C177" s="15">
        <f>IFERROR(INDEX(Personnes!$B$5:$B$153,MATCH($B177,Personnes!$A$5:$A$153,0))&amp;"","")</f>
        <v/>
      </c>
      <c r="D177" s="15">
        <f>IFERROR(INDEX(Personnes!$C$5:$C$153,MATCH($B177,Personnes!$A$5:$A$153,0))&amp;"","")</f>
        <v/>
      </c>
      <c r="E177" s="14" t="n"/>
      <c r="F177" s="15">
        <f>IFERROR(INDEX(Referentiels!$C$66:$C$76,MATCH($E177,Referentiels!$A$66:$A$76,0))&amp;"","")</f>
        <v/>
      </c>
      <c r="G177" s="15">
        <f>IFERROR(INDEX(Referentiels!$B$66:$B$76,MATCH($E177,Referentiels!$A$66:$A$76,0))&amp;"","")</f>
        <v/>
      </c>
      <c r="H177" s="16" t="n"/>
      <c r="I177" s="16" t="n"/>
      <c r="J177" s="14" t="n"/>
      <c r="K177" s="18" t="n"/>
    </row>
    <row r="178">
      <c r="A178" s="14" t="n"/>
      <c r="B178" s="15">
        <f>IFERROR(MID($A178,FIND("[",$A178)+1,FIND("]",$A178)-FIND("[",$A178)-1),"")</f>
        <v/>
      </c>
      <c r="C178" s="15">
        <f>IFERROR(INDEX(Personnes!$B$5:$B$153,MATCH($B178,Personnes!$A$5:$A$153,0))&amp;"","")</f>
        <v/>
      </c>
      <c r="D178" s="15">
        <f>IFERROR(INDEX(Personnes!$C$5:$C$153,MATCH($B178,Personnes!$A$5:$A$153,0))&amp;"","")</f>
        <v/>
      </c>
      <c r="E178" s="14" t="n"/>
      <c r="F178" s="15">
        <f>IFERROR(INDEX(Referentiels!$C$66:$C$76,MATCH($E178,Referentiels!$A$66:$A$76,0))&amp;"","")</f>
        <v/>
      </c>
      <c r="G178" s="15">
        <f>IFERROR(INDEX(Referentiels!$B$66:$B$76,MATCH($E178,Referentiels!$A$66:$A$76,0))&amp;"","")</f>
        <v/>
      </c>
      <c r="H178" s="16" t="n"/>
      <c r="I178" s="16" t="n"/>
      <c r="J178" s="14" t="n"/>
      <c r="K178" s="18" t="n"/>
    </row>
    <row r="179">
      <c r="A179" s="14" t="n"/>
      <c r="B179" s="15">
        <f>IFERROR(MID($A179,FIND("[",$A179)+1,FIND("]",$A179)-FIND("[",$A179)-1),"")</f>
        <v/>
      </c>
      <c r="C179" s="15">
        <f>IFERROR(INDEX(Personnes!$B$5:$B$153,MATCH($B179,Personnes!$A$5:$A$153,0))&amp;"","")</f>
        <v/>
      </c>
      <c r="D179" s="15">
        <f>IFERROR(INDEX(Personnes!$C$5:$C$153,MATCH($B179,Personnes!$A$5:$A$153,0))&amp;"","")</f>
        <v/>
      </c>
      <c r="E179" s="14" t="n"/>
      <c r="F179" s="15">
        <f>IFERROR(INDEX(Referentiels!$C$66:$C$76,MATCH($E179,Referentiels!$A$66:$A$76,0))&amp;"","")</f>
        <v/>
      </c>
      <c r="G179" s="15">
        <f>IFERROR(INDEX(Referentiels!$B$66:$B$76,MATCH($E179,Referentiels!$A$66:$A$76,0))&amp;"","")</f>
        <v/>
      </c>
      <c r="H179" s="16" t="n"/>
      <c r="I179" s="16" t="n"/>
      <c r="J179" s="14" t="n"/>
      <c r="K179" s="18" t="n"/>
    </row>
    <row r="180">
      <c r="A180" s="14" t="n"/>
      <c r="B180" s="15">
        <f>IFERROR(MID($A180,FIND("[",$A180)+1,FIND("]",$A180)-FIND("[",$A180)-1),"")</f>
        <v/>
      </c>
      <c r="C180" s="15">
        <f>IFERROR(INDEX(Personnes!$B$5:$B$153,MATCH($B180,Personnes!$A$5:$A$153,0))&amp;"","")</f>
        <v/>
      </c>
      <c r="D180" s="15">
        <f>IFERROR(INDEX(Personnes!$C$5:$C$153,MATCH($B180,Personnes!$A$5:$A$153,0))&amp;"","")</f>
        <v/>
      </c>
      <c r="E180" s="14" t="n"/>
      <c r="F180" s="15">
        <f>IFERROR(INDEX(Referentiels!$C$66:$C$76,MATCH($E180,Referentiels!$A$66:$A$76,0))&amp;"","")</f>
        <v/>
      </c>
      <c r="G180" s="15">
        <f>IFERROR(INDEX(Referentiels!$B$66:$B$76,MATCH($E180,Referentiels!$A$66:$A$76,0))&amp;"","")</f>
        <v/>
      </c>
      <c r="H180" s="16" t="n"/>
      <c r="I180" s="16" t="n"/>
      <c r="J180" s="14" t="n"/>
      <c r="K180" s="18" t="n"/>
    </row>
    <row r="181">
      <c r="A181" s="14" t="n"/>
      <c r="B181" s="15">
        <f>IFERROR(MID($A181,FIND("[",$A181)+1,FIND("]",$A181)-FIND("[",$A181)-1),"")</f>
        <v/>
      </c>
      <c r="C181" s="15">
        <f>IFERROR(INDEX(Personnes!$B$5:$B$153,MATCH($B181,Personnes!$A$5:$A$153,0))&amp;"","")</f>
        <v/>
      </c>
      <c r="D181" s="15">
        <f>IFERROR(INDEX(Personnes!$C$5:$C$153,MATCH($B181,Personnes!$A$5:$A$153,0))&amp;"","")</f>
        <v/>
      </c>
      <c r="E181" s="14" t="n"/>
      <c r="F181" s="15">
        <f>IFERROR(INDEX(Referentiels!$C$66:$C$76,MATCH($E181,Referentiels!$A$66:$A$76,0))&amp;"","")</f>
        <v/>
      </c>
      <c r="G181" s="15">
        <f>IFERROR(INDEX(Referentiels!$B$66:$B$76,MATCH($E181,Referentiels!$A$66:$A$76,0))&amp;"","")</f>
        <v/>
      </c>
      <c r="H181" s="16" t="n"/>
      <c r="I181" s="16" t="n"/>
      <c r="J181" s="14" t="n"/>
      <c r="K181" s="18" t="n"/>
    </row>
    <row r="182">
      <c r="A182" s="14" t="n"/>
      <c r="B182" s="15">
        <f>IFERROR(MID($A182,FIND("[",$A182)+1,FIND("]",$A182)-FIND("[",$A182)-1),"")</f>
        <v/>
      </c>
      <c r="C182" s="15">
        <f>IFERROR(INDEX(Personnes!$B$5:$B$153,MATCH($B182,Personnes!$A$5:$A$153,0))&amp;"","")</f>
        <v/>
      </c>
      <c r="D182" s="15">
        <f>IFERROR(INDEX(Personnes!$C$5:$C$153,MATCH($B182,Personnes!$A$5:$A$153,0))&amp;"","")</f>
        <v/>
      </c>
      <c r="E182" s="14" t="n"/>
      <c r="F182" s="15">
        <f>IFERROR(INDEX(Referentiels!$C$66:$C$76,MATCH($E182,Referentiels!$A$66:$A$76,0))&amp;"","")</f>
        <v/>
      </c>
      <c r="G182" s="15">
        <f>IFERROR(INDEX(Referentiels!$B$66:$B$76,MATCH($E182,Referentiels!$A$66:$A$76,0))&amp;"","")</f>
        <v/>
      </c>
      <c r="H182" s="16" t="n"/>
      <c r="I182" s="16" t="n"/>
      <c r="J182" s="14" t="n"/>
      <c r="K182" s="18" t="n"/>
    </row>
    <row r="183">
      <c r="A183" s="14" t="n"/>
      <c r="B183" s="15">
        <f>IFERROR(MID($A183,FIND("[",$A183)+1,FIND("]",$A183)-FIND("[",$A183)-1),"")</f>
        <v/>
      </c>
      <c r="C183" s="15">
        <f>IFERROR(INDEX(Personnes!$B$5:$B$153,MATCH($B183,Personnes!$A$5:$A$153,0))&amp;"","")</f>
        <v/>
      </c>
      <c r="D183" s="15">
        <f>IFERROR(INDEX(Personnes!$C$5:$C$153,MATCH($B183,Personnes!$A$5:$A$153,0))&amp;"","")</f>
        <v/>
      </c>
      <c r="E183" s="14" t="n"/>
      <c r="F183" s="15">
        <f>IFERROR(INDEX(Referentiels!$C$66:$C$76,MATCH($E183,Referentiels!$A$66:$A$76,0))&amp;"","")</f>
        <v/>
      </c>
      <c r="G183" s="15">
        <f>IFERROR(INDEX(Referentiels!$B$66:$B$76,MATCH($E183,Referentiels!$A$66:$A$76,0))&amp;"","")</f>
        <v/>
      </c>
      <c r="H183" s="16" t="n"/>
      <c r="I183" s="16" t="n"/>
      <c r="J183" s="14" t="n"/>
      <c r="K183" s="18" t="n"/>
    </row>
    <row r="184">
      <c r="A184" s="14" t="n"/>
      <c r="B184" s="15">
        <f>IFERROR(MID($A184,FIND("[",$A184)+1,FIND("]",$A184)-FIND("[",$A184)-1),"")</f>
        <v/>
      </c>
      <c r="C184" s="15">
        <f>IFERROR(INDEX(Personnes!$B$5:$B$153,MATCH($B184,Personnes!$A$5:$A$153,0))&amp;"","")</f>
        <v/>
      </c>
      <c r="D184" s="15">
        <f>IFERROR(INDEX(Personnes!$C$5:$C$153,MATCH($B184,Personnes!$A$5:$A$153,0))&amp;"","")</f>
        <v/>
      </c>
      <c r="E184" s="14" t="n"/>
      <c r="F184" s="15">
        <f>IFERROR(INDEX(Referentiels!$C$66:$C$76,MATCH($E184,Referentiels!$A$66:$A$76,0))&amp;"","")</f>
        <v/>
      </c>
      <c r="G184" s="15">
        <f>IFERROR(INDEX(Referentiels!$B$66:$B$76,MATCH($E184,Referentiels!$A$66:$A$76,0))&amp;"","")</f>
        <v/>
      </c>
      <c r="H184" s="16" t="n"/>
      <c r="I184" s="16" t="n"/>
      <c r="J184" s="14" t="n"/>
      <c r="K184" s="18" t="n"/>
    </row>
    <row r="185">
      <c r="A185" s="14" t="n"/>
      <c r="B185" s="15">
        <f>IFERROR(MID($A185,FIND("[",$A185)+1,FIND("]",$A185)-FIND("[",$A185)-1),"")</f>
        <v/>
      </c>
      <c r="C185" s="15">
        <f>IFERROR(INDEX(Personnes!$B$5:$B$153,MATCH($B185,Personnes!$A$5:$A$153,0))&amp;"","")</f>
        <v/>
      </c>
      <c r="D185" s="15">
        <f>IFERROR(INDEX(Personnes!$C$5:$C$153,MATCH($B185,Personnes!$A$5:$A$153,0))&amp;"","")</f>
        <v/>
      </c>
      <c r="E185" s="14" t="n"/>
      <c r="F185" s="15">
        <f>IFERROR(INDEX(Referentiels!$C$66:$C$76,MATCH($E185,Referentiels!$A$66:$A$76,0))&amp;"","")</f>
        <v/>
      </c>
      <c r="G185" s="15">
        <f>IFERROR(INDEX(Referentiels!$B$66:$B$76,MATCH($E185,Referentiels!$A$66:$A$76,0))&amp;"","")</f>
        <v/>
      </c>
      <c r="H185" s="16" t="n"/>
      <c r="I185" s="16" t="n"/>
      <c r="J185" s="14" t="n"/>
      <c r="K185" s="18" t="n"/>
    </row>
    <row r="186">
      <c r="A186" s="14" t="n"/>
      <c r="B186" s="15">
        <f>IFERROR(MID($A186,FIND("[",$A186)+1,FIND("]",$A186)-FIND("[",$A186)-1),"")</f>
        <v/>
      </c>
      <c r="C186" s="15">
        <f>IFERROR(INDEX(Personnes!$B$5:$B$153,MATCH($B186,Personnes!$A$5:$A$153,0))&amp;"","")</f>
        <v/>
      </c>
      <c r="D186" s="15">
        <f>IFERROR(INDEX(Personnes!$C$5:$C$153,MATCH($B186,Personnes!$A$5:$A$153,0))&amp;"","")</f>
        <v/>
      </c>
      <c r="E186" s="14" t="n"/>
      <c r="F186" s="15">
        <f>IFERROR(INDEX(Referentiels!$C$66:$C$76,MATCH($E186,Referentiels!$A$66:$A$76,0))&amp;"","")</f>
        <v/>
      </c>
      <c r="G186" s="15">
        <f>IFERROR(INDEX(Referentiels!$B$66:$B$76,MATCH($E186,Referentiels!$A$66:$A$76,0))&amp;"","")</f>
        <v/>
      </c>
      <c r="H186" s="16" t="n"/>
      <c r="I186" s="16" t="n"/>
      <c r="J186" s="14" t="n"/>
      <c r="K186" s="18" t="n"/>
    </row>
    <row r="187">
      <c r="A187" s="14" t="n"/>
      <c r="B187" s="15">
        <f>IFERROR(MID($A187,FIND("[",$A187)+1,FIND("]",$A187)-FIND("[",$A187)-1),"")</f>
        <v/>
      </c>
      <c r="C187" s="15">
        <f>IFERROR(INDEX(Personnes!$B$5:$B$153,MATCH($B187,Personnes!$A$5:$A$153,0))&amp;"","")</f>
        <v/>
      </c>
      <c r="D187" s="15">
        <f>IFERROR(INDEX(Personnes!$C$5:$C$153,MATCH($B187,Personnes!$A$5:$A$153,0))&amp;"","")</f>
        <v/>
      </c>
      <c r="E187" s="14" t="n"/>
      <c r="F187" s="15">
        <f>IFERROR(INDEX(Referentiels!$C$66:$C$76,MATCH($E187,Referentiels!$A$66:$A$76,0))&amp;"","")</f>
        <v/>
      </c>
      <c r="G187" s="15">
        <f>IFERROR(INDEX(Referentiels!$B$66:$B$76,MATCH($E187,Referentiels!$A$66:$A$76,0))&amp;"","")</f>
        <v/>
      </c>
      <c r="H187" s="16" t="n"/>
      <c r="I187" s="16" t="n"/>
      <c r="J187" s="14" t="n"/>
      <c r="K187" s="18" t="n"/>
    </row>
    <row r="188">
      <c r="A188" s="14" t="n"/>
      <c r="B188" s="15">
        <f>IFERROR(MID($A188,FIND("[",$A188)+1,FIND("]",$A188)-FIND("[",$A188)-1),"")</f>
        <v/>
      </c>
      <c r="C188" s="15">
        <f>IFERROR(INDEX(Personnes!$B$5:$B$153,MATCH($B188,Personnes!$A$5:$A$153,0))&amp;"","")</f>
        <v/>
      </c>
      <c r="D188" s="15">
        <f>IFERROR(INDEX(Personnes!$C$5:$C$153,MATCH($B188,Personnes!$A$5:$A$153,0))&amp;"","")</f>
        <v/>
      </c>
      <c r="E188" s="14" t="n"/>
      <c r="F188" s="15">
        <f>IFERROR(INDEX(Referentiels!$C$66:$C$76,MATCH($E188,Referentiels!$A$66:$A$76,0))&amp;"","")</f>
        <v/>
      </c>
      <c r="G188" s="15">
        <f>IFERROR(INDEX(Referentiels!$B$66:$B$76,MATCH($E188,Referentiels!$A$66:$A$76,0))&amp;"","")</f>
        <v/>
      </c>
      <c r="H188" s="16" t="n"/>
      <c r="I188" s="16" t="n"/>
      <c r="J188" s="14" t="n"/>
      <c r="K188" s="18" t="n"/>
    </row>
    <row r="189">
      <c r="A189" s="14" t="n"/>
      <c r="B189" s="15">
        <f>IFERROR(MID($A189,FIND("[",$A189)+1,FIND("]",$A189)-FIND("[",$A189)-1),"")</f>
        <v/>
      </c>
      <c r="C189" s="15">
        <f>IFERROR(INDEX(Personnes!$B$5:$B$153,MATCH($B189,Personnes!$A$5:$A$153,0))&amp;"","")</f>
        <v/>
      </c>
      <c r="D189" s="15">
        <f>IFERROR(INDEX(Personnes!$C$5:$C$153,MATCH($B189,Personnes!$A$5:$A$153,0))&amp;"","")</f>
        <v/>
      </c>
      <c r="E189" s="14" t="n"/>
      <c r="F189" s="15">
        <f>IFERROR(INDEX(Referentiels!$C$66:$C$76,MATCH($E189,Referentiels!$A$66:$A$76,0))&amp;"","")</f>
        <v/>
      </c>
      <c r="G189" s="15">
        <f>IFERROR(INDEX(Referentiels!$B$66:$B$76,MATCH($E189,Referentiels!$A$66:$A$76,0))&amp;"","")</f>
        <v/>
      </c>
      <c r="H189" s="16" t="n"/>
      <c r="I189" s="16" t="n"/>
      <c r="J189" s="14" t="n"/>
      <c r="K189" s="18" t="n"/>
    </row>
    <row r="190">
      <c r="A190" s="14" t="n"/>
      <c r="B190" s="15">
        <f>IFERROR(MID($A190,FIND("[",$A190)+1,FIND("]",$A190)-FIND("[",$A190)-1),"")</f>
        <v/>
      </c>
      <c r="C190" s="15">
        <f>IFERROR(INDEX(Personnes!$B$5:$B$153,MATCH($B190,Personnes!$A$5:$A$153,0))&amp;"","")</f>
        <v/>
      </c>
      <c r="D190" s="15">
        <f>IFERROR(INDEX(Personnes!$C$5:$C$153,MATCH($B190,Personnes!$A$5:$A$153,0))&amp;"","")</f>
        <v/>
      </c>
      <c r="E190" s="14" t="n"/>
      <c r="F190" s="15">
        <f>IFERROR(INDEX(Referentiels!$C$66:$C$76,MATCH($E190,Referentiels!$A$66:$A$76,0))&amp;"","")</f>
        <v/>
      </c>
      <c r="G190" s="15">
        <f>IFERROR(INDEX(Referentiels!$B$66:$B$76,MATCH($E190,Referentiels!$A$66:$A$76,0))&amp;"","")</f>
        <v/>
      </c>
      <c r="H190" s="16" t="n"/>
      <c r="I190" s="16" t="n"/>
      <c r="J190" s="14" t="n"/>
      <c r="K190" s="18" t="n"/>
    </row>
    <row r="191">
      <c r="A191" s="14" t="n"/>
      <c r="B191" s="15">
        <f>IFERROR(MID($A191,FIND("[",$A191)+1,FIND("]",$A191)-FIND("[",$A191)-1),"")</f>
        <v/>
      </c>
      <c r="C191" s="15">
        <f>IFERROR(INDEX(Personnes!$B$5:$B$153,MATCH($B191,Personnes!$A$5:$A$153,0))&amp;"","")</f>
        <v/>
      </c>
      <c r="D191" s="15">
        <f>IFERROR(INDEX(Personnes!$C$5:$C$153,MATCH($B191,Personnes!$A$5:$A$153,0))&amp;"","")</f>
        <v/>
      </c>
      <c r="E191" s="14" t="n"/>
      <c r="F191" s="15">
        <f>IFERROR(INDEX(Referentiels!$C$66:$C$76,MATCH($E191,Referentiels!$A$66:$A$76,0))&amp;"","")</f>
        <v/>
      </c>
      <c r="G191" s="15">
        <f>IFERROR(INDEX(Referentiels!$B$66:$B$76,MATCH($E191,Referentiels!$A$66:$A$76,0))&amp;"","")</f>
        <v/>
      </c>
      <c r="H191" s="16" t="n"/>
      <c r="I191" s="16" t="n"/>
      <c r="J191" s="14" t="n"/>
      <c r="K191" s="18" t="n"/>
    </row>
    <row r="192">
      <c r="A192" s="14" t="n"/>
      <c r="B192" s="15">
        <f>IFERROR(MID($A192,FIND("[",$A192)+1,FIND("]",$A192)-FIND("[",$A192)-1),"")</f>
        <v/>
      </c>
      <c r="C192" s="15">
        <f>IFERROR(INDEX(Personnes!$B$5:$B$153,MATCH($B192,Personnes!$A$5:$A$153,0))&amp;"","")</f>
        <v/>
      </c>
      <c r="D192" s="15">
        <f>IFERROR(INDEX(Personnes!$C$5:$C$153,MATCH($B192,Personnes!$A$5:$A$153,0))&amp;"","")</f>
        <v/>
      </c>
      <c r="E192" s="14" t="n"/>
      <c r="F192" s="15">
        <f>IFERROR(INDEX(Referentiels!$C$66:$C$76,MATCH($E192,Referentiels!$A$66:$A$76,0))&amp;"","")</f>
        <v/>
      </c>
      <c r="G192" s="15">
        <f>IFERROR(INDEX(Referentiels!$B$66:$B$76,MATCH($E192,Referentiels!$A$66:$A$76,0))&amp;"","")</f>
        <v/>
      </c>
      <c r="H192" s="16" t="n"/>
      <c r="I192" s="16" t="n"/>
      <c r="J192" s="14" t="n"/>
      <c r="K192" s="18" t="n"/>
    </row>
    <row r="193">
      <c r="A193" s="14" t="n"/>
      <c r="B193" s="15">
        <f>IFERROR(MID($A193,FIND("[",$A193)+1,FIND("]",$A193)-FIND("[",$A193)-1),"")</f>
        <v/>
      </c>
      <c r="C193" s="15">
        <f>IFERROR(INDEX(Personnes!$B$5:$B$153,MATCH($B193,Personnes!$A$5:$A$153,0))&amp;"","")</f>
        <v/>
      </c>
      <c r="D193" s="15">
        <f>IFERROR(INDEX(Personnes!$C$5:$C$153,MATCH($B193,Personnes!$A$5:$A$153,0))&amp;"","")</f>
        <v/>
      </c>
      <c r="E193" s="14" t="n"/>
      <c r="F193" s="15">
        <f>IFERROR(INDEX(Referentiels!$C$66:$C$76,MATCH($E193,Referentiels!$A$66:$A$76,0))&amp;"","")</f>
        <v/>
      </c>
      <c r="G193" s="15">
        <f>IFERROR(INDEX(Referentiels!$B$66:$B$76,MATCH($E193,Referentiels!$A$66:$A$76,0))&amp;"","")</f>
        <v/>
      </c>
      <c r="H193" s="16" t="n"/>
      <c r="I193" s="16" t="n"/>
      <c r="J193" s="14" t="n"/>
      <c r="K193" s="18" t="n"/>
    </row>
    <row r="194">
      <c r="A194" s="14" t="n"/>
      <c r="B194" s="15">
        <f>IFERROR(MID($A194,FIND("[",$A194)+1,FIND("]",$A194)-FIND("[",$A194)-1),"")</f>
        <v/>
      </c>
      <c r="C194" s="15">
        <f>IFERROR(INDEX(Personnes!$B$5:$B$153,MATCH($B194,Personnes!$A$5:$A$153,0))&amp;"","")</f>
        <v/>
      </c>
      <c r="D194" s="15">
        <f>IFERROR(INDEX(Personnes!$C$5:$C$153,MATCH($B194,Personnes!$A$5:$A$153,0))&amp;"","")</f>
        <v/>
      </c>
      <c r="E194" s="14" t="n"/>
      <c r="F194" s="15">
        <f>IFERROR(INDEX(Referentiels!$C$66:$C$76,MATCH($E194,Referentiels!$A$66:$A$76,0))&amp;"","")</f>
        <v/>
      </c>
      <c r="G194" s="15">
        <f>IFERROR(INDEX(Referentiels!$B$66:$B$76,MATCH($E194,Referentiels!$A$66:$A$76,0))&amp;"","")</f>
        <v/>
      </c>
      <c r="H194" s="16" t="n"/>
      <c r="I194" s="16" t="n"/>
      <c r="J194" s="14" t="n"/>
      <c r="K194" s="18" t="n"/>
    </row>
    <row r="195">
      <c r="A195" s="14" t="n"/>
      <c r="B195" s="15">
        <f>IFERROR(MID($A195,FIND("[",$A195)+1,FIND("]",$A195)-FIND("[",$A195)-1),"")</f>
        <v/>
      </c>
      <c r="C195" s="15">
        <f>IFERROR(INDEX(Personnes!$B$5:$B$153,MATCH($B195,Personnes!$A$5:$A$153,0))&amp;"","")</f>
        <v/>
      </c>
      <c r="D195" s="15">
        <f>IFERROR(INDEX(Personnes!$C$5:$C$153,MATCH($B195,Personnes!$A$5:$A$153,0))&amp;"","")</f>
        <v/>
      </c>
      <c r="E195" s="14" t="n"/>
      <c r="F195" s="15">
        <f>IFERROR(INDEX(Referentiels!$C$66:$C$76,MATCH($E195,Referentiels!$A$66:$A$76,0))&amp;"","")</f>
        <v/>
      </c>
      <c r="G195" s="15">
        <f>IFERROR(INDEX(Referentiels!$B$66:$B$76,MATCH($E195,Referentiels!$A$66:$A$76,0))&amp;"","")</f>
        <v/>
      </c>
      <c r="H195" s="16" t="n"/>
      <c r="I195" s="16" t="n"/>
      <c r="J195" s="14" t="n"/>
      <c r="K195" s="18" t="n"/>
    </row>
    <row r="196">
      <c r="A196" s="14" t="n"/>
      <c r="B196" s="15">
        <f>IFERROR(MID($A196,FIND("[",$A196)+1,FIND("]",$A196)-FIND("[",$A196)-1),"")</f>
        <v/>
      </c>
      <c r="C196" s="15">
        <f>IFERROR(INDEX(Personnes!$B$5:$B$153,MATCH($B196,Personnes!$A$5:$A$153,0))&amp;"","")</f>
        <v/>
      </c>
      <c r="D196" s="15">
        <f>IFERROR(INDEX(Personnes!$C$5:$C$153,MATCH($B196,Personnes!$A$5:$A$153,0))&amp;"","")</f>
        <v/>
      </c>
      <c r="E196" s="14" t="n"/>
      <c r="F196" s="15">
        <f>IFERROR(INDEX(Referentiels!$C$66:$C$76,MATCH($E196,Referentiels!$A$66:$A$76,0))&amp;"","")</f>
        <v/>
      </c>
      <c r="G196" s="15">
        <f>IFERROR(INDEX(Referentiels!$B$66:$B$76,MATCH($E196,Referentiels!$A$66:$A$76,0))&amp;"","")</f>
        <v/>
      </c>
      <c r="H196" s="16" t="n"/>
      <c r="I196" s="16" t="n"/>
      <c r="J196" s="14" t="n"/>
      <c r="K196" s="18" t="n"/>
    </row>
    <row r="197">
      <c r="A197" s="14" t="n"/>
      <c r="B197" s="15">
        <f>IFERROR(MID($A197,FIND("[",$A197)+1,FIND("]",$A197)-FIND("[",$A197)-1),"")</f>
        <v/>
      </c>
      <c r="C197" s="15">
        <f>IFERROR(INDEX(Personnes!$B$5:$B$153,MATCH($B197,Personnes!$A$5:$A$153,0))&amp;"","")</f>
        <v/>
      </c>
      <c r="D197" s="15">
        <f>IFERROR(INDEX(Personnes!$C$5:$C$153,MATCH($B197,Personnes!$A$5:$A$153,0))&amp;"","")</f>
        <v/>
      </c>
      <c r="E197" s="14" t="n"/>
      <c r="F197" s="15">
        <f>IFERROR(INDEX(Referentiels!$C$66:$C$76,MATCH($E197,Referentiels!$A$66:$A$76,0))&amp;"","")</f>
        <v/>
      </c>
      <c r="G197" s="15">
        <f>IFERROR(INDEX(Referentiels!$B$66:$B$76,MATCH($E197,Referentiels!$A$66:$A$76,0))&amp;"","")</f>
        <v/>
      </c>
      <c r="H197" s="16" t="n"/>
      <c r="I197" s="16" t="n"/>
      <c r="J197" s="14" t="n"/>
      <c r="K197" s="18" t="n"/>
    </row>
    <row r="198">
      <c r="A198" s="14" t="n"/>
      <c r="B198" s="15">
        <f>IFERROR(MID($A198,FIND("[",$A198)+1,FIND("]",$A198)-FIND("[",$A198)-1),"")</f>
        <v/>
      </c>
      <c r="C198" s="15">
        <f>IFERROR(INDEX(Personnes!$B$5:$B$153,MATCH($B198,Personnes!$A$5:$A$153,0))&amp;"","")</f>
        <v/>
      </c>
      <c r="D198" s="15">
        <f>IFERROR(INDEX(Personnes!$C$5:$C$153,MATCH($B198,Personnes!$A$5:$A$153,0))&amp;"","")</f>
        <v/>
      </c>
      <c r="E198" s="14" t="n"/>
      <c r="F198" s="15">
        <f>IFERROR(INDEX(Referentiels!$C$66:$C$76,MATCH($E198,Referentiels!$A$66:$A$76,0))&amp;"","")</f>
        <v/>
      </c>
      <c r="G198" s="15">
        <f>IFERROR(INDEX(Referentiels!$B$66:$B$76,MATCH($E198,Referentiels!$A$66:$A$76,0))&amp;"","")</f>
        <v/>
      </c>
      <c r="H198" s="16" t="n"/>
      <c r="I198" s="16" t="n"/>
      <c r="J198" s="14" t="n"/>
      <c r="K198" s="18" t="n"/>
    </row>
    <row r="199">
      <c r="A199" s="14" t="n"/>
      <c r="B199" s="15">
        <f>IFERROR(MID($A199,FIND("[",$A199)+1,FIND("]",$A199)-FIND("[",$A199)-1),"")</f>
        <v/>
      </c>
      <c r="C199" s="15">
        <f>IFERROR(INDEX(Personnes!$B$5:$B$153,MATCH($B199,Personnes!$A$5:$A$153,0))&amp;"","")</f>
        <v/>
      </c>
      <c r="D199" s="15">
        <f>IFERROR(INDEX(Personnes!$C$5:$C$153,MATCH($B199,Personnes!$A$5:$A$153,0))&amp;"","")</f>
        <v/>
      </c>
      <c r="E199" s="14" t="n"/>
      <c r="F199" s="15">
        <f>IFERROR(INDEX(Referentiels!$C$66:$C$76,MATCH($E199,Referentiels!$A$66:$A$76,0))&amp;"","")</f>
        <v/>
      </c>
      <c r="G199" s="15">
        <f>IFERROR(INDEX(Referentiels!$B$66:$B$76,MATCH($E199,Referentiels!$A$66:$A$76,0))&amp;"","")</f>
        <v/>
      </c>
      <c r="H199" s="16" t="n"/>
      <c r="I199" s="16" t="n"/>
      <c r="J199" s="14" t="n"/>
      <c r="K199" s="18" t="n"/>
    </row>
    <row r="200">
      <c r="A200" s="14" t="n"/>
      <c r="B200" s="15">
        <f>IFERROR(MID($A200,FIND("[",$A200)+1,FIND("]",$A200)-FIND("[",$A200)-1),"")</f>
        <v/>
      </c>
      <c r="C200" s="15">
        <f>IFERROR(INDEX(Personnes!$B$5:$B$153,MATCH($B200,Personnes!$A$5:$A$153,0))&amp;"","")</f>
        <v/>
      </c>
      <c r="D200" s="15">
        <f>IFERROR(INDEX(Personnes!$C$5:$C$153,MATCH($B200,Personnes!$A$5:$A$153,0))&amp;"","")</f>
        <v/>
      </c>
      <c r="E200" s="14" t="n"/>
      <c r="F200" s="15">
        <f>IFERROR(INDEX(Referentiels!$C$66:$C$76,MATCH($E200,Referentiels!$A$66:$A$76,0))&amp;"","")</f>
        <v/>
      </c>
      <c r="G200" s="15">
        <f>IFERROR(INDEX(Referentiels!$B$66:$B$76,MATCH($E200,Referentiels!$A$66:$A$76,0))&amp;"","")</f>
        <v/>
      </c>
      <c r="H200" s="16" t="n"/>
      <c r="I200" s="16" t="n"/>
      <c r="J200" s="14" t="n"/>
      <c r="K200" s="18" t="n"/>
    </row>
  </sheetData>
  <dataValidations count="2">
    <dataValidation sqref="E5:E200" showDropDown="0" showInputMessage="0" showErrorMessage="0" allowBlank="1" type="list">
      <formula1>"AP,ACP,AEL,ACEL,AEEL,IE,MEF1,MEF2,RIFAA,PSM"</formula1>
    </dataValidation>
    <dataValidation sqref="J5:J200" showDropDown="0" showInputMessage="0" showErrorMessage="0" allowBlank="1" type="list">
      <formula1>"oui,non"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1F4E5F"/>
    <outlinePr summaryBelow="1" summaryRight="1"/>
    <pageSetUpPr/>
  </sheetPr>
  <dimension ref="A1:M500"/>
  <sheetViews>
    <sheetView workbookViewId="0">
      <pane xSplit="5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1" customWidth="1" min="1" max="1"/>
    <col width="34" customWidth="1" min="2" max="2"/>
    <col width="12" customWidth="1" min="3" max="3"/>
    <col width="20" customWidth="1" min="4" max="4"/>
    <col width="14" customWidth="1" min="5" max="5"/>
    <col width="15" customWidth="1" min="6" max="6"/>
    <col width="18" customWidth="1" min="7" max="7"/>
    <col width="15" customWidth="1" min="8" max="8"/>
    <col width="13" customWidth="1" min="9" max="10"/>
    <col width="34.1640625" customWidth="1" min="11" max="11"/>
    <col width="28" customWidth="1" min="12" max="12"/>
    <col width="20" customWidth="1" min="13" max="13"/>
  </cols>
  <sheetData>
    <row r="1" ht="18" customHeight="1">
      <c r="A1" s="4" t="inlineStr">
        <is>
          <t>Inscriptions de la saison</t>
        </is>
      </c>
    </row>
    <row r="2">
      <c r="A2" s="5" t="inlineStr">
        <is>
          <t>La colonne Contrôle signale les doublons et les informations manquantes.</t>
        </is>
      </c>
    </row>
    <row r="4" ht="32" customHeight="1">
      <c r="A4" s="7" t="inlineStr">
        <is>
          <t>Saison</t>
        </is>
      </c>
      <c r="B4" s="7" t="inlineStr">
        <is>
          <t>Sélection par nom ou prénom</t>
        </is>
      </c>
      <c r="C4" s="7" t="inlineStr">
        <is>
          <t>Personne (ID)</t>
        </is>
      </c>
      <c r="D4" s="7" t="inlineStr">
        <is>
          <t>Nom</t>
        </is>
      </c>
      <c r="E4" s="7" t="inlineStr">
        <is>
          <t>Prénom</t>
        </is>
      </c>
      <c r="F4" s="7" t="inlineStr">
        <is>
          <t>Groupe de niveau</t>
        </is>
      </c>
      <c r="G4" s="7" t="inlineStr">
        <is>
          <t>Rôle</t>
        </is>
      </c>
      <c r="H4" s="7" t="inlineStr">
        <is>
          <t>Support de saisie</t>
        </is>
      </c>
      <c r="I4" s="7" t="inlineStr">
        <is>
          <t>Date de début</t>
        </is>
      </c>
      <c r="J4" s="7" t="inlineStr">
        <is>
          <t>Date de fin</t>
        </is>
      </c>
      <c r="K4" s="7" t="inlineStr">
        <is>
          <t>Objectif de la saison</t>
        </is>
      </c>
      <c r="L4" s="7" t="inlineStr">
        <is>
          <t>Commentaire</t>
        </is>
      </c>
      <c r="M4" s="7" t="inlineStr">
        <is>
          <t>Contrôle</t>
        </is>
      </c>
    </row>
    <row r="5">
      <c r="A5" s="8" t="inlineStr">
        <is>
          <t>2026-2027</t>
        </is>
      </c>
      <c r="B5" s="14" t="inlineStr">
        <is>
          <t>Dominique BEAUVALLET [P030]</t>
        </is>
      </c>
      <c r="C5" s="15">
        <f>IFERROR(MID($B5,FIND("[",$B5)+1,FIND("]",$B5)-FIND("[",$B5)-1),"")</f>
        <v/>
      </c>
      <c r="D5" s="15">
        <f>IFERROR(INDEX(Personnes!$B$5:$B$153,MATCH($C5,Personnes!$A$5:$A$153,0))&amp;"","")</f>
        <v/>
      </c>
      <c r="E5" s="15">
        <f>IFERROR(INDEX(Personnes!$C$5:$C$153,MATCH($C5,Personnes!$A$5:$A$153,0))&amp;"","")</f>
        <v/>
      </c>
      <c r="F5" s="14" t="inlineStr">
        <is>
          <t>L1</t>
        </is>
      </c>
      <c r="G5" s="14" t="inlineStr">
        <is>
          <t>encadrant</t>
        </is>
      </c>
      <c r="H5" s="14" t="inlineStr">
        <is>
          <t>classeur</t>
        </is>
      </c>
      <c r="I5" s="16" t="n">
        <v>46272</v>
      </c>
      <c r="J5" s="16" t="n"/>
      <c r="K5" s="18" t="n"/>
      <c r="L5" s="18" t="n"/>
      <c r="M5" s="15">
        <f>IF($B5="","",IF($C5="","personne non reconnue",IF(ISERROR(SEARCH(TRIM($E5&amp;" "&amp;$D5),$B5)),"libellé incohérent avec l’identifiant",IF(COUNTIFS($A$5:$A$500,$A5,$C$5:$C$500,$C5,$F$5:$F$500,$F5,$G$5:$G$500,$G5)&gt;1,"doublon",IF($F5="","groupe manquant",IF($G5="","rôle manquant",IF($H5="","support de saisie manquant",IF(AND($I5&lt;&gt;"",$J5&lt;&gt;"",$J5&lt;$I5),"date de fin antérieure à la date de début",IF(AND($G5="encadrant",IFERROR(INDEX(Personnes!$F$5:$F$153,MATCH($C5,Personnes!$A$5:$A$153,0)),"")=""),"courriel encadrant manquant","ok")))))))))</f>
        <v/>
      </c>
    </row>
    <row r="6">
      <c r="A6" s="8" t="inlineStr">
        <is>
          <t>2026-2027</t>
        </is>
      </c>
      <c r="B6" s="14" t="inlineStr">
        <is>
          <t>Victorinne CHARDONNET [P031]</t>
        </is>
      </c>
      <c r="C6" s="15">
        <f>IFERROR(MID($B6,FIND("[",$B6)+1,FIND("]",$B6)-FIND("[",$B6)-1),"")</f>
        <v/>
      </c>
      <c r="D6" s="15">
        <f>IFERROR(INDEX(Personnes!$B$5:$B$153,MATCH($C6,Personnes!$A$5:$A$153,0))&amp;"","")</f>
        <v/>
      </c>
      <c r="E6" s="15">
        <f>IFERROR(INDEX(Personnes!$C$5:$C$153,MATCH($C6,Personnes!$A$5:$A$153,0))&amp;"","")</f>
        <v/>
      </c>
      <c r="F6" s="14" t="inlineStr">
        <is>
          <t>L1</t>
        </is>
      </c>
      <c r="G6" s="14" t="inlineStr">
        <is>
          <t>encadrant</t>
        </is>
      </c>
      <c r="H6" s="14" t="inlineStr">
        <is>
          <t>classeur</t>
        </is>
      </c>
      <c r="I6" s="16" t="n">
        <v>46272</v>
      </c>
      <c r="J6" s="16" t="n"/>
      <c r="K6" s="18" t="n"/>
      <c r="L6" s="18" t="n"/>
      <c r="M6" s="15">
        <f>IF($B6="","",IF($C6="","personne non reconnue",IF(ISERROR(SEARCH(TRIM($E6&amp;" "&amp;$D6),$B6)),"libellé incohérent avec l’identifiant",IF(COUNTIFS($A$5:$A$500,$A6,$C$5:$C$500,$C6,$F$5:$F$500,$F6,$G$5:$G$500,$G6)&gt;1,"doublon",IF($F6="","groupe manquant",IF($G6="","rôle manquant",IF($H6="","support de saisie manquant",IF(AND($I6&lt;&gt;"",$J6&lt;&gt;"",$J6&lt;$I6),"date de fin antérieure à la date de début",IF(AND($G6="encadrant",IFERROR(INDEX(Personnes!$F$5:$F$153,MATCH($C6,Personnes!$A$5:$A$153,0)),"")=""),"courriel encadrant manquant","ok")))))))))</f>
        <v/>
      </c>
    </row>
    <row r="7">
      <c r="A7" s="8" t="inlineStr">
        <is>
          <t>2026-2027</t>
        </is>
      </c>
      <c r="B7" s="14" t="inlineStr">
        <is>
          <t>Michael GRENIER [P032]</t>
        </is>
      </c>
      <c r="C7" s="15">
        <f>IFERROR(MID($B7,FIND("[",$B7)+1,FIND("]",$B7)-FIND("[",$B7)-1),"")</f>
        <v/>
      </c>
      <c r="D7" s="15">
        <f>IFERROR(INDEX(Personnes!$B$5:$B$153,MATCH($C7,Personnes!$A$5:$A$153,0))&amp;"","")</f>
        <v/>
      </c>
      <c r="E7" s="15">
        <f>IFERROR(INDEX(Personnes!$C$5:$C$153,MATCH($C7,Personnes!$A$5:$A$153,0))&amp;"","")</f>
        <v/>
      </c>
      <c r="F7" s="14" t="inlineStr">
        <is>
          <t>L1</t>
        </is>
      </c>
      <c r="G7" s="14" t="inlineStr">
        <is>
          <t>encadrant</t>
        </is>
      </c>
      <c r="H7" s="14" t="inlineStr">
        <is>
          <t>classeur</t>
        </is>
      </c>
      <c r="I7" s="16" t="n">
        <v>46272</v>
      </c>
      <c r="J7" s="16" t="n"/>
      <c r="K7" s="18" t="n"/>
      <c r="L7" s="18" t="n"/>
      <c r="M7" s="15">
        <f>IF($B7="","",IF($C7="","personne non reconnue",IF(ISERROR(SEARCH(TRIM($E7&amp;" "&amp;$D7),$B7)),"libellé incohérent avec l’identifiant",IF(COUNTIFS($A$5:$A$500,$A7,$C$5:$C$500,$C7,$F$5:$F$500,$F7,$G$5:$G$500,$G7)&gt;1,"doublon",IF($F7="","groupe manquant",IF($G7="","rôle manquant",IF($H7="","support de saisie manquant",IF(AND($I7&lt;&gt;"",$J7&lt;&gt;"",$J7&lt;$I7),"date de fin antérieure à la date de début",IF(AND($G7="encadrant",IFERROR(INDEX(Personnes!$F$5:$F$153,MATCH($C7,Personnes!$A$5:$A$153,0)),"")=""),"courriel encadrant manquant","ok")))))))))</f>
        <v/>
      </c>
    </row>
    <row r="8">
      <c r="A8" s="8" t="inlineStr">
        <is>
          <t>2026-2027</t>
        </is>
      </c>
      <c r="B8" s="14" t="inlineStr">
        <is>
          <t>Charline DANSEUX [P007]</t>
        </is>
      </c>
      <c r="C8" s="15">
        <f>IFERROR(MID($B8,FIND("[",$B8)+1,FIND("]",$B8)-FIND("[",$B8)-1),"")</f>
        <v/>
      </c>
      <c r="D8" s="15">
        <f>IFERROR(INDEX(Personnes!$B$5:$B$153,MATCH($C8,Personnes!$A$5:$A$153,0))&amp;"","")</f>
        <v/>
      </c>
      <c r="E8" s="15">
        <f>IFERROR(INDEX(Personnes!$C$5:$C$153,MATCH($C8,Personnes!$A$5:$A$153,0))&amp;"","")</f>
        <v/>
      </c>
      <c r="F8" s="14" t="inlineStr">
        <is>
          <t>L2</t>
        </is>
      </c>
      <c r="G8" s="14" t="inlineStr">
        <is>
          <t>encadrant</t>
        </is>
      </c>
      <c r="H8" s="14" t="inlineStr">
        <is>
          <t>classeur</t>
        </is>
      </c>
      <c r="I8" s="16" t="n">
        <v>46272</v>
      </c>
      <c r="J8" s="16" t="n"/>
      <c r="K8" s="18" t="n"/>
      <c r="L8" s="18" t="n"/>
      <c r="M8" s="15">
        <f>IF($B8="","",IF($C8="","personne non reconnue",IF(ISERROR(SEARCH(TRIM($E8&amp;" "&amp;$D8),$B8)),"libellé incohérent avec l’identifiant",IF(COUNTIFS($A$5:$A$500,$A8,$C$5:$C$500,$C8,$F$5:$F$500,$F8,$G$5:$G$500,$G8)&gt;1,"doublon",IF($F8="","groupe manquant",IF($G8="","rôle manquant",IF($H8="","support de saisie manquant",IF(AND($I8&lt;&gt;"",$J8&lt;&gt;"",$J8&lt;$I8),"date de fin antérieure à la date de début",IF(AND($G8="encadrant",IFERROR(INDEX(Personnes!$F$5:$F$153,MATCH($C8,Personnes!$A$5:$A$153,0)),"")=""),"courriel encadrant manquant","ok")))))))))</f>
        <v/>
      </c>
    </row>
    <row r="9">
      <c r="A9" s="8" t="inlineStr">
        <is>
          <t>2026-2027</t>
        </is>
      </c>
      <c r="B9" s="14" t="inlineStr">
        <is>
          <t>Cyrille HANNOU [P009]</t>
        </is>
      </c>
      <c r="C9" s="15">
        <f>IFERROR(MID($B9,FIND("[",$B9)+1,FIND("]",$B9)-FIND("[",$B9)-1),"")</f>
        <v/>
      </c>
      <c r="D9" s="15">
        <f>IFERROR(INDEX(Personnes!$B$5:$B$153,MATCH($C9,Personnes!$A$5:$A$153,0))&amp;"","")</f>
        <v/>
      </c>
      <c r="E9" s="15">
        <f>IFERROR(INDEX(Personnes!$C$5:$C$153,MATCH($C9,Personnes!$A$5:$A$153,0))&amp;"","")</f>
        <v/>
      </c>
      <c r="F9" s="14" t="inlineStr">
        <is>
          <t>L2</t>
        </is>
      </c>
      <c r="G9" s="14" t="inlineStr">
        <is>
          <t>encadrant</t>
        </is>
      </c>
      <c r="H9" s="14" t="inlineStr">
        <is>
          <t>classeur</t>
        </is>
      </c>
      <c r="I9" s="16" t="n">
        <v>46272</v>
      </c>
      <c r="J9" s="16" t="n"/>
      <c r="K9" s="18" t="n"/>
      <c r="L9" s="18" t="n"/>
      <c r="M9" s="15">
        <f>IF($B9="","",IF($C9="","personne non reconnue",IF(ISERROR(SEARCH(TRIM($E9&amp;" "&amp;$D9),$B9)),"libellé incohérent avec l’identifiant",IF(COUNTIFS($A$5:$A$500,$A9,$C$5:$C$500,$C9,$F$5:$F$500,$F9,$G$5:$G$500,$G9)&gt;1,"doublon",IF($F9="","groupe manquant",IF($G9="","rôle manquant",IF($H9="","support de saisie manquant",IF(AND($I9&lt;&gt;"",$J9&lt;&gt;"",$J9&lt;$I9),"date de fin antérieure à la date de début",IF(AND($G9="encadrant",IFERROR(INDEX(Personnes!$F$5:$F$153,MATCH($C9,Personnes!$A$5:$A$153,0)),"")=""),"courriel encadrant manquant","ok")))))))))</f>
        <v/>
      </c>
    </row>
    <row r="10">
      <c r="A10" s="8" t="inlineStr">
        <is>
          <t>2026-2027</t>
        </is>
      </c>
      <c r="B10" s="14" t="inlineStr">
        <is>
          <t>Nelly JACQUEMOT [P024]</t>
        </is>
      </c>
      <c r="C10" s="15">
        <f>IFERROR(MID($B10,FIND("[",$B10)+1,FIND("]",$B10)-FIND("[",$B10)-1),"")</f>
        <v/>
      </c>
      <c r="D10" s="15">
        <f>IFERROR(INDEX(Personnes!$B$5:$B$153,MATCH($C10,Personnes!$A$5:$A$153,0))&amp;"","")</f>
        <v/>
      </c>
      <c r="E10" s="15">
        <f>IFERROR(INDEX(Personnes!$C$5:$C$153,MATCH($C10,Personnes!$A$5:$A$153,0))&amp;"","")</f>
        <v/>
      </c>
      <c r="F10" s="14" t="inlineStr">
        <is>
          <t>L2</t>
        </is>
      </c>
      <c r="G10" s="14" t="inlineStr">
        <is>
          <t>encadrant</t>
        </is>
      </c>
      <c r="H10" s="14" t="inlineStr">
        <is>
          <t>classeur</t>
        </is>
      </c>
      <c r="I10" s="16" t="n">
        <v>46272</v>
      </c>
      <c r="J10" s="16" t="n"/>
      <c r="K10" s="18" t="n"/>
      <c r="L10" s="18" t="n"/>
      <c r="M10" s="15">
        <f>IF($B10="","",IF($C10="","personne non reconnue",IF(ISERROR(SEARCH(TRIM($E10&amp;" "&amp;$D10),$B10)),"libellé incohérent avec l’identifiant",IF(COUNTIFS($A$5:$A$500,$A10,$C$5:$C$500,$C10,$F$5:$F$500,$F10,$G$5:$G$500,$G10)&gt;1,"doublon",IF($F10="","groupe manquant",IF($G10="","rôle manquant",IF($H10="","support de saisie manquant",IF(AND($I10&lt;&gt;"",$J10&lt;&gt;"",$J10&lt;$I10),"date de fin antérieure à la date de début",IF(AND($G10="encadrant",IFERROR(INDEX(Personnes!$F$5:$F$153,MATCH($C10,Personnes!$A$5:$A$153,0)),"")=""),"courriel encadrant manquant","ok")))))))))</f>
        <v/>
      </c>
    </row>
    <row r="11">
      <c r="A11" s="8" t="inlineStr">
        <is>
          <t>2026-2027</t>
        </is>
      </c>
      <c r="B11" s="14" t="inlineStr">
        <is>
          <t>Sophie LANDEAU [P028]</t>
        </is>
      </c>
      <c r="C11" s="15">
        <f>IFERROR(MID($B11,FIND("[",$B11)+1,FIND("]",$B11)-FIND("[",$B11)-1),"")</f>
        <v/>
      </c>
      <c r="D11" s="15">
        <f>IFERROR(INDEX(Personnes!$B$5:$B$153,MATCH($C11,Personnes!$A$5:$A$153,0))&amp;"","")</f>
        <v/>
      </c>
      <c r="E11" s="15">
        <f>IFERROR(INDEX(Personnes!$C$5:$C$153,MATCH($C11,Personnes!$A$5:$A$153,0))&amp;"","")</f>
        <v/>
      </c>
      <c r="F11" s="14" t="inlineStr">
        <is>
          <t>L2</t>
        </is>
      </c>
      <c r="G11" s="14" t="inlineStr">
        <is>
          <t>encadrant</t>
        </is>
      </c>
      <c r="H11" s="14" t="inlineStr">
        <is>
          <t>classeur</t>
        </is>
      </c>
      <c r="I11" s="16" t="n">
        <v>46272</v>
      </c>
      <c r="J11" s="16" t="n"/>
      <c r="K11" s="18" t="n"/>
      <c r="L11" s="18" t="n"/>
      <c r="M11" s="15">
        <f>IF($B11="","",IF($C11="","personne non reconnue",IF(ISERROR(SEARCH(TRIM($E11&amp;" "&amp;$D11),$B11)),"libellé incohérent avec l’identifiant",IF(COUNTIFS($A$5:$A$500,$A11,$C$5:$C$500,$C11,$F$5:$F$500,$F11,$G$5:$G$500,$G11)&gt;1,"doublon",IF($F11="","groupe manquant",IF($G11="","rôle manquant",IF($H11="","support de saisie manquant",IF(AND($I11&lt;&gt;"",$J11&lt;&gt;"",$J11&lt;$I11),"date de fin antérieure à la date de début",IF(AND($G11="encadrant",IFERROR(INDEX(Personnes!$F$5:$F$153,MATCH($C11,Personnes!$A$5:$A$153,0)),"")=""),"courriel encadrant manquant","ok")))))))))</f>
        <v/>
      </c>
    </row>
    <row r="12">
      <c r="A12" s="8" t="inlineStr">
        <is>
          <t>2026-2027</t>
        </is>
      </c>
      <c r="B12" s="14" t="inlineStr">
        <is>
          <t>Edward LICHTNER [P010]</t>
        </is>
      </c>
      <c r="C12" s="15">
        <f>IFERROR(MID($B12,FIND("[",$B12)+1,FIND("]",$B12)-FIND("[",$B12)-1),"")</f>
        <v/>
      </c>
      <c r="D12" s="15">
        <f>IFERROR(INDEX(Personnes!$B$5:$B$153,MATCH($C12,Personnes!$A$5:$A$153,0))&amp;"","")</f>
        <v/>
      </c>
      <c r="E12" s="15">
        <f>IFERROR(INDEX(Personnes!$C$5:$C$153,MATCH($C12,Personnes!$A$5:$A$153,0))&amp;"","")</f>
        <v/>
      </c>
      <c r="F12" s="14" t="inlineStr">
        <is>
          <t>L2</t>
        </is>
      </c>
      <c r="G12" s="14" t="inlineStr">
        <is>
          <t>encadrant</t>
        </is>
      </c>
      <c r="H12" s="14" t="inlineStr">
        <is>
          <t>classeur</t>
        </is>
      </c>
      <c r="I12" s="16" t="n">
        <v>46272</v>
      </c>
      <c r="J12" s="16" t="n"/>
      <c r="K12" s="18" t="n"/>
      <c r="L12" s="18" t="n"/>
      <c r="M12" s="15">
        <f>IF($B12="","",IF($C12="","personne non reconnue",IF(ISERROR(SEARCH(TRIM($E12&amp;" "&amp;$D12),$B12)),"libellé incohérent avec l’identifiant",IF(COUNTIFS($A$5:$A$500,$A12,$C$5:$C$500,$C12,$F$5:$F$500,$F12,$G$5:$G$500,$G12)&gt;1,"doublon",IF($F12="","groupe manquant",IF($G12="","rôle manquant",IF($H12="","support de saisie manquant",IF(AND($I12&lt;&gt;"",$J12&lt;&gt;"",$J12&lt;$I12),"date de fin antérieure à la date de début",IF(AND($G12="encadrant",IFERROR(INDEX(Personnes!$F$5:$F$153,MATCH($C12,Personnes!$A$5:$A$153,0)),"")=""),"courriel encadrant manquant","ok")))))))))</f>
        <v/>
      </c>
    </row>
    <row r="13">
      <c r="A13" s="8" t="inlineStr">
        <is>
          <t>2026-2027</t>
        </is>
      </c>
      <c r="B13" s="14" t="inlineStr">
        <is>
          <t>François MEMHELD [P033]</t>
        </is>
      </c>
      <c r="C13" s="15">
        <f>IFERROR(MID($B13,FIND("[",$B13)+1,FIND("]",$B13)-FIND("[",$B13)-1),"")</f>
        <v/>
      </c>
      <c r="D13" s="15">
        <f>IFERROR(INDEX(Personnes!$B$5:$B$153,MATCH($C13,Personnes!$A$5:$A$153,0))&amp;"","")</f>
        <v/>
      </c>
      <c r="E13" s="15">
        <f>IFERROR(INDEX(Personnes!$C$5:$C$153,MATCH($C13,Personnes!$A$5:$A$153,0))&amp;"","")</f>
        <v/>
      </c>
      <c r="F13" s="14" t="inlineStr">
        <is>
          <t>L2</t>
        </is>
      </c>
      <c r="G13" s="14" t="inlineStr">
        <is>
          <t>encadrant</t>
        </is>
      </c>
      <c r="H13" s="14" t="inlineStr">
        <is>
          <t>classeur</t>
        </is>
      </c>
      <c r="I13" s="16" t="n">
        <v>46272</v>
      </c>
      <c r="J13" s="16" t="n"/>
      <c r="K13" s="18" t="n"/>
      <c r="L13" s="18" t="n"/>
      <c r="M13" s="15">
        <f>IF($B13="","",IF($C13="","personne non reconnue",IF(ISERROR(SEARCH(TRIM($E13&amp;" "&amp;$D13),$B13)),"libellé incohérent avec l’identifiant",IF(COUNTIFS($A$5:$A$500,$A13,$C$5:$C$500,$C13,$F$5:$F$500,$F13,$G$5:$G$500,$G13)&gt;1,"doublon",IF($F13="","groupe manquant",IF($G13="","rôle manquant",IF($H13="","support de saisie manquant",IF(AND($I13&lt;&gt;"",$J13&lt;&gt;"",$J13&lt;$I13),"date de fin antérieure à la date de début",IF(AND($G13="encadrant",IFERROR(INDEX(Personnes!$F$5:$F$153,MATCH($C13,Personnes!$A$5:$A$153,0)),"")=""),"courriel encadrant manquant","ok")))))))))</f>
        <v/>
      </c>
    </row>
    <row r="14">
      <c r="A14" s="8" t="inlineStr">
        <is>
          <t>2026-2027</t>
        </is>
      </c>
      <c r="B14" s="14" t="inlineStr">
        <is>
          <t>Mary BAUTISTA [P076]</t>
        </is>
      </c>
      <c r="C14" s="15">
        <f>IFERROR(MID($B14,FIND("[",$B14)+1,FIND("]",$B14)-FIND("[",$B14)-1),"")</f>
        <v/>
      </c>
      <c r="D14" s="15">
        <f>IFERROR(INDEX(Personnes!$B$5:$B$153,MATCH($C14,Personnes!$A$5:$A$153,0))&amp;"","")</f>
        <v/>
      </c>
      <c r="E14" s="15">
        <f>IFERROR(INDEX(Personnes!$C$5:$C$153,MATCH($C14,Personnes!$A$5:$A$153,0))&amp;"","")</f>
        <v/>
      </c>
      <c r="F14" s="14" t="inlineStr">
        <is>
          <t>L2</t>
        </is>
      </c>
      <c r="G14" s="14" t="inlineStr">
        <is>
          <t>élève</t>
        </is>
      </c>
      <c r="H14" s="14" t="inlineStr">
        <is>
          <t>classeur</t>
        </is>
      </c>
      <c r="I14" s="16" t="n">
        <v>46272</v>
      </c>
      <c r="J14" s="16" t="n"/>
      <c r="K14" s="18" t="n"/>
      <c r="L14" s="18" t="n"/>
      <c r="M14" s="15">
        <f>IF($B14="","",IF($C14="","personne non reconnue",IF(ISERROR(SEARCH(TRIM($E14&amp;" "&amp;$D14),$B14)),"libellé incohérent avec l’identifiant",IF(COUNTIFS($A$5:$A$500,$A14,$C$5:$C$500,$C14,$F$5:$F$500,$F14,$G$5:$G$500,$G14)&gt;1,"doublon",IF($F14="","groupe manquant",IF($G14="","rôle manquant",IF($H14="","support de saisie manquant",IF(AND($I14&lt;&gt;"",$J14&lt;&gt;"",$J14&lt;$I14),"date de fin antérieure à la date de début",IF(AND($G14="encadrant",IFERROR(INDEX(Personnes!$F$5:$F$153,MATCH($C14,Personnes!$A$5:$A$153,0)),"")=""),"courriel encadrant manquant","ok")))))))))</f>
        <v/>
      </c>
    </row>
    <row r="15">
      <c r="A15" s="8" t="inlineStr">
        <is>
          <t>2026-2027</t>
        </is>
      </c>
      <c r="B15" s="14" t="inlineStr">
        <is>
          <t>Marc BENDER [P077]</t>
        </is>
      </c>
      <c r="C15" s="15">
        <f>IFERROR(MID($B15,FIND("[",$B15)+1,FIND("]",$B15)-FIND("[",$B15)-1),"")</f>
        <v/>
      </c>
      <c r="D15" s="15">
        <f>IFERROR(INDEX(Personnes!$B$5:$B$153,MATCH($C15,Personnes!$A$5:$A$153,0))&amp;"","")</f>
        <v/>
      </c>
      <c r="E15" s="15">
        <f>IFERROR(INDEX(Personnes!$C$5:$C$153,MATCH($C15,Personnes!$A$5:$A$153,0))&amp;"","")</f>
        <v/>
      </c>
      <c r="F15" s="14" t="inlineStr">
        <is>
          <t>L2</t>
        </is>
      </c>
      <c r="G15" s="14" t="inlineStr">
        <is>
          <t>élève</t>
        </is>
      </c>
      <c r="H15" s="14" t="inlineStr">
        <is>
          <t>classeur</t>
        </is>
      </c>
      <c r="I15" s="16" t="n">
        <v>46272</v>
      </c>
      <c r="J15" s="16" t="n"/>
      <c r="K15" s="18" t="n"/>
      <c r="L15" s="18" t="n"/>
      <c r="M15" s="15">
        <f>IF($B15="","",IF($C15="","personne non reconnue",IF(ISERROR(SEARCH(TRIM($E15&amp;" "&amp;$D15),$B15)),"libellé incohérent avec l’identifiant",IF(COUNTIFS($A$5:$A$500,$A15,$C$5:$C$500,$C15,$F$5:$F$500,$F15,$G$5:$G$500,$G15)&gt;1,"doublon",IF($F15="","groupe manquant",IF($G15="","rôle manquant",IF($H15="","support de saisie manquant",IF(AND($I15&lt;&gt;"",$J15&lt;&gt;"",$J15&lt;$I15),"date de fin antérieure à la date de début",IF(AND($G15="encadrant",IFERROR(INDEX(Personnes!$F$5:$F$153,MATCH($C15,Personnes!$A$5:$A$153,0)),"")=""),"courriel encadrant manquant","ok")))))))))</f>
        <v/>
      </c>
    </row>
    <row r="16">
      <c r="A16" s="8" t="inlineStr">
        <is>
          <t>2026-2027</t>
        </is>
      </c>
      <c r="B16" s="14" t="inlineStr">
        <is>
          <t>Ouafa BENMANSOUR [P055]</t>
        </is>
      </c>
      <c r="C16" s="15">
        <f>IFERROR(MID($B16,FIND("[",$B16)+1,FIND("]",$B16)-FIND("[",$B16)-1),"")</f>
        <v/>
      </c>
      <c r="D16" s="15">
        <f>IFERROR(INDEX(Personnes!$B$5:$B$153,MATCH($C16,Personnes!$A$5:$A$153,0))&amp;"","")</f>
        <v/>
      </c>
      <c r="E16" s="15">
        <f>IFERROR(INDEX(Personnes!$C$5:$C$153,MATCH($C16,Personnes!$A$5:$A$153,0))&amp;"","")</f>
        <v/>
      </c>
      <c r="F16" s="14" t="inlineStr">
        <is>
          <t>L2</t>
        </is>
      </c>
      <c r="G16" s="14" t="inlineStr">
        <is>
          <t>élève</t>
        </is>
      </c>
      <c r="H16" s="14" t="inlineStr">
        <is>
          <t>classeur</t>
        </is>
      </c>
      <c r="I16" s="16" t="n">
        <v>46272</v>
      </c>
      <c r="J16" s="16" t="n"/>
      <c r="K16" s="18" t="n"/>
      <c r="L16" s="18" t="n"/>
      <c r="M16" s="15">
        <f>IF($B16="","",IF($C16="","personne non reconnue",IF(ISERROR(SEARCH(TRIM($E16&amp;" "&amp;$D16),$B16)),"libellé incohérent avec l’identifiant",IF(COUNTIFS($A$5:$A$500,$A16,$C$5:$C$500,$C16,$F$5:$F$500,$F16,$G$5:$G$500,$G16)&gt;1,"doublon",IF($F16="","groupe manquant",IF($G16="","rôle manquant",IF($H16="","support de saisie manquant",IF(AND($I16&lt;&gt;"",$J16&lt;&gt;"",$J16&lt;$I16),"date de fin antérieure à la date de début",IF(AND($G16="encadrant",IFERROR(INDEX(Personnes!$F$5:$F$153,MATCH($C16,Personnes!$A$5:$A$153,0)),"")=""),"courriel encadrant manquant","ok")))))))))</f>
        <v/>
      </c>
    </row>
    <row r="17">
      <c r="A17" s="8" t="inlineStr">
        <is>
          <t>2026-2027</t>
        </is>
      </c>
      <c r="B17" s="14" t="inlineStr">
        <is>
          <t>Patrick BEZICOT [P078]</t>
        </is>
      </c>
      <c r="C17" s="15">
        <f>IFERROR(MID($B17,FIND("[",$B17)+1,FIND("]",$B17)-FIND("[",$B17)-1),"")</f>
        <v/>
      </c>
      <c r="D17" s="15">
        <f>IFERROR(INDEX(Personnes!$B$5:$B$153,MATCH($C17,Personnes!$A$5:$A$153,0))&amp;"","")</f>
        <v/>
      </c>
      <c r="E17" s="15">
        <f>IFERROR(INDEX(Personnes!$C$5:$C$153,MATCH($C17,Personnes!$A$5:$A$153,0))&amp;"","")</f>
        <v/>
      </c>
      <c r="F17" s="14" t="inlineStr">
        <is>
          <t>L2</t>
        </is>
      </c>
      <c r="G17" s="14" t="inlineStr">
        <is>
          <t>élève</t>
        </is>
      </c>
      <c r="H17" s="14" t="inlineStr">
        <is>
          <t>classeur</t>
        </is>
      </c>
      <c r="I17" s="16" t="n">
        <v>46272</v>
      </c>
      <c r="J17" s="16" t="n"/>
      <c r="K17" s="18" t="n"/>
      <c r="L17" s="18" t="n"/>
      <c r="M17" s="15">
        <f>IF($B17="","",IF($C17="","personne non reconnue",IF(ISERROR(SEARCH(TRIM($E17&amp;" "&amp;$D17),$B17)),"libellé incohérent avec l’identifiant",IF(COUNTIFS($A$5:$A$500,$A17,$C$5:$C$500,$C17,$F$5:$F$500,$F17,$G$5:$G$500,$G17)&gt;1,"doublon",IF($F17="","groupe manquant",IF($G17="","rôle manquant",IF($H17="","support de saisie manquant",IF(AND($I17&lt;&gt;"",$J17&lt;&gt;"",$J17&lt;$I17),"date de fin antérieure à la date de début",IF(AND($G17="encadrant",IFERROR(INDEX(Personnes!$F$5:$F$153,MATCH($C17,Personnes!$A$5:$A$153,0)),"")=""),"courriel encadrant manquant","ok")))))))))</f>
        <v/>
      </c>
    </row>
    <row r="18">
      <c r="A18" s="8" t="inlineStr">
        <is>
          <t>2026-2027</t>
        </is>
      </c>
      <c r="B18" s="14" t="inlineStr">
        <is>
          <t>Christophe BIZON [P079]</t>
        </is>
      </c>
      <c r="C18" s="15">
        <f>IFERROR(MID($B18,FIND("[",$B18)+1,FIND("]",$B18)-FIND("[",$B18)-1),"")</f>
        <v/>
      </c>
      <c r="D18" s="15">
        <f>IFERROR(INDEX(Personnes!$B$5:$B$153,MATCH($C18,Personnes!$A$5:$A$153,0))&amp;"","")</f>
        <v/>
      </c>
      <c r="E18" s="15">
        <f>IFERROR(INDEX(Personnes!$C$5:$C$153,MATCH($C18,Personnes!$A$5:$A$153,0))&amp;"","")</f>
        <v/>
      </c>
      <c r="F18" s="14" t="inlineStr">
        <is>
          <t>L2</t>
        </is>
      </c>
      <c r="G18" s="14" t="inlineStr">
        <is>
          <t>élève</t>
        </is>
      </c>
      <c r="H18" s="14" t="inlineStr">
        <is>
          <t>classeur</t>
        </is>
      </c>
      <c r="I18" s="16" t="n">
        <v>46272</v>
      </c>
      <c r="J18" s="16" t="n"/>
      <c r="K18" s="18" t="n"/>
      <c r="L18" s="18" t="n"/>
      <c r="M18" s="15">
        <f>IF($B18="","",IF($C18="","personne non reconnue",IF(ISERROR(SEARCH(TRIM($E18&amp;" "&amp;$D18),$B18)),"libellé incohérent avec l’identifiant",IF(COUNTIFS($A$5:$A$500,$A18,$C$5:$C$500,$C18,$F$5:$F$500,$F18,$G$5:$G$500,$G18)&gt;1,"doublon",IF($F18="","groupe manquant",IF($G18="","rôle manquant",IF($H18="","support de saisie manquant",IF(AND($I18&lt;&gt;"",$J18&lt;&gt;"",$J18&lt;$I18),"date de fin antérieure à la date de début",IF(AND($G18="encadrant",IFERROR(INDEX(Personnes!$F$5:$F$153,MATCH($C18,Personnes!$A$5:$A$153,0)),"")=""),"courriel encadrant manquant","ok")))))))))</f>
        <v/>
      </c>
    </row>
    <row r="19">
      <c r="A19" s="8" t="inlineStr">
        <is>
          <t>2026-2027</t>
        </is>
      </c>
      <c r="B19" s="14" t="inlineStr">
        <is>
          <t>Bruno BOUGEROL [P060]</t>
        </is>
      </c>
      <c r="C19" s="15">
        <f>IFERROR(MID($B19,FIND("[",$B19)+1,FIND("]",$B19)-FIND("[",$B19)-1),"")</f>
        <v/>
      </c>
      <c r="D19" s="15">
        <f>IFERROR(INDEX(Personnes!$B$5:$B$153,MATCH($C19,Personnes!$A$5:$A$153,0))&amp;"","")</f>
        <v/>
      </c>
      <c r="E19" s="15">
        <f>IFERROR(INDEX(Personnes!$C$5:$C$153,MATCH($C19,Personnes!$A$5:$A$153,0))&amp;"","")</f>
        <v/>
      </c>
      <c r="F19" s="14" t="inlineStr">
        <is>
          <t>L2</t>
        </is>
      </c>
      <c r="G19" s="14" t="inlineStr">
        <is>
          <t>élève</t>
        </is>
      </c>
      <c r="H19" s="14" t="inlineStr">
        <is>
          <t>classeur</t>
        </is>
      </c>
      <c r="I19" s="16" t="n">
        <v>46272</v>
      </c>
      <c r="J19" s="16" t="n"/>
      <c r="K19" s="18" t="n"/>
      <c r="L19" s="18" t="n"/>
      <c r="M19" s="15">
        <f>IF($B19="","",IF($C19="","personne non reconnue",IF(ISERROR(SEARCH(TRIM($E19&amp;" "&amp;$D19),$B19)),"libellé incohérent avec l’identifiant",IF(COUNTIFS($A$5:$A$500,$A19,$C$5:$C$500,$C19,$F$5:$F$500,$F19,$G$5:$G$500,$G19)&gt;1,"doublon",IF($F19="","groupe manquant",IF($G19="","rôle manquant",IF($H19="","support de saisie manquant",IF(AND($I19&lt;&gt;"",$J19&lt;&gt;"",$J19&lt;$I19),"date de fin antérieure à la date de début",IF(AND($G19="encadrant",IFERROR(INDEX(Personnes!$F$5:$F$153,MATCH($C19,Personnes!$A$5:$A$153,0)),"")=""),"courriel encadrant manquant","ok")))))))))</f>
        <v/>
      </c>
    </row>
    <row r="20">
      <c r="A20" s="8" t="inlineStr">
        <is>
          <t>2026-2027</t>
        </is>
      </c>
      <c r="B20" s="14" t="inlineStr">
        <is>
          <t>Beverly BRIAULT [P080]</t>
        </is>
      </c>
      <c r="C20" s="15">
        <f>IFERROR(MID($B20,FIND("[",$B20)+1,FIND("]",$B20)-FIND("[",$B20)-1),"")</f>
        <v/>
      </c>
      <c r="D20" s="15">
        <f>IFERROR(INDEX(Personnes!$B$5:$B$153,MATCH($C20,Personnes!$A$5:$A$153,0))&amp;"","")</f>
        <v/>
      </c>
      <c r="E20" s="15">
        <f>IFERROR(INDEX(Personnes!$C$5:$C$153,MATCH($C20,Personnes!$A$5:$A$153,0))&amp;"","")</f>
        <v/>
      </c>
      <c r="F20" s="14" t="inlineStr">
        <is>
          <t>L2</t>
        </is>
      </c>
      <c r="G20" s="14" t="inlineStr">
        <is>
          <t>élève</t>
        </is>
      </c>
      <c r="H20" s="14" t="inlineStr">
        <is>
          <t>classeur</t>
        </is>
      </c>
      <c r="I20" s="16" t="n">
        <v>46272</v>
      </c>
      <c r="J20" s="16" t="n"/>
      <c r="K20" s="18" t="n"/>
      <c r="L20" s="18" t="n"/>
      <c r="M20" s="15">
        <f>IF($B20="","",IF($C20="","personne non reconnue",IF(ISERROR(SEARCH(TRIM($E20&amp;" "&amp;$D20),$B20)),"libellé incohérent avec l’identifiant",IF(COUNTIFS($A$5:$A$500,$A20,$C$5:$C$500,$C20,$F$5:$F$500,$F20,$G$5:$G$500,$G20)&gt;1,"doublon",IF($F20="","groupe manquant",IF($G20="","rôle manquant",IF($H20="","support de saisie manquant",IF(AND($I20&lt;&gt;"",$J20&lt;&gt;"",$J20&lt;$I20),"date de fin antérieure à la date de début",IF(AND($G20="encadrant",IFERROR(INDEX(Personnes!$F$5:$F$153,MATCH($C20,Personnes!$A$5:$A$153,0)),"")=""),"courriel encadrant manquant","ok")))))))))</f>
        <v/>
      </c>
    </row>
    <row r="21">
      <c r="A21" s="8" t="inlineStr">
        <is>
          <t>2026-2027</t>
        </is>
      </c>
      <c r="B21" s="14" t="inlineStr">
        <is>
          <t>Philippe BRIDENNE [P056]</t>
        </is>
      </c>
      <c r="C21" s="15">
        <f>IFERROR(MID($B21,FIND("[",$B21)+1,FIND("]",$B21)-FIND("[",$B21)-1),"")</f>
        <v/>
      </c>
      <c r="D21" s="15">
        <f>IFERROR(INDEX(Personnes!$B$5:$B$153,MATCH($C21,Personnes!$A$5:$A$153,0))&amp;"","")</f>
        <v/>
      </c>
      <c r="E21" s="15">
        <f>IFERROR(INDEX(Personnes!$C$5:$C$153,MATCH($C21,Personnes!$A$5:$A$153,0))&amp;"","")</f>
        <v/>
      </c>
      <c r="F21" s="14" t="inlineStr">
        <is>
          <t>L2</t>
        </is>
      </c>
      <c r="G21" s="14" t="inlineStr">
        <is>
          <t>élève</t>
        </is>
      </c>
      <c r="H21" s="14" t="inlineStr">
        <is>
          <t>classeur</t>
        </is>
      </c>
      <c r="I21" s="16" t="n">
        <v>46272</v>
      </c>
      <c r="J21" s="16" t="n"/>
      <c r="K21" s="18" t="n"/>
      <c r="L21" s="18" t="n"/>
      <c r="M21" s="15">
        <f>IF($B21="","",IF($C21="","personne non reconnue",IF(ISERROR(SEARCH(TRIM($E21&amp;" "&amp;$D21),$B21)),"libellé incohérent avec l’identifiant",IF(COUNTIFS($A$5:$A$500,$A21,$C$5:$C$500,$C21,$F$5:$F$500,$F21,$G$5:$G$500,$G21)&gt;1,"doublon",IF($F21="","groupe manquant",IF($G21="","rôle manquant",IF($H21="","support de saisie manquant",IF(AND($I21&lt;&gt;"",$J21&lt;&gt;"",$J21&lt;$I21),"date de fin antérieure à la date de début",IF(AND($G21="encadrant",IFERROR(INDEX(Personnes!$F$5:$F$153,MATCH($C21,Personnes!$A$5:$A$153,0)),"")=""),"courriel encadrant manquant","ok")))))))))</f>
        <v/>
      </c>
    </row>
    <row r="22">
      <c r="A22" s="8" t="inlineStr">
        <is>
          <t>2026-2027</t>
        </is>
      </c>
      <c r="B22" s="14" t="inlineStr">
        <is>
          <t>Virginie CATHALA [P081]</t>
        </is>
      </c>
      <c r="C22" s="15">
        <f>IFERROR(MID($B22,FIND("[",$B22)+1,FIND("]",$B22)-FIND("[",$B22)-1),"")</f>
        <v/>
      </c>
      <c r="D22" s="15">
        <f>IFERROR(INDEX(Personnes!$B$5:$B$153,MATCH($C22,Personnes!$A$5:$A$153,0))&amp;"","")</f>
        <v/>
      </c>
      <c r="E22" s="15">
        <f>IFERROR(INDEX(Personnes!$C$5:$C$153,MATCH($C22,Personnes!$A$5:$A$153,0))&amp;"","")</f>
        <v/>
      </c>
      <c r="F22" s="14" t="inlineStr">
        <is>
          <t>L2</t>
        </is>
      </c>
      <c r="G22" s="14" t="inlineStr">
        <is>
          <t>élève</t>
        </is>
      </c>
      <c r="H22" s="14" t="inlineStr">
        <is>
          <t>classeur</t>
        </is>
      </c>
      <c r="I22" s="16" t="n">
        <v>46272</v>
      </c>
      <c r="J22" s="16" t="n"/>
      <c r="K22" s="18" t="n"/>
      <c r="L22" s="18" t="n"/>
      <c r="M22" s="15">
        <f>IF($B22="","",IF($C22="","personne non reconnue",IF(ISERROR(SEARCH(TRIM($E22&amp;" "&amp;$D22),$B22)),"libellé incohérent avec l’identifiant",IF(COUNTIFS($A$5:$A$500,$A22,$C$5:$C$500,$C22,$F$5:$F$500,$F22,$G$5:$G$500,$G22)&gt;1,"doublon",IF($F22="","groupe manquant",IF($G22="","rôle manquant",IF($H22="","support de saisie manquant",IF(AND($I22&lt;&gt;"",$J22&lt;&gt;"",$J22&lt;$I22),"date de fin antérieure à la date de début",IF(AND($G22="encadrant",IFERROR(INDEX(Personnes!$F$5:$F$153,MATCH($C22,Personnes!$A$5:$A$153,0)),"")=""),"courriel encadrant manquant","ok")))))))))</f>
        <v/>
      </c>
    </row>
    <row r="23">
      <c r="A23" s="8" t="inlineStr">
        <is>
          <t>2026-2027</t>
        </is>
      </c>
      <c r="B23" s="14" t="inlineStr">
        <is>
          <t>Victorinne CHARDONNET [P031]</t>
        </is>
      </c>
      <c r="C23" s="15">
        <f>IFERROR(MID($B23,FIND("[",$B23)+1,FIND("]",$B23)-FIND("[",$B23)-1),"")</f>
        <v/>
      </c>
      <c r="D23" s="15">
        <f>IFERROR(INDEX(Personnes!$B$5:$B$153,MATCH($C23,Personnes!$A$5:$A$153,0))&amp;"","")</f>
        <v/>
      </c>
      <c r="E23" s="15">
        <f>IFERROR(INDEX(Personnes!$C$5:$C$153,MATCH($C23,Personnes!$A$5:$A$153,0))&amp;"","")</f>
        <v/>
      </c>
      <c r="F23" s="14" t="inlineStr">
        <is>
          <t>L2</t>
        </is>
      </c>
      <c r="G23" s="14" t="inlineStr">
        <is>
          <t>élève</t>
        </is>
      </c>
      <c r="H23" s="14" t="inlineStr">
        <is>
          <t>classeur</t>
        </is>
      </c>
      <c r="I23" s="16" t="n">
        <v>46272</v>
      </c>
      <c r="J23" s="16" t="n"/>
      <c r="K23" s="18" t="n"/>
      <c r="L23" s="18" t="n"/>
      <c r="M23" s="15">
        <f>IF($B23="","",IF($C23="","personne non reconnue",IF(ISERROR(SEARCH(TRIM($E23&amp;" "&amp;$D23),$B23)),"libellé incohérent avec l’identifiant",IF(COUNTIFS($A$5:$A$500,$A23,$C$5:$C$500,$C23,$F$5:$F$500,$F23,$G$5:$G$500,$G23)&gt;1,"doublon",IF($F23="","groupe manquant",IF($G23="","rôle manquant",IF($H23="","support de saisie manquant",IF(AND($I23&lt;&gt;"",$J23&lt;&gt;"",$J23&lt;$I23),"date de fin antérieure à la date de début",IF(AND($G23="encadrant",IFERROR(INDEX(Personnes!$F$5:$F$153,MATCH($C23,Personnes!$A$5:$A$153,0)),"")=""),"courriel encadrant manquant","ok")))))))))</f>
        <v/>
      </c>
    </row>
    <row r="24">
      <c r="A24" s="8" t="inlineStr">
        <is>
          <t>2026-2027</t>
        </is>
      </c>
      <c r="B24" s="14" t="inlineStr">
        <is>
          <t>Franco CODAZZO [P082]</t>
        </is>
      </c>
      <c r="C24" s="15">
        <f>IFERROR(MID($B24,FIND("[",$B24)+1,FIND("]",$B24)-FIND("[",$B24)-1),"")</f>
        <v/>
      </c>
      <c r="D24" s="15">
        <f>IFERROR(INDEX(Personnes!$B$5:$B$153,MATCH($C24,Personnes!$A$5:$A$153,0))&amp;"","")</f>
        <v/>
      </c>
      <c r="E24" s="15">
        <f>IFERROR(INDEX(Personnes!$C$5:$C$153,MATCH($C24,Personnes!$A$5:$A$153,0))&amp;"","")</f>
        <v/>
      </c>
      <c r="F24" s="14" t="inlineStr">
        <is>
          <t>L2</t>
        </is>
      </c>
      <c r="G24" s="14" t="inlineStr">
        <is>
          <t>élève</t>
        </is>
      </c>
      <c r="H24" s="14" t="inlineStr">
        <is>
          <t>classeur</t>
        </is>
      </c>
      <c r="I24" s="16" t="n">
        <v>46272</v>
      </c>
      <c r="J24" s="16" t="n"/>
      <c r="K24" s="18" t="n"/>
      <c r="L24" s="18" t="n"/>
      <c r="M24" s="15">
        <f>IF($B24="","",IF($C24="","personne non reconnue",IF(ISERROR(SEARCH(TRIM($E24&amp;" "&amp;$D24),$B24)),"libellé incohérent avec l’identifiant",IF(COUNTIFS($A$5:$A$500,$A24,$C$5:$C$500,$C24,$F$5:$F$500,$F24,$G$5:$G$500,$G24)&gt;1,"doublon",IF($F24="","groupe manquant",IF($G24="","rôle manquant",IF($H24="","support de saisie manquant",IF(AND($I24&lt;&gt;"",$J24&lt;&gt;"",$J24&lt;$I24),"date de fin antérieure à la date de début",IF(AND($G24="encadrant",IFERROR(INDEX(Personnes!$F$5:$F$153,MATCH($C24,Personnes!$A$5:$A$153,0)),"")=""),"courriel encadrant manquant","ok")))))))))</f>
        <v/>
      </c>
    </row>
    <row r="25">
      <c r="A25" s="8" t="inlineStr">
        <is>
          <t>2026-2027</t>
        </is>
      </c>
      <c r="B25" s="14" t="inlineStr">
        <is>
          <t>Sandra CORNET-VERNET [P083]</t>
        </is>
      </c>
      <c r="C25" s="15">
        <f>IFERROR(MID($B25,FIND("[",$B25)+1,FIND("]",$B25)-FIND("[",$B25)-1),"")</f>
        <v/>
      </c>
      <c r="D25" s="15">
        <f>IFERROR(INDEX(Personnes!$B$5:$B$153,MATCH($C25,Personnes!$A$5:$A$153,0))&amp;"","")</f>
        <v/>
      </c>
      <c r="E25" s="15">
        <f>IFERROR(INDEX(Personnes!$C$5:$C$153,MATCH($C25,Personnes!$A$5:$A$153,0))&amp;"","")</f>
        <v/>
      </c>
      <c r="F25" s="14" t="inlineStr">
        <is>
          <t>L2</t>
        </is>
      </c>
      <c r="G25" s="14" t="inlineStr">
        <is>
          <t>élève</t>
        </is>
      </c>
      <c r="H25" s="14" t="inlineStr">
        <is>
          <t>classeur</t>
        </is>
      </c>
      <c r="I25" s="16" t="n">
        <v>46272</v>
      </c>
      <c r="J25" s="16" t="n"/>
      <c r="K25" s="18" t="n"/>
      <c r="L25" s="18" t="n"/>
      <c r="M25" s="15">
        <f>IF($B25="","",IF($C25="","personne non reconnue",IF(ISERROR(SEARCH(TRIM($E25&amp;" "&amp;$D25),$B25)),"libellé incohérent avec l’identifiant",IF(COUNTIFS($A$5:$A$500,$A25,$C$5:$C$500,$C25,$F$5:$F$500,$F25,$G$5:$G$500,$G25)&gt;1,"doublon",IF($F25="","groupe manquant",IF($G25="","rôle manquant",IF($H25="","support de saisie manquant",IF(AND($I25&lt;&gt;"",$J25&lt;&gt;"",$J25&lt;$I25),"date de fin antérieure à la date de début",IF(AND($G25="encadrant",IFERROR(INDEX(Personnes!$F$5:$F$153,MATCH($C25,Personnes!$A$5:$A$153,0)),"")=""),"courriel encadrant manquant","ok")))))))))</f>
        <v/>
      </c>
    </row>
    <row r="26">
      <c r="A26" s="8" t="inlineStr">
        <is>
          <t>2026-2027</t>
        </is>
      </c>
      <c r="B26" s="14" t="inlineStr">
        <is>
          <t>Monia COSSAIS [P084]</t>
        </is>
      </c>
      <c r="C26" s="15">
        <f>IFERROR(MID($B26,FIND("[",$B26)+1,FIND("]",$B26)-FIND("[",$B26)-1),"")</f>
        <v/>
      </c>
      <c r="D26" s="15">
        <f>IFERROR(INDEX(Personnes!$B$5:$B$153,MATCH($C26,Personnes!$A$5:$A$153,0))&amp;"","")</f>
        <v/>
      </c>
      <c r="E26" s="15">
        <f>IFERROR(INDEX(Personnes!$C$5:$C$153,MATCH($C26,Personnes!$A$5:$A$153,0))&amp;"","")</f>
        <v/>
      </c>
      <c r="F26" s="14" t="inlineStr">
        <is>
          <t>L2</t>
        </is>
      </c>
      <c r="G26" s="14" t="inlineStr">
        <is>
          <t>élève</t>
        </is>
      </c>
      <c r="H26" s="14" t="inlineStr">
        <is>
          <t>classeur</t>
        </is>
      </c>
      <c r="I26" s="16" t="n">
        <v>46272</v>
      </c>
      <c r="J26" s="16" t="n"/>
      <c r="K26" s="18" t="n"/>
      <c r="L26" s="18" t="n"/>
      <c r="M26" s="15">
        <f>IF($B26="","",IF($C26="","personne non reconnue",IF(ISERROR(SEARCH(TRIM($E26&amp;" "&amp;$D26),$B26)),"libellé incohérent avec l’identifiant",IF(COUNTIFS($A$5:$A$500,$A26,$C$5:$C$500,$C26,$F$5:$F$500,$F26,$G$5:$G$500,$G26)&gt;1,"doublon",IF($F26="","groupe manquant",IF($G26="","rôle manquant",IF($H26="","support de saisie manquant",IF(AND($I26&lt;&gt;"",$J26&lt;&gt;"",$J26&lt;$I26),"date de fin antérieure à la date de début",IF(AND($G26="encadrant",IFERROR(INDEX(Personnes!$F$5:$F$153,MATCH($C26,Personnes!$A$5:$A$153,0)),"")=""),"courriel encadrant manquant","ok")))))))))</f>
        <v/>
      </c>
    </row>
    <row r="27">
      <c r="A27" s="8" t="inlineStr">
        <is>
          <t>2026-2027</t>
        </is>
      </c>
      <c r="B27" s="14" t="inlineStr">
        <is>
          <t>Arnaud DE LA BRETESCHE [P085]</t>
        </is>
      </c>
      <c r="C27" s="15">
        <f>IFERROR(MID($B27,FIND("[",$B27)+1,FIND("]",$B27)-FIND("[",$B27)-1),"")</f>
        <v/>
      </c>
      <c r="D27" s="15">
        <f>IFERROR(INDEX(Personnes!$B$5:$B$153,MATCH($C27,Personnes!$A$5:$A$153,0))&amp;"","")</f>
        <v/>
      </c>
      <c r="E27" s="15">
        <f>IFERROR(INDEX(Personnes!$C$5:$C$153,MATCH($C27,Personnes!$A$5:$A$153,0))&amp;"","")</f>
        <v/>
      </c>
      <c r="F27" s="14" t="inlineStr">
        <is>
          <t>L2</t>
        </is>
      </c>
      <c r="G27" s="14" t="inlineStr">
        <is>
          <t>élève</t>
        </is>
      </c>
      <c r="H27" s="14" t="inlineStr">
        <is>
          <t>classeur</t>
        </is>
      </c>
      <c r="I27" s="16" t="n">
        <v>46272</v>
      </c>
      <c r="J27" s="16" t="n"/>
      <c r="K27" s="18" t="n"/>
      <c r="L27" s="18" t="n"/>
      <c r="M27" s="15">
        <f>IF($B27="","",IF($C27="","personne non reconnue",IF(ISERROR(SEARCH(TRIM($E27&amp;" "&amp;$D27),$B27)),"libellé incohérent avec l’identifiant",IF(COUNTIFS($A$5:$A$500,$A27,$C$5:$C$500,$C27,$F$5:$F$500,$F27,$G$5:$G$500,$G27)&gt;1,"doublon",IF($F27="","groupe manquant",IF($G27="","rôle manquant",IF($H27="","support de saisie manquant",IF(AND($I27&lt;&gt;"",$J27&lt;&gt;"",$J27&lt;$I27),"date de fin antérieure à la date de début",IF(AND($G27="encadrant",IFERROR(INDEX(Personnes!$F$5:$F$153,MATCH($C27,Personnes!$A$5:$A$153,0)),"")=""),"courriel encadrant manquant","ok")))))))))</f>
        <v/>
      </c>
    </row>
    <row r="28">
      <c r="A28" s="8" t="inlineStr">
        <is>
          <t>2026-2027</t>
        </is>
      </c>
      <c r="B28" s="14" t="inlineStr">
        <is>
          <t>Alain DEPRETZ [P086]</t>
        </is>
      </c>
      <c r="C28" s="15">
        <f>IFERROR(MID($B28,FIND("[",$B28)+1,FIND("]",$B28)-FIND("[",$B28)-1),"")</f>
        <v/>
      </c>
      <c r="D28" s="15">
        <f>IFERROR(INDEX(Personnes!$B$5:$B$153,MATCH($C28,Personnes!$A$5:$A$153,0))&amp;"","")</f>
        <v/>
      </c>
      <c r="E28" s="15">
        <f>IFERROR(INDEX(Personnes!$C$5:$C$153,MATCH($C28,Personnes!$A$5:$A$153,0))&amp;"","")</f>
        <v/>
      </c>
      <c r="F28" s="14" t="inlineStr">
        <is>
          <t>L2</t>
        </is>
      </c>
      <c r="G28" s="14" t="inlineStr">
        <is>
          <t>élève</t>
        </is>
      </c>
      <c r="H28" s="14" t="inlineStr">
        <is>
          <t>classeur</t>
        </is>
      </c>
      <c r="I28" s="16" t="n">
        <v>46272</v>
      </c>
      <c r="J28" s="16" t="n"/>
      <c r="K28" s="18" t="n"/>
      <c r="L28" s="18" t="n"/>
      <c r="M28" s="15">
        <f>IF($B28="","",IF($C28="","personne non reconnue",IF(ISERROR(SEARCH(TRIM($E28&amp;" "&amp;$D28),$B28)),"libellé incohérent avec l’identifiant",IF(COUNTIFS($A$5:$A$500,$A28,$C$5:$C$500,$C28,$F$5:$F$500,$F28,$G$5:$G$500,$G28)&gt;1,"doublon",IF($F28="","groupe manquant",IF($G28="","rôle manquant",IF($H28="","support de saisie manquant",IF(AND($I28&lt;&gt;"",$J28&lt;&gt;"",$J28&lt;$I28),"date de fin antérieure à la date de début",IF(AND($G28="encadrant",IFERROR(INDEX(Personnes!$F$5:$F$153,MATCH($C28,Personnes!$A$5:$A$153,0)),"")=""),"courriel encadrant manquant","ok")))))))))</f>
        <v/>
      </c>
    </row>
    <row r="29">
      <c r="A29" s="8" t="inlineStr">
        <is>
          <t>2026-2027</t>
        </is>
      </c>
      <c r="B29" s="14" t="inlineStr">
        <is>
          <t>Céline DUBUISSON [P087]</t>
        </is>
      </c>
      <c r="C29" s="15">
        <f>IFERROR(MID($B29,FIND("[",$B29)+1,FIND("]",$B29)-FIND("[",$B29)-1),"")</f>
        <v/>
      </c>
      <c r="D29" s="15">
        <f>IFERROR(INDEX(Personnes!$B$5:$B$153,MATCH($C29,Personnes!$A$5:$A$153,0))&amp;"","")</f>
        <v/>
      </c>
      <c r="E29" s="15">
        <f>IFERROR(INDEX(Personnes!$C$5:$C$153,MATCH($C29,Personnes!$A$5:$A$153,0))&amp;"","")</f>
        <v/>
      </c>
      <c r="F29" s="14" t="inlineStr">
        <is>
          <t>L2</t>
        </is>
      </c>
      <c r="G29" s="14" t="inlineStr">
        <is>
          <t>élève</t>
        </is>
      </c>
      <c r="H29" s="14" t="inlineStr">
        <is>
          <t>classeur</t>
        </is>
      </c>
      <c r="I29" s="16" t="n">
        <v>46272</v>
      </c>
      <c r="J29" s="16" t="n"/>
      <c r="K29" s="18" t="n"/>
      <c r="L29" s="18" t="n"/>
      <c r="M29" s="15">
        <f>IF($B29="","",IF($C29="","personne non reconnue",IF(ISERROR(SEARCH(TRIM($E29&amp;" "&amp;$D29),$B29)),"libellé incohérent avec l’identifiant",IF(COUNTIFS($A$5:$A$500,$A29,$C$5:$C$500,$C29,$F$5:$F$500,$F29,$G$5:$G$500,$G29)&gt;1,"doublon",IF($F29="","groupe manquant",IF($G29="","rôle manquant",IF($H29="","support de saisie manquant",IF(AND($I29&lt;&gt;"",$J29&lt;&gt;"",$J29&lt;$I29),"date de fin antérieure à la date de début",IF(AND($G29="encadrant",IFERROR(INDEX(Personnes!$F$5:$F$153,MATCH($C29,Personnes!$A$5:$A$153,0)),"")=""),"courriel encadrant manquant","ok")))))))))</f>
        <v/>
      </c>
    </row>
    <row r="30">
      <c r="A30" s="8" t="inlineStr">
        <is>
          <t>2026-2027</t>
        </is>
      </c>
      <c r="B30" s="14" t="inlineStr">
        <is>
          <t>Alain FIOR [P088]</t>
        </is>
      </c>
      <c r="C30" s="15">
        <f>IFERROR(MID($B30,FIND("[",$B30)+1,FIND("]",$B30)-FIND("[",$B30)-1),"")</f>
        <v/>
      </c>
      <c r="D30" s="15">
        <f>IFERROR(INDEX(Personnes!$B$5:$B$153,MATCH($C30,Personnes!$A$5:$A$153,0))&amp;"","")</f>
        <v/>
      </c>
      <c r="E30" s="15">
        <f>IFERROR(INDEX(Personnes!$C$5:$C$153,MATCH($C30,Personnes!$A$5:$A$153,0))&amp;"","")</f>
        <v/>
      </c>
      <c r="F30" s="14" t="inlineStr">
        <is>
          <t>L2</t>
        </is>
      </c>
      <c r="G30" s="14" t="inlineStr">
        <is>
          <t>élève</t>
        </is>
      </c>
      <c r="H30" s="14" t="inlineStr">
        <is>
          <t>classeur</t>
        </is>
      </c>
      <c r="I30" s="16" t="n">
        <v>46272</v>
      </c>
      <c r="J30" s="16" t="n"/>
      <c r="K30" s="18" t="n"/>
      <c r="L30" s="18" t="n"/>
      <c r="M30" s="15">
        <f>IF($B30="","",IF($C30="","personne non reconnue",IF(ISERROR(SEARCH(TRIM($E30&amp;" "&amp;$D30),$B30)),"libellé incohérent avec l’identifiant",IF(COUNTIFS($A$5:$A$500,$A30,$C$5:$C$500,$C30,$F$5:$F$500,$F30,$G$5:$G$500,$G30)&gt;1,"doublon",IF($F30="","groupe manquant",IF($G30="","rôle manquant",IF($H30="","support de saisie manquant",IF(AND($I30&lt;&gt;"",$J30&lt;&gt;"",$J30&lt;$I30),"date de fin antérieure à la date de début",IF(AND($G30="encadrant",IFERROR(INDEX(Personnes!$F$5:$F$153,MATCH($C30,Personnes!$A$5:$A$153,0)),"")=""),"courriel encadrant manquant","ok")))))))))</f>
        <v/>
      </c>
    </row>
    <row r="31">
      <c r="A31" s="8" t="inlineStr">
        <is>
          <t>2026-2027</t>
        </is>
      </c>
      <c r="B31" s="14" t="inlineStr">
        <is>
          <t>Laurent GARCIA [P089]</t>
        </is>
      </c>
      <c r="C31" s="15">
        <f>IFERROR(MID($B31,FIND("[",$B31)+1,FIND("]",$B31)-FIND("[",$B31)-1),"")</f>
        <v/>
      </c>
      <c r="D31" s="15">
        <f>IFERROR(INDEX(Personnes!$B$5:$B$153,MATCH($C31,Personnes!$A$5:$A$153,0))&amp;"","")</f>
        <v/>
      </c>
      <c r="E31" s="15">
        <f>IFERROR(INDEX(Personnes!$C$5:$C$153,MATCH($C31,Personnes!$A$5:$A$153,0))&amp;"","")</f>
        <v/>
      </c>
      <c r="F31" s="14" t="inlineStr">
        <is>
          <t>L2</t>
        </is>
      </c>
      <c r="G31" s="14" t="inlineStr">
        <is>
          <t>élève</t>
        </is>
      </c>
      <c r="H31" s="14" t="inlineStr">
        <is>
          <t>classeur</t>
        </is>
      </c>
      <c r="I31" s="16" t="n">
        <v>46272</v>
      </c>
      <c r="J31" s="16" t="n"/>
      <c r="K31" s="18" t="n"/>
      <c r="L31" s="18" t="n"/>
      <c r="M31" s="15">
        <f>IF($B31="","",IF($C31="","personne non reconnue",IF(ISERROR(SEARCH(TRIM($E31&amp;" "&amp;$D31),$B31)),"libellé incohérent avec l’identifiant",IF(COUNTIFS($A$5:$A$500,$A31,$C$5:$C$500,$C31,$F$5:$F$500,$F31,$G$5:$G$500,$G31)&gt;1,"doublon",IF($F31="","groupe manquant",IF($G31="","rôle manquant",IF($H31="","support de saisie manquant",IF(AND($I31&lt;&gt;"",$J31&lt;&gt;"",$J31&lt;$I31),"date de fin antérieure à la date de début",IF(AND($G31="encadrant",IFERROR(INDEX(Personnes!$F$5:$F$153,MATCH($C31,Personnes!$A$5:$A$153,0)),"")=""),"courriel encadrant manquant","ok")))))))))</f>
        <v/>
      </c>
    </row>
    <row r="32">
      <c r="A32" s="8" t="inlineStr">
        <is>
          <t>2026-2027</t>
        </is>
      </c>
      <c r="B32" s="14" t="inlineStr">
        <is>
          <t>Michael GRENIER [P032]</t>
        </is>
      </c>
      <c r="C32" s="15">
        <f>IFERROR(MID($B32,FIND("[",$B32)+1,FIND("]",$B32)-FIND("[",$B32)-1),"")</f>
        <v/>
      </c>
      <c r="D32" s="15">
        <f>IFERROR(INDEX(Personnes!$B$5:$B$153,MATCH($C32,Personnes!$A$5:$A$153,0))&amp;"","")</f>
        <v/>
      </c>
      <c r="E32" s="15">
        <f>IFERROR(INDEX(Personnes!$C$5:$C$153,MATCH($C32,Personnes!$A$5:$A$153,0))&amp;"","")</f>
        <v/>
      </c>
      <c r="F32" s="14" t="inlineStr">
        <is>
          <t>L2</t>
        </is>
      </c>
      <c r="G32" s="14" t="inlineStr">
        <is>
          <t>élève</t>
        </is>
      </c>
      <c r="H32" s="14" t="inlineStr">
        <is>
          <t>classeur</t>
        </is>
      </c>
      <c r="I32" s="16" t="n">
        <v>46272</v>
      </c>
      <c r="J32" s="16" t="n"/>
      <c r="K32" s="18" t="n"/>
      <c r="L32" s="18" t="n"/>
      <c r="M32" s="15">
        <f>IF($B32="","",IF($C32="","personne non reconnue",IF(ISERROR(SEARCH(TRIM($E32&amp;" "&amp;$D32),$B32)),"libellé incohérent avec l’identifiant",IF(COUNTIFS($A$5:$A$500,$A32,$C$5:$C$500,$C32,$F$5:$F$500,$F32,$G$5:$G$500,$G32)&gt;1,"doublon",IF($F32="","groupe manquant",IF($G32="","rôle manquant",IF($H32="","support de saisie manquant",IF(AND($I32&lt;&gt;"",$J32&lt;&gt;"",$J32&lt;$I32),"date de fin antérieure à la date de début",IF(AND($G32="encadrant",IFERROR(INDEX(Personnes!$F$5:$F$153,MATCH($C32,Personnes!$A$5:$A$153,0)),"")=""),"courriel encadrant manquant","ok")))))))))</f>
        <v/>
      </c>
    </row>
    <row r="33">
      <c r="A33" s="8" t="inlineStr">
        <is>
          <t>2026-2027</t>
        </is>
      </c>
      <c r="B33" s="14" t="inlineStr">
        <is>
          <t>Sylvie HERMANS [P090]</t>
        </is>
      </c>
      <c r="C33" s="15">
        <f>IFERROR(MID($B33,FIND("[",$B33)+1,FIND("]",$B33)-FIND("[",$B33)-1),"")</f>
        <v/>
      </c>
      <c r="D33" s="15">
        <f>IFERROR(INDEX(Personnes!$B$5:$B$153,MATCH($C33,Personnes!$A$5:$A$153,0))&amp;"","")</f>
        <v/>
      </c>
      <c r="E33" s="15">
        <f>IFERROR(INDEX(Personnes!$C$5:$C$153,MATCH($C33,Personnes!$A$5:$A$153,0))&amp;"","")</f>
        <v/>
      </c>
      <c r="F33" s="14" t="inlineStr">
        <is>
          <t>L2</t>
        </is>
      </c>
      <c r="G33" s="14" t="inlineStr">
        <is>
          <t>élève</t>
        </is>
      </c>
      <c r="H33" s="14" t="inlineStr">
        <is>
          <t>classeur</t>
        </is>
      </c>
      <c r="I33" s="16" t="n">
        <v>46272</v>
      </c>
      <c r="J33" s="16" t="n"/>
      <c r="K33" s="18" t="n"/>
      <c r="L33" s="18" t="n"/>
      <c r="M33" s="15">
        <f>IF($B33="","",IF($C33="","personne non reconnue",IF(ISERROR(SEARCH(TRIM($E33&amp;" "&amp;$D33),$B33)),"libellé incohérent avec l’identifiant",IF(COUNTIFS($A$5:$A$500,$A33,$C$5:$C$500,$C33,$F$5:$F$500,$F33,$G$5:$G$500,$G33)&gt;1,"doublon",IF($F33="","groupe manquant",IF($G33="","rôle manquant",IF($H33="","support de saisie manquant",IF(AND($I33&lt;&gt;"",$J33&lt;&gt;"",$J33&lt;$I33),"date de fin antérieure à la date de début",IF(AND($G33="encadrant",IFERROR(INDEX(Personnes!$F$5:$F$153,MATCH($C33,Personnes!$A$5:$A$153,0)),"")=""),"courriel encadrant manquant","ok")))))))))</f>
        <v/>
      </c>
    </row>
    <row r="34">
      <c r="A34" s="8" t="inlineStr">
        <is>
          <t>2026-2027</t>
        </is>
      </c>
      <c r="B34" s="14" t="inlineStr">
        <is>
          <t>Corinne LE BRIGAND [P052]</t>
        </is>
      </c>
      <c r="C34" s="15">
        <f>IFERROR(MID($B34,FIND("[",$B34)+1,FIND("]",$B34)-FIND("[",$B34)-1),"")</f>
        <v/>
      </c>
      <c r="D34" s="15">
        <f>IFERROR(INDEX(Personnes!$B$5:$B$153,MATCH($C34,Personnes!$A$5:$A$153,0))&amp;"","")</f>
        <v/>
      </c>
      <c r="E34" s="15">
        <f>IFERROR(INDEX(Personnes!$C$5:$C$153,MATCH($C34,Personnes!$A$5:$A$153,0))&amp;"","")</f>
        <v/>
      </c>
      <c r="F34" s="14" t="inlineStr">
        <is>
          <t>L2</t>
        </is>
      </c>
      <c r="G34" s="14" t="inlineStr">
        <is>
          <t>élève</t>
        </is>
      </c>
      <c r="H34" s="14" t="inlineStr">
        <is>
          <t>classeur</t>
        </is>
      </c>
      <c r="I34" s="16" t="n">
        <v>46272</v>
      </c>
      <c r="J34" s="16" t="n"/>
      <c r="K34" s="18" t="n"/>
      <c r="L34" s="18" t="n"/>
      <c r="M34" s="15">
        <f>IF($B34="","",IF($C34="","personne non reconnue",IF(ISERROR(SEARCH(TRIM($E34&amp;" "&amp;$D34),$B34)),"libellé incohérent avec l’identifiant",IF(COUNTIFS($A$5:$A$500,$A34,$C$5:$C$500,$C34,$F$5:$F$500,$F34,$G$5:$G$500,$G34)&gt;1,"doublon",IF($F34="","groupe manquant",IF($G34="","rôle manquant",IF($H34="","support de saisie manquant",IF(AND($I34&lt;&gt;"",$J34&lt;&gt;"",$J34&lt;$I34),"date de fin antérieure à la date de début",IF(AND($G34="encadrant",IFERROR(INDEX(Personnes!$F$5:$F$153,MATCH($C34,Personnes!$A$5:$A$153,0)),"")=""),"courriel encadrant manquant","ok")))))))))</f>
        <v/>
      </c>
    </row>
    <row r="35">
      <c r="A35" s="8" t="inlineStr">
        <is>
          <t>2026-2027</t>
        </is>
      </c>
      <c r="B35" s="14" t="inlineStr">
        <is>
          <t>Kévin MASGRAU [P091]</t>
        </is>
      </c>
      <c r="C35" s="15">
        <f>IFERROR(MID($B35,FIND("[",$B35)+1,FIND("]",$B35)-FIND("[",$B35)-1),"")</f>
        <v/>
      </c>
      <c r="D35" s="15">
        <f>IFERROR(INDEX(Personnes!$B$5:$B$153,MATCH($C35,Personnes!$A$5:$A$153,0))&amp;"","")</f>
        <v/>
      </c>
      <c r="E35" s="15">
        <f>IFERROR(INDEX(Personnes!$C$5:$C$153,MATCH($C35,Personnes!$A$5:$A$153,0))&amp;"","")</f>
        <v/>
      </c>
      <c r="F35" s="14" t="inlineStr">
        <is>
          <t>L2</t>
        </is>
      </c>
      <c r="G35" s="14" t="inlineStr">
        <is>
          <t>élève</t>
        </is>
      </c>
      <c r="H35" s="14" t="inlineStr">
        <is>
          <t>classeur</t>
        </is>
      </c>
      <c r="I35" s="16" t="n">
        <v>46272</v>
      </c>
      <c r="J35" s="16" t="n"/>
      <c r="K35" s="18" t="n"/>
      <c r="L35" s="18" t="n"/>
      <c r="M35" s="15">
        <f>IF($B35="","",IF($C35="","personne non reconnue",IF(ISERROR(SEARCH(TRIM($E35&amp;" "&amp;$D35),$B35)),"libellé incohérent avec l’identifiant",IF(COUNTIFS($A$5:$A$500,$A35,$C$5:$C$500,$C35,$F$5:$F$500,$F35,$G$5:$G$500,$G35)&gt;1,"doublon",IF($F35="","groupe manquant",IF($G35="","rôle manquant",IF($H35="","support de saisie manquant",IF(AND($I35&lt;&gt;"",$J35&lt;&gt;"",$J35&lt;$I35),"date de fin antérieure à la date de début",IF(AND($G35="encadrant",IFERROR(INDEX(Personnes!$F$5:$F$153,MATCH($C35,Personnes!$A$5:$A$153,0)),"")=""),"courriel encadrant manquant","ok")))))))))</f>
        <v/>
      </c>
    </row>
    <row r="36">
      <c r="A36" s="8" t="inlineStr">
        <is>
          <t>2026-2027</t>
        </is>
      </c>
      <c r="B36" s="14" t="inlineStr">
        <is>
          <t>Isabelle NIGEN [P092]</t>
        </is>
      </c>
      <c r="C36" s="15">
        <f>IFERROR(MID($B36,FIND("[",$B36)+1,FIND("]",$B36)-FIND("[",$B36)-1),"")</f>
        <v/>
      </c>
      <c r="D36" s="15">
        <f>IFERROR(INDEX(Personnes!$B$5:$B$153,MATCH($C36,Personnes!$A$5:$A$153,0))&amp;"","")</f>
        <v/>
      </c>
      <c r="E36" s="15">
        <f>IFERROR(INDEX(Personnes!$C$5:$C$153,MATCH($C36,Personnes!$A$5:$A$153,0))&amp;"","")</f>
        <v/>
      </c>
      <c r="F36" s="14" t="inlineStr">
        <is>
          <t>L2</t>
        </is>
      </c>
      <c r="G36" s="14" t="inlineStr">
        <is>
          <t>élève</t>
        </is>
      </c>
      <c r="H36" s="14" t="inlineStr">
        <is>
          <t>classeur</t>
        </is>
      </c>
      <c r="I36" s="16" t="n">
        <v>46272</v>
      </c>
      <c r="J36" s="16" t="n"/>
      <c r="K36" s="18" t="n"/>
      <c r="L36" s="18" t="n"/>
      <c r="M36" s="15">
        <f>IF($B36="","",IF($C36="","personne non reconnue",IF(ISERROR(SEARCH(TRIM($E36&amp;" "&amp;$D36),$B36)),"libellé incohérent avec l’identifiant",IF(COUNTIFS($A$5:$A$500,$A36,$C$5:$C$500,$C36,$F$5:$F$500,$F36,$G$5:$G$500,$G36)&gt;1,"doublon",IF($F36="","groupe manquant",IF($G36="","rôle manquant",IF($H36="","support de saisie manquant",IF(AND($I36&lt;&gt;"",$J36&lt;&gt;"",$J36&lt;$I36),"date de fin antérieure à la date de début",IF(AND($G36="encadrant",IFERROR(INDEX(Personnes!$F$5:$F$153,MATCH($C36,Personnes!$A$5:$A$153,0)),"")=""),"courriel encadrant manquant","ok")))))))))</f>
        <v/>
      </c>
    </row>
    <row r="37">
      <c r="A37" s="8" t="inlineStr">
        <is>
          <t>2026-2027</t>
        </is>
      </c>
      <c r="B37" s="14" t="inlineStr">
        <is>
          <t>Vincent NOËL [P093]</t>
        </is>
      </c>
      <c r="C37" s="15">
        <f>IFERROR(MID($B37,FIND("[",$B37)+1,FIND("]",$B37)-FIND("[",$B37)-1),"")</f>
        <v/>
      </c>
      <c r="D37" s="15">
        <f>IFERROR(INDEX(Personnes!$B$5:$B$153,MATCH($C37,Personnes!$A$5:$A$153,0))&amp;"","")</f>
        <v/>
      </c>
      <c r="E37" s="15">
        <f>IFERROR(INDEX(Personnes!$C$5:$C$153,MATCH($C37,Personnes!$A$5:$A$153,0))&amp;"","")</f>
        <v/>
      </c>
      <c r="F37" s="14" t="inlineStr">
        <is>
          <t>L2</t>
        </is>
      </c>
      <c r="G37" s="14" t="inlineStr">
        <is>
          <t>élève</t>
        </is>
      </c>
      <c r="H37" s="14" t="inlineStr">
        <is>
          <t>classeur</t>
        </is>
      </c>
      <c r="I37" s="16" t="n">
        <v>46272</v>
      </c>
      <c r="J37" s="16" t="n"/>
      <c r="K37" s="18" t="n"/>
      <c r="L37" s="18" t="n"/>
      <c r="M37" s="15">
        <f>IF($B37="","",IF($C37="","personne non reconnue",IF(ISERROR(SEARCH(TRIM($E37&amp;" "&amp;$D37),$B37)),"libellé incohérent avec l’identifiant",IF(COUNTIFS($A$5:$A$500,$A37,$C$5:$C$500,$C37,$F$5:$F$500,$F37,$G$5:$G$500,$G37)&gt;1,"doublon",IF($F37="","groupe manquant",IF($G37="","rôle manquant",IF($H37="","support de saisie manquant",IF(AND($I37&lt;&gt;"",$J37&lt;&gt;"",$J37&lt;$I37),"date de fin antérieure à la date de début",IF(AND($G37="encadrant",IFERROR(INDEX(Personnes!$F$5:$F$153,MATCH($C37,Personnes!$A$5:$A$153,0)),"")=""),"courriel encadrant manquant","ok")))))))))</f>
        <v/>
      </c>
    </row>
    <row r="38">
      <c r="A38" s="8" t="inlineStr">
        <is>
          <t>2026-2027</t>
        </is>
      </c>
      <c r="B38" s="14" t="inlineStr">
        <is>
          <t>Theo SEVEDO [P094]</t>
        </is>
      </c>
      <c r="C38" s="15">
        <f>IFERROR(MID($B38,FIND("[",$B38)+1,FIND("]",$B38)-FIND("[",$B38)-1),"")</f>
        <v/>
      </c>
      <c r="D38" s="15">
        <f>IFERROR(INDEX(Personnes!$B$5:$B$153,MATCH($C38,Personnes!$A$5:$A$153,0))&amp;"","")</f>
        <v/>
      </c>
      <c r="E38" s="15">
        <f>IFERROR(INDEX(Personnes!$C$5:$C$153,MATCH($C38,Personnes!$A$5:$A$153,0))&amp;"","")</f>
        <v/>
      </c>
      <c r="F38" s="14" t="inlineStr">
        <is>
          <t>L2</t>
        </is>
      </c>
      <c r="G38" s="14" t="inlineStr">
        <is>
          <t>élève</t>
        </is>
      </c>
      <c r="H38" s="14" t="inlineStr">
        <is>
          <t>classeur</t>
        </is>
      </c>
      <c r="I38" s="16" t="n">
        <v>46272</v>
      </c>
      <c r="J38" s="16" t="n"/>
      <c r="K38" s="18" t="n"/>
      <c r="L38" s="18" t="n"/>
      <c r="M38" s="15">
        <f>IF($B38="","",IF($C38="","personne non reconnue",IF(ISERROR(SEARCH(TRIM($E38&amp;" "&amp;$D38),$B38)),"libellé incohérent avec l’identifiant",IF(COUNTIFS($A$5:$A$500,$A38,$C$5:$C$500,$C38,$F$5:$F$500,$F38,$G$5:$G$500,$G38)&gt;1,"doublon",IF($F38="","groupe manquant",IF($G38="","rôle manquant",IF($H38="","support de saisie manquant",IF(AND($I38&lt;&gt;"",$J38&lt;&gt;"",$J38&lt;$I38),"date de fin antérieure à la date de début",IF(AND($G38="encadrant",IFERROR(INDEX(Personnes!$F$5:$F$153,MATCH($C38,Personnes!$A$5:$A$153,0)),"")=""),"courriel encadrant manquant","ok")))))))))</f>
        <v/>
      </c>
    </row>
    <row r="39">
      <c r="A39" s="8" t="inlineStr">
        <is>
          <t>2026-2027</t>
        </is>
      </c>
      <c r="B39" s="14" t="inlineStr">
        <is>
          <t>Marine TESSON [P095]</t>
        </is>
      </c>
      <c r="C39" s="15">
        <f>IFERROR(MID($B39,FIND("[",$B39)+1,FIND("]",$B39)-FIND("[",$B39)-1),"")</f>
        <v/>
      </c>
      <c r="D39" s="15">
        <f>IFERROR(INDEX(Personnes!$B$5:$B$153,MATCH($C39,Personnes!$A$5:$A$153,0))&amp;"","")</f>
        <v/>
      </c>
      <c r="E39" s="15">
        <f>IFERROR(INDEX(Personnes!$C$5:$C$153,MATCH($C39,Personnes!$A$5:$A$153,0))&amp;"","")</f>
        <v/>
      </c>
      <c r="F39" s="14" t="inlineStr">
        <is>
          <t>L2</t>
        </is>
      </c>
      <c r="G39" s="14" t="inlineStr">
        <is>
          <t>élève</t>
        </is>
      </c>
      <c r="H39" s="14" t="inlineStr">
        <is>
          <t>classeur</t>
        </is>
      </c>
      <c r="I39" s="16" t="n">
        <v>46272</v>
      </c>
      <c r="J39" s="16" t="n"/>
      <c r="K39" s="18" t="n"/>
      <c r="L39" s="18" t="n"/>
      <c r="M39" s="15">
        <f>IF($B39="","",IF($C39="","personne non reconnue",IF(ISERROR(SEARCH(TRIM($E39&amp;" "&amp;$D39),$B39)),"libellé incohérent avec l’identifiant",IF(COUNTIFS($A$5:$A$500,$A39,$C$5:$C$500,$C39,$F$5:$F$500,$F39,$G$5:$G$500,$G39)&gt;1,"doublon",IF($F39="","groupe manquant",IF($G39="","rôle manquant",IF($H39="","support de saisie manquant",IF(AND($I39&lt;&gt;"",$J39&lt;&gt;"",$J39&lt;$I39),"date de fin antérieure à la date de début",IF(AND($G39="encadrant",IFERROR(INDEX(Personnes!$F$5:$F$153,MATCH($C39,Personnes!$A$5:$A$153,0)),"")=""),"courriel encadrant manquant","ok")))))))))</f>
        <v/>
      </c>
    </row>
    <row r="40">
      <c r="A40" s="8" t="inlineStr">
        <is>
          <t>2026-2027</t>
        </is>
      </c>
      <c r="B40" s="14" t="inlineStr">
        <is>
          <t>Sylvie WALLON [P096]</t>
        </is>
      </c>
      <c r="C40" s="15">
        <f>IFERROR(MID($B40,FIND("[",$B40)+1,FIND("]",$B40)-FIND("[",$B40)-1),"")</f>
        <v/>
      </c>
      <c r="D40" s="15">
        <f>IFERROR(INDEX(Personnes!$B$5:$B$153,MATCH($C40,Personnes!$A$5:$A$153,0))&amp;"","")</f>
        <v/>
      </c>
      <c r="E40" s="15">
        <f>IFERROR(INDEX(Personnes!$C$5:$C$153,MATCH($C40,Personnes!$A$5:$A$153,0))&amp;"","")</f>
        <v/>
      </c>
      <c r="F40" s="14" t="inlineStr">
        <is>
          <t>L2</t>
        </is>
      </c>
      <c r="G40" s="14" t="inlineStr">
        <is>
          <t>élève</t>
        </is>
      </c>
      <c r="H40" s="14" t="inlineStr">
        <is>
          <t>classeur</t>
        </is>
      </c>
      <c r="I40" s="16" t="n">
        <v>46272</v>
      </c>
      <c r="J40" s="16" t="n"/>
      <c r="K40" s="18" t="n"/>
      <c r="L40" s="18" t="n"/>
      <c r="M40" s="15">
        <f>IF($B40="","",IF($C40="","personne non reconnue",IF(ISERROR(SEARCH(TRIM($E40&amp;" "&amp;$D40),$B40)),"libellé incohérent avec l’identifiant",IF(COUNTIFS($A$5:$A$500,$A40,$C$5:$C$500,$C40,$F$5:$F$500,$F40,$G$5:$G$500,$G40)&gt;1,"doublon",IF($F40="","groupe manquant",IF($G40="","rôle manquant",IF($H40="","support de saisie manquant",IF(AND($I40&lt;&gt;"",$J40&lt;&gt;"",$J40&lt;$I40),"date de fin antérieure à la date de début",IF(AND($G40="encadrant",IFERROR(INDEX(Personnes!$F$5:$F$153,MATCH($C40,Personnes!$A$5:$A$153,0)),"")=""),"courriel encadrant manquant","ok")))))))))</f>
        <v/>
      </c>
    </row>
    <row r="41">
      <c r="A41" s="8" t="inlineStr">
        <is>
          <t>2026-2027</t>
        </is>
      </c>
      <c r="B41" s="14" t="inlineStr">
        <is>
          <t>Gabrielle BEYL [P035]</t>
        </is>
      </c>
      <c r="C41" s="15">
        <f>IFERROR(MID($B41,FIND("[",$B41)+1,FIND("]",$B41)-FIND("[",$B41)-1),"")</f>
        <v/>
      </c>
      <c r="D41" s="15">
        <f>IFERROR(INDEX(Personnes!$B$5:$B$153,MATCH($C41,Personnes!$A$5:$A$153,0))&amp;"","")</f>
        <v/>
      </c>
      <c r="E41" s="15">
        <f>IFERROR(INDEX(Personnes!$C$5:$C$153,MATCH($C41,Personnes!$A$5:$A$153,0))&amp;"","")</f>
        <v/>
      </c>
      <c r="F41" s="14" t="inlineStr">
        <is>
          <t>L3</t>
        </is>
      </c>
      <c r="G41" s="14" t="inlineStr">
        <is>
          <t>encadrant</t>
        </is>
      </c>
      <c r="H41" s="14" t="inlineStr">
        <is>
          <t>classeur</t>
        </is>
      </c>
      <c r="I41" s="16" t="n">
        <v>46266</v>
      </c>
      <c r="J41" s="16" t="n"/>
      <c r="K41" s="18" t="n"/>
      <c r="L41" s="18" t="n"/>
      <c r="M41" s="15">
        <f>IF($B41="","",IF($C41="","personne non reconnue",IF(ISERROR(SEARCH(TRIM($E41&amp;" "&amp;$D41),$B41)),"libellé incohérent avec l’identifiant",IF(COUNTIFS($A$5:$A$500,$A41,$C$5:$C$500,$C41,$F$5:$F$500,$F41,$G$5:$G$500,$G41)&gt;1,"doublon",IF($F41="","groupe manquant",IF($G41="","rôle manquant",IF($H41="","support de saisie manquant",IF(AND($I41&lt;&gt;"",$J41&lt;&gt;"",$J41&lt;$I41),"date de fin antérieure à la date de début",IF(AND($G41="encadrant",IFERROR(INDEX(Personnes!$F$5:$F$153,MATCH($C41,Personnes!$A$5:$A$153,0)),"")=""),"courriel encadrant manquant","ok")))))))))</f>
        <v/>
      </c>
    </row>
    <row r="42">
      <c r="A42" s="8" t="inlineStr">
        <is>
          <t>2026-2027</t>
        </is>
      </c>
      <c r="B42" s="14" t="inlineStr">
        <is>
          <t>Etienne COLIN DE VERDIERE [P011]</t>
        </is>
      </c>
      <c r="C42" s="15">
        <f>IFERROR(MID($B42,FIND("[",$B42)+1,FIND("]",$B42)-FIND("[",$B42)-1),"")</f>
        <v/>
      </c>
      <c r="D42" s="15">
        <f>IFERROR(INDEX(Personnes!$B$5:$B$153,MATCH($C42,Personnes!$A$5:$A$153,0))&amp;"","")</f>
        <v/>
      </c>
      <c r="E42" s="15">
        <f>IFERROR(INDEX(Personnes!$C$5:$C$153,MATCH($C42,Personnes!$A$5:$A$153,0))&amp;"","")</f>
        <v/>
      </c>
      <c r="F42" s="14" t="inlineStr">
        <is>
          <t>L3</t>
        </is>
      </c>
      <c r="G42" s="14" t="inlineStr">
        <is>
          <t>encadrant</t>
        </is>
      </c>
      <c r="H42" s="14" t="inlineStr">
        <is>
          <t>classeur</t>
        </is>
      </c>
      <c r="I42" s="16" t="n">
        <v>46266</v>
      </c>
      <c r="J42" s="16" t="n"/>
      <c r="K42" s="18" t="n"/>
      <c r="L42" s="18" t="n"/>
      <c r="M42" s="15">
        <f>IF($B42="","",IF($C42="","personne non reconnue",IF(ISERROR(SEARCH(TRIM($E42&amp;" "&amp;$D42),$B42)),"libellé incohérent avec l’identifiant",IF(COUNTIFS($A$5:$A$500,$A42,$C$5:$C$500,$C42,$F$5:$F$500,$F42,$G$5:$G$500,$G42)&gt;1,"doublon",IF($F42="","groupe manquant",IF($G42="","rôle manquant",IF($H42="","support de saisie manquant",IF(AND($I42&lt;&gt;"",$J42&lt;&gt;"",$J42&lt;$I42),"date de fin antérieure à la date de début",IF(AND($G42="encadrant",IFERROR(INDEX(Personnes!$F$5:$F$153,MATCH($C42,Personnes!$A$5:$A$153,0)),"")=""),"courriel encadrant manquant","ok")))))))))</f>
        <v/>
      </c>
    </row>
    <row r="43">
      <c r="A43" s="8" t="inlineStr">
        <is>
          <t>2026-2027</t>
        </is>
      </c>
      <c r="B43" s="14" t="inlineStr">
        <is>
          <t>Alain GUEVEL [P001]</t>
        </is>
      </c>
      <c r="C43" s="15">
        <f>IFERROR(MID($B43,FIND("[",$B43)+1,FIND("]",$B43)-FIND("[",$B43)-1),"")</f>
        <v/>
      </c>
      <c r="D43" s="15">
        <f>IFERROR(INDEX(Personnes!$B$5:$B$153,MATCH($C43,Personnes!$A$5:$A$153,0))&amp;"","")</f>
        <v/>
      </c>
      <c r="E43" s="15">
        <f>IFERROR(INDEX(Personnes!$C$5:$C$153,MATCH($C43,Personnes!$A$5:$A$153,0))&amp;"","")</f>
        <v/>
      </c>
      <c r="F43" s="14" t="inlineStr">
        <is>
          <t>L3</t>
        </is>
      </c>
      <c r="G43" s="14" t="inlineStr">
        <is>
          <t>encadrant</t>
        </is>
      </c>
      <c r="H43" s="14" t="inlineStr">
        <is>
          <t>classeur</t>
        </is>
      </c>
      <c r="I43" s="16" t="n">
        <v>46266</v>
      </c>
      <c r="J43" s="16" t="n"/>
      <c r="K43" s="18" t="n"/>
      <c r="L43" s="18" t="n"/>
      <c r="M43" s="15">
        <f>IF($B43="","",IF($C43="","personne non reconnue",IF(ISERROR(SEARCH(TRIM($E43&amp;" "&amp;$D43),$B43)),"libellé incohérent avec l’identifiant",IF(COUNTIFS($A$5:$A$500,$A43,$C$5:$C$500,$C43,$F$5:$F$500,$F43,$G$5:$G$500,$G43)&gt;1,"doublon",IF($F43="","groupe manquant",IF($G43="","rôle manquant",IF($H43="","support de saisie manquant",IF(AND($I43&lt;&gt;"",$J43&lt;&gt;"",$J43&lt;$I43),"date de fin antérieure à la date de début",IF(AND($G43="encadrant",IFERROR(INDEX(Personnes!$F$5:$F$153,MATCH($C43,Personnes!$A$5:$A$153,0)),"")=""),"courriel encadrant manquant","ok")))))))))</f>
        <v/>
      </c>
    </row>
    <row r="44">
      <c r="A44" s="8" t="inlineStr">
        <is>
          <t>2026-2027</t>
        </is>
      </c>
      <c r="B44" s="14" t="inlineStr">
        <is>
          <t>Fred LE BRIGAND [P037]</t>
        </is>
      </c>
      <c r="C44" s="15">
        <f>IFERROR(MID($B44,FIND("[",$B44)+1,FIND("]",$B44)-FIND("[",$B44)-1),"")</f>
        <v/>
      </c>
      <c r="D44" s="15">
        <f>IFERROR(INDEX(Personnes!$B$5:$B$153,MATCH($C44,Personnes!$A$5:$A$153,0))&amp;"","")</f>
        <v/>
      </c>
      <c r="E44" s="15">
        <f>IFERROR(INDEX(Personnes!$C$5:$C$153,MATCH($C44,Personnes!$A$5:$A$153,0))&amp;"","")</f>
        <v/>
      </c>
      <c r="F44" s="14" t="inlineStr">
        <is>
          <t>L3</t>
        </is>
      </c>
      <c r="G44" s="14" t="inlineStr">
        <is>
          <t>encadrant</t>
        </is>
      </c>
      <c r="H44" s="14" t="inlineStr">
        <is>
          <t>classeur</t>
        </is>
      </c>
      <c r="I44" s="16" t="n">
        <v>46266</v>
      </c>
      <c r="J44" s="16" t="n"/>
      <c r="K44" s="18" t="n"/>
      <c r="L44" s="18" t="n"/>
      <c r="M44" s="15">
        <f>IF($B44="","",IF($C44="","personne non reconnue",IF(ISERROR(SEARCH(TRIM($E44&amp;" "&amp;$D44),$B44)),"libellé incohérent avec l’identifiant",IF(COUNTIFS($A$5:$A$500,$A44,$C$5:$C$500,$C44,$F$5:$F$500,$F44,$G$5:$G$500,$G44)&gt;1,"doublon",IF($F44="","groupe manquant",IF($G44="","rôle manquant",IF($H44="","support de saisie manquant",IF(AND($I44&lt;&gt;"",$J44&lt;&gt;"",$J44&lt;$I44),"date de fin antérieure à la date de début",IF(AND($G44="encadrant",IFERROR(INDEX(Personnes!$F$5:$F$153,MATCH($C44,Personnes!$A$5:$A$153,0)),"")=""),"courriel encadrant manquant","ok")))))))))</f>
        <v/>
      </c>
    </row>
    <row r="45">
      <c r="A45" s="8" t="inlineStr">
        <is>
          <t>2026-2027</t>
        </is>
      </c>
      <c r="B45" s="14" t="inlineStr">
        <is>
          <t>Sandry WALLON [P036]</t>
        </is>
      </c>
      <c r="C45" s="15">
        <f>IFERROR(MID($B45,FIND("[",$B45)+1,FIND("]",$B45)-FIND("[",$B45)-1),"")</f>
        <v/>
      </c>
      <c r="D45" s="15">
        <f>IFERROR(INDEX(Personnes!$B$5:$B$153,MATCH($C45,Personnes!$A$5:$A$153,0))&amp;"","")</f>
        <v/>
      </c>
      <c r="E45" s="15">
        <f>IFERROR(INDEX(Personnes!$C$5:$C$153,MATCH($C45,Personnes!$A$5:$A$153,0))&amp;"","")</f>
        <v/>
      </c>
      <c r="F45" s="14" t="inlineStr">
        <is>
          <t>L3</t>
        </is>
      </c>
      <c r="G45" s="14" t="inlineStr">
        <is>
          <t>encadrant</t>
        </is>
      </c>
      <c r="H45" s="14" t="inlineStr">
        <is>
          <t>classeur</t>
        </is>
      </c>
      <c r="I45" s="16" t="n">
        <v>46266</v>
      </c>
      <c r="J45" s="16" t="n"/>
      <c r="K45" s="18" t="n"/>
      <c r="L45" s="18" t="n"/>
      <c r="M45" s="15">
        <f>IF($B45="","",IF($C45="","personne non reconnue",IF(ISERROR(SEARCH(TRIM($E45&amp;" "&amp;$D45),$B45)),"libellé incohérent avec l’identifiant",IF(COUNTIFS($A$5:$A$500,$A45,$C$5:$C$500,$C45,$F$5:$F$500,$F45,$G$5:$G$500,$G45)&gt;1,"doublon",IF($F45="","groupe manquant",IF($G45="","rôle manquant",IF($H45="","support de saisie manquant",IF(AND($I45&lt;&gt;"",$J45&lt;&gt;"",$J45&lt;$I45),"date de fin antérieure à la date de début",IF(AND($G45="encadrant",IFERROR(INDEX(Personnes!$F$5:$F$153,MATCH($C45,Personnes!$A$5:$A$153,0)),"")=""),"courriel encadrant manquant","ok")))))))))</f>
        <v/>
      </c>
    </row>
    <row r="46">
      <c r="A46" s="8" t="inlineStr">
        <is>
          <t>2026-2027</t>
        </is>
      </c>
      <c r="B46" s="14" t="inlineStr">
        <is>
          <t>Aurelien BARBIER [P003]</t>
        </is>
      </c>
      <c r="C46" s="15">
        <f>IFERROR(MID($B46,FIND("[",$B46)+1,FIND("]",$B46)-FIND("[",$B46)-1),"")</f>
        <v/>
      </c>
      <c r="D46" s="15">
        <f>IFERROR(INDEX(Personnes!$B$5:$B$153,MATCH($C46,Personnes!$A$5:$A$153,0))&amp;"","")</f>
        <v/>
      </c>
      <c r="E46" s="15">
        <f>IFERROR(INDEX(Personnes!$C$5:$C$153,MATCH($C46,Personnes!$A$5:$A$153,0))&amp;"","")</f>
        <v/>
      </c>
      <c r="F46" s="14" t="inlineStr">
        <is>
          <t>L3</t>
        </is>
      </c>
      <c r="G46" s="14" t="inlineStr">
        <is>
          <t>élève</t>
        </is>
      </c>
      <c r="H46" s="14" t="inlineStr">
        <is>
          <t>classeur</t>
        </is>
      </c>
      <c r="I46" s="16" t="n">
        <v>46266</v>
      </c>
      <c r="J46" s="16" t="n"/>
      <c r="K46" s="18" t="n"/>
      <c r="L46" s="18" t="n"/>
      <c r="M46" s="15">
        <f>IF($B46="","",IF($C46="","personne non reconnue",IF(ISERROR(SEARCH(TRIM($E46&amp;" "&amp;$D46),$B46)),"libellé incohérent avec l’identifiant",IF(COUNTIFS($A$5:$A$500,$A46,$C$5:$C$500,$C46,$F$5:$F$500,$F46,$G$5:$G$500,$G46)&gt;1,"doublon",IF($F46="","groupe manquant",IF($G46="","rôle manquant",IF($H46="","support de saisie manquant",IF(AND($I46&lt;&gt;"",$J46&lt;&gt;"",$J46&lt;$I46),"date de fin antérieure à la date de début",IF(AND($G46="encadrant",IFERROR(INDEX(Personnes!$F$5:$F$153,MATCH($C46,Personnes!$A$5:$A$153,0)),"")=""),"courriel encadrant manquant","ok")))))))))</f>
        <v/>
      </c>
    </row>
    <row r="47">
      <c r="A47" s="8" t="inlineStr">
        <is>
          <t>2026-2027</t>
        </is>
      </c>
      <c r="B47" s="14" t="inlineStr">
        <is>
          <t>Salman BOUHAMMOU [P068]</t>
        </is>
      </c>
      <c r="C47" s="15">
        <f>IFERROR(MID($B47,FIND("[",$B47)+1,FIND("]",$B47)-FIND("[",$B47)-1),"")</f>
        <v/>
      </c>
      <c r="D47" s="15">
        <f>IFERROR(INDEX(Personnes!$B$5:$B$153,MATCH($C47,Personnes!$A$5:$A$153,0))&amp;"","")</f>
        <v/>
      </c>
      <c r="E47" s="15">
        <f>IFERROR(INDEX(Personnes!$C$5:$C$153,MATCH($C47,Personnes!$A$5:$A$153,0))&amp;"","")</f>
        <v/>
      </c>
      <c r="F47" s="14" t="inlineStr">
        <is>
          <t>L3</t>
        </is>
      </c>
      <c r="G47" s="14" t="inlineStr">
        <is>
          <t>élève</t>
        </is>
      </c>
      <c r="H47" s="14" t="inlineStr">
        <is>
          <t>classeur</t>
        </is>
      </c>
      <c r="I47" s="16" t="n">
        <v>46272</v>
      </c>
      <c r="J47" s="16" t="n"/>
      <c r="K47" s="18" t="n"/>
      <c r="L47" s="18" t="n"/>
      <c r="M47" s="15">
        <f>IF($B47="","",IF($C47="","personne non reconnue",IF(ISERROR(SEARCH(TRIM($E47&amp;" "&amp;$D47),$B47)),"libellé incohérent avec l’identifiant",IF(COUNTIFS($A$5:$A$500,$A47,$C$5:$C$500,$C47,$F$5:$F$500,$F47,$G$5:$G$500,$G47)&gt;1,"doublon",IF($F47="","groupe manquant",IF($G47="","rôle manquant",IF($H47="","support de saisie manquant",IF(AND($I47&lt;&gt;"",$J47&lt;&gt;"",$J47&lt;$I47),"date de fin antérieure à la date de début",IF(AND($G47="encadrant",IFERROR(INDEX(Personnes!$F$5:$F$153,MATCH($C47,Personnes!$A$5:$A$153,0)),"")=""),"courriel encadrant manquant","ok")))))))))</f>
        <v/>
      </c>
    </row>
    <row r="48">
      <c r="A48" s="8" t="inlineStr">
        <is>
          <t>2026-2027</t>
        </is>
      </c>
      <c r="B48" s="14" t="inlineStr">
        <is>
          <t>Magali CAVATORE [P069]</t>
        </is>
      </c>
      <c r="C48" s="15">
        <f>IFERROR(MID($B48,FIND("[",$B48)+1,FIND("]",$B48)-FIND("[",$B48)-1),"")</f>
        <v/>
      </c>
      <c r="D48" s="15">
        <f>IFERROR(INDEX(Personnes!$B$5:$B$153,MATCH($C48,Personnes!$A$5:$A$153,0))&amp;"","")</f>
        <v/>
      </c>
      <c r="E48" s="15">
        <f>IFERROR(INDEX(Personnes!$C$5:$C$153,MATCH($C48,Personnes!$A$5:$A$153,0))&amp;"","")</f>
        <v/>
      </c>
      <c r="F48" s="14" t="inlineStr">
        <is>
          <t>L3</t>
        </is>
      </c>
      <c r="G48" s="14" t="inlineStr">
        <is>
          <t>élève</t>
        </is>
      </c>
      <c r="H48" s="14" t="inlineStr">
        <is>
          <t>classeur</t>
        </is>
      </c>
      <c r="I48" s="16" t="n">
        <v>46272</v>
      </c>
      <c r="J48" s="16" t="n"/>
      <c r="K48" s="18" t="n"/>
      <c r="L48" s="18" t="n"/>
      <c r="M48" s="15">
        <f>IF($B48="","",IF($C48="","personne non reconnue",IF(ISERROR(SEARCH(TRIM($E48&amp;" "&amp;$D48),$B48)),"libellé incohérent avec l’identifiant",IF(COUNTIFS($A$5:$A$500,$A48,$C$5:$C$500,$C48,$F$5:$F$500,$F48,$G$5:$G$500,$G48)&gt;1,"doublon",IF($F48="","groupe manquant",IF($G48="","rôle manquant",IF($H48="","support de saisie manquant",IF(AND($I48&lt;&gt;"",$J48&lt;&gt;"",$J48&lt;$I48),"date de fin antérieure à la date de début",IF(AND($G48="encadrant",IFERROR(INDEX(Personnes!$F$5:$F$153,MATCH($C48,Personnes!$A$5:$A$153,0)),"")=""),"courriel encadrant manquant","ok")))))))))</f>
        <v/>
      </c>
    </row>
    <row r="49">
      <c r="A49" s="8" t="inlineStr">
        <is>
          <t>2026-2027</t>
        </is>
      </c>
      <c r="B49" s="14" t="inlineStr">
        <is>
          <t>Matthieu CHIARAMONTE [P022]</t>
        </is>
      </c>
      <c r="C49" s="15">
        <f>IFERROR(MID($B49,FIND("[",$B49)+1,FIND("]",$B49)-FIND("[",$B49)-1),"")</f>
        <v/>
      </c>
      <c r="D49" s="15">
        <f>IFERROR(INDEX(Personnes!$B$5:$B$153,MATCH($C49,Personnes!$A$5:$A$153,0))&amp;"","")</f>
        <v/>
      </c>
      <c r="E49" s="15">
        <f>IFERROR(INDEX(Personnes!$C$5:$C$153,MATCH($C49,Personnes!$A$5:$A$153,0))&amp;"","")</f>
        <v/>
      </c>
      <c r="F49" s="14" t="inlineStr">
        <is>
          <t>L3</t>
        </is>
      </c>
      <c r="G49" s="14" t="inlineStr">
        <is>
          <t>élève</t>
        </is>
      </c>
      <c r="H49" s="14" t="inlineStr">
        <is>
          <t>classeur</t>
        </is>
      </c>
      <c r="I49" s="16" t="n">
        <v>46266</v>
      </c>
      <c r="J49" s="16" t="n"/>
      <c r="K49" s="18" t="n"/>
      <c r="L49" s="18" t="n"/>
      <c r="M49" s="15">
        <f>IF($B49="","",IF($C49="","personne non reconnue",IF(ISERROR(SEARCH(TRIM($E49&amp;" "&amp;$D49),$B49)),"libellé incohérent avec l’identifiant",IF(COUNTIFS($A$5:$A$500,$A49,$C$5:$C$500,$C49,$F$5:$F$500,$F49,$G$5:$G$500,$G49)&gt;1,"doublon",IF($F49="","groupe manquant",IF($G49="","rôle manquant",IF($H49="","support de saisie manquant",IF(AND($I49&lt;&gt;"",$J49&lt;&gt;"",$J49&lt;$I49),"date de fin antérieure à la date de début",IF(AND($G49="encadrant",IFERROR(INDEX(Personnes!$F$5:$F$153,MATCH($C49,Personnes!$A$5:$A$153,0)),"")=""),"courriel encadrant manquant","ok")))))))))</f>
        <v/>
      </c>
    </row>
    <row r="50">
      <c r="A50" s="8" t="inlineStr">
        <is>
          <t>2026-2027</t>
        </is>
      </c>
      <c r="B50" s="14" t="inlineStr">
        <is>
          <t>Caroline COLIN DE VERDIERE [P006]</t>
        </is>
      </c>
      <c r="C50" s="15">
        <f>IFERROR(MID($B50,FIND("[",$B50)+1,FIND("]",$B50)-FIND("[",$B50)-1),"")</f>
        <v/>
      </c>
      <c r="D50" s="15">
        <f>IFERROR(INDEX(Personnes!$B$5:$B$153,MATCH($C50,Personnes!$A$5:$A$153,0))&amp;"","")</f>
        <v/>
      </c>
      <c r="E50" s="15">
        <f>IFERROR(INDEX(Personnes!$C$5:$C$153,MATCH($C50,Personnes!$A$5:$A$153,0))&amp;"","")</f>
        <v/>
      </c>
      <c r="F50" s="14" t="inlineStr">
        <is>
          <t>L3</t>
        </is>
      </c>
      <c r="G50" s="14" t="inlineStr">
        <is>
          <t>élève</t>
        </is>
      </c>
      <c r="H50" s="14" t="inlineStr">
        <is>
          <t>classeur</t>
        </is>
      </c>
      <c r="I50" s="16" t="n">
        <v>46266</v>
      </c>
      <c r="J50" s="16" t="n"/>
      <c r="K50" s="18" t="n"/>
      <c r="L50" s="18" t="n"/>
      <c r="M50" s="15">
        <f>IF($B50="","",IF($C50="","personne non reconnue",IF(ISERROR(SEARCH(TRIM($E50&amp;" "&amp;$D50),$B50)),"libellé incohérent avec l’identifiant",IF(COUNTIFS($A$5:$A$500,$A50,$C$5:$C$500,$C50,$F$5:$F$500,$F50,$G$5:$G$500,$G50)&gt;1,"doublon",IF($F50="","groupe manquant",IF($G50="","rôle manquant",IF($H50="","support de saisie manquant",IF(AND($I50&lt;&gt;"",$J50&lt;&gt;"",$J50&lt;$I50),"date de fin antérieure à la date de début",IF(AND($G50="encadrant",IFERROR(INDEX(Personnes!$F$5:$F$153,MATCH($C50,Personnes!$A$5:$A$153,0)),"")=""),"courriel encadrant manquant","ok")))))))))</f>
        <v/>
      </c>
    </row>
    <row r="51">
      <c r="A51" s="8" t="inlineStr">
        <is>
          <t>2026-2027</t>
        </is>
      </c>
      <c r="B51" s="14" t="inlineStr">
        <is>
          <t>Charline DANSEUX [P007]</t>
        </is>
      </c>
      <c r="C51" s="15">
        <f>IFERROR(MID($B51,FIND("[",$B51)+1,FIND("]",$B51)-FIND("[",$B51)-1),"")</f>
        <v/>
      </c>
      <c r="D51" s="15">
        <f>IFERROR(INDEX(Personnes!$B$5:$B$153,MATCH($C51,Personnes!$A$5:$A$153,0))&amp;"","")</f>
        <v/>
      </c>
      <c r="E51" s="15">
        <f>IFERROR(INDEX(Personnes!$C$5:$C$153,MATCH($C51,Personnes!$A$5:$A$153,0))&amp;"","")</f>
        <v/>
      </c>
      <c r="F51" s="14" t="inlineStr">
        <is>
          <t>L3</t>
        </is>
      </c>
      <c r="G51" s="14" t="inlineStr">
        <is>
          <t>élève</t>
        </is>
      </c>
      <c r="H51" s="14" t="inlineStr">
        <is>
          <t>classeur</t>
        </is>
      </c>
      <c r="I51" s="16" t="n">
        <v>46266</v>
      </c>
      <c r="J51" s="16" t="n"/>
      <c r="K51" s="18" t="n"/>
      <c r="L51" s="18" t="n"/>
      <c r="M51" s="15">
        <f>IF($B51="","",IF($C51="","personne non reconnue",IF(ISERROR(SEARCH(TRIM($E51&amp;" "&amp;$D51),$B51)),"libellé incohérent avec l’identifiant",IF(COUNTIFS($A$5:$A$500,$A51,$C$5:$C$500,$C51,$F$5:$F$500,$F51,$G$5:$G$500,$G51)&gt;1,"doublon",IF($F51="","groupe manquant",IF($G51="","rôle manquant",IF($H51="","support de saisie manquant",IF(AND($I51&lt;&gt;"",$J51&lt;&gt;"",$J51&lt;$I51),"date de fin antérieure à la date de début",IF(AND($G51="encadrant",IFERROR(INDEX(Personnes!$F$5:$F$153,MATCH($C51,Personnes!$A$5:$A$153,0)),"")=""),"courriel encadrant manquant","ok")))))))))</f>
        <v/>
      </c>
    </row>
    <row r="52">
      <c r="A52" s="8" t="inlineStr">
        <is>
          <t>2026-2027</t>
        </is>
      </c>
      <c r="B52" s="14" t="inlineStr">
        <is>
          <t>Antonin DESMERGES [P002]</t>
        </is>
      </c>
      <c r="C52" s="15">
        <f>IFERROR(MID($B52,FIND("[",$B52)+1,FIND("]",$B52)-FIND("[",$B52)-1),"")</f>
        <v/>
      </c>
      <c r="D52" s="15">
        <f>IFERROR(INDEX(Personnes!$B$5:$B$153,MATCH($C52,Personnes!$A$5:$A$153,0))&amp;"","")</f>
        <v/>
      </c>
      <c r="E52" s="15">
        <f>IFERROR(INDEX(Personnes!$C$5:$C$153,MATCH($C52,Personnes!$A$5:$A$153,0))&amp;"","")</f>
        <v/>
      </c>
      <c r="F52" s="14" t="inlineStr">
        <is>
          <t>L3</t>
        </is>
      </c>
      <c r="G52" s="14" t="inlineStr">
        <is>
          <t>élève</t>
        </is>
      </c>
      <c r="H52" s="14" t="inlineStr">
        <is>
          <t>classeur</t>
        </is>
      </c>
      <c r="I52" s="16" t="n">
        <v>46272</v>
      </c>
      <c r="J52" s="16" t="n"/>
      <c r="K52" s="18" t="n"/>
      <c r="L52" s="18" t="n"/>
      <c r="M52" s="15">
        <f>IF($B52="","",IF($C52="","personne non reconnue",IF(ISERROR(SEARCH(TRIM($E52&amp;" "&amp;$D52),$B52)),"libellé incohérent avec l’identifiant",IF(COUNTIFS($A$5:$A$500,$A52,$C$5:$C$500,$C52,$F$5:$F$500,$F52,$G$5:$G$500,$G52)&gt;1,"doublon",IF($F52="","groupe manquant",IF($G52="","rôle manquant",IF($H52="","support de saisie manquant",IF(AND($I52&lt;&gt;"",$J52&lt;&gt;"",$J52&lt;$I52),"date de fin antérieure à la date de début",IF(AND($G52="encadrant",IFERROR(INDEX(Personnes!$F$5:$F$153,MATCH($C52,Personnes!$A$5:$A$153,0)),"")=""),"courriel encadrant manquant","ok")))))))))</f>
        <v/>
      </c>
    </row>
    <row r="53">
      <c r="A53" s="8" t="inlineStr">
        <is>
          <t>2026-2027</t>
        </is>
      </c>
      <c r="B53" s="14" t="inlineStr">
        <is>
          <t>Aurélien DEVILLIERS [P070]</t>
        </is>
      </c>
      <c r="C53" s="15">
        <f>IFERROR(MID($B53,FIND("[",$B53)+1,FIND("]",$B53)-FIND("[",$B53)-1),"")</f>
        <v/>
      </c>
      <c r="D53" s="15">
        <f>IFERROR(INDEX(Personnes!$B$5:$B$153,MATCH($C53,Personnes!$A$5:$A$153,0))&amp;"","")</f>
        <v/>
      </c>
      <c r="E53" s="15">
        <f>IFERROR(INDEX(Personnes!$C$5:$C$153,MATCH($C53,Personnes!$A$5:$A$153,0))&amp;"","")</f>
        <v/>
      </c>
      <c r="F53" s="14" t="inlineStr">
        <is>
          <t>L3</t>
        </is>
      </c>
      <c r="G53" s="14" t="inlineStr">
        <is>
          <t>élève</t>
        </is>
      </c>
      <c r="H53" s="14" t="inlineStr">
        <is>
          <t>classeur</t>
        </is>
      </c>
      <c r="I53" s="16" t="n">
        <v>46272</v>
      </c>
      <c r="J53" s="16" t="n"/>
      <c r="K53" s="18" t="n"/>
      <c r="L53" s="18" t="n"/>
      <c r="M53" s="15">
        <f>IF($B53="","",IF($C53="","personne non reconnue",IF(ISERROR(SEARCH(TRIM($E53&amp;" "&amp;$D53),$B53)),"libellé incohérent avec l’identifiant",IF(COUNTIFS($A$5:$A$500,$A53,$C$5:$C$500,$C53,$F$5:$F$500,$F53,$G$5:$G$500,$G53)&gt;1,"doublon",IF($F53="","groupe manquant",IF($G53="","rôle manquant",IF($H53="","support de saisie manquant",IF(AND($I53&lt;&gt;"",$J53&lt;&gt;"",$J53&lt;$I53),"date de fin antérieure à la date de début",IF(AND($G53="encadrant",IFERROR(INDEX(Personnes!$F$5:$F$153,MATCH($C53,Personnes!$A$5:$A$153,0)),"")=""),"courriel encadrant manquant","ok")))))))))</f>
        <v/>
      </c>
    </row>
    <row r="54">
      <c r="A54" s="8" t="inlineStr">
        <is>
          <t>2026-2027</t>
        </is>
      </c>
      <c r="B54" s="14" t="inlineStr">
        <is>
          <t>Jérôme DUVAL [P071]</t>
        </is>
      </c>
      <c r="C54" s="15">
        <f>IFERROR(MID($B54,FIND("[",$B54)+1,FIND("]",$B54)-FIND("[",$B54)-1),"")</f>
        <v/>
      </c>
      <c r="D54" s="15">
        <f>IFERROR(INDEX(Personnes!$B$5:$B$153,MATCH($C54,Personnes!$A$5:$A$153,0))&amp;"","")</f>
        <v/>
      </c>
      <c r="E54" s="15">
        <f>IFERROR(INDEX(Personnes!$C$5:$C$153,MATCH($C54,Personnes!$A$5:$A$153,0))&amp;"","")</f>
        <v/>
      </c>
      <c r="F54" s="14" t="inlineStr">
        <is>
          <t>L3</t>
        </is>
      </c>
      <c r="G54" s="14" t="inlineStr">
        <is>
          <t>élève</t>
        </is>
      </c>
      <c r="H54" s="14" t="inlineStr">
        <is>
          <t>classeur</t>
        </is>
      </c>
      <c r="I54" s="16" t="n">
        <v>46272</v>
      </c>
      <c r="J54" s="16" t="n"/>
      <c r="K54" s="18" t="n"/>
      <c r="L54" s="18" t="n"/>
      <c r="M54" s="15">
        <f>IF($B54="","",IF($C54="","personne non reconnue",IF(ISERROR(SEARCH(TRIM($E54&amp;" "&amp;$D54),$B54)),"libellé incohérent avec l’identifiant",IF(COUNTIFS($A$5:$A$500,$A54,$C$5:$C$500,$C54,$F$5:$F$500,$F54,$G$5:$G$500,$G54)&gt;1,"doublon",IF($F54="","groupe manquant",IF($G54="","rôle manquant",IF($H54="","support de saisie manquant",IF(AND($I54&lt;&gt;"",$J54&lt;&gt;"",$J54&lt;$I54),"date de fin antérieure à la date de début",IF(AND($G54="encadrant",IFERROR(INDEX(Personnes!$F$5:$F$153,MATCH($C54,Personnes!$A$5:$A$153,0)),"")=""),"courriel encadrant manquant","ok")))))))))</f>
        <v/>
      </c>
    </row>
    <row r="55">
      <c r="A55" s="8" t="inlineStr">
        <is>
          <t>2026-2027</t>
        </is>
      </c>
      <c r="B55" s="14" t="inlineStr">
        <is>
          <t>Agnieszka FIHEL [P072]</t>
        </is>
      </c>
      <c r="C55" s="15">
        <f>IFERROR(MID($B55,FIND("[",$B55)+1,FIND("]",$B55)-FIND("[",$B55)-1),"")</f>
        <v/>
      </c>
      <c r="D55" s="15">
        <f>IFERROR(INDEX(Personnes!$B$5:$B$153,MATCH($C55,Personnes!$A$5:$A$153,0))&amp;"","")</f>
        <v/>
      </c>
      <c r="E55" s="15">
        <f>IFERROR(INDEX(Personnes!$C$5:$C$153,MATCH($C55,Personnes!$A$5:$A$153,0))&amp;"","")</f>
        <v/>
      </c>
      <c r="F55" s="14" t="inlineStr">
        <is>
          <t>L3</t>
        </is>
      </c>
      <c r="G55" s="14" t="inlineStr">
        <is>
          <t>élève</t>
        </is>
      </c>
      <c r="H55" s="14" t="inlineStr">
        <is>
          <t>classeur</t>
        </is>
      </c>
      <c r="I55" s="16" t="n">
        <v>46272</v>
      </c>
      <c r="J55" s="16" t="n"/>
      <c r="K55" s="18" t="n"/>
      <c r="L55" s="18" t="n"/>
      <c r="M55" s="15">
        <f>IF($B55="","",IF($C55="","personne non reconnue",IF(ISERROR(SEARCH(TRIM($E55&amp;" "&amp;$D55),$B55)),"libellé incohérent avec l’identifiant",IF(COUNTIFS($A$5:$A$500,$A55,$C$5:$C$500,$C55,$F$5:$F$500,$F55,$G$5:$G$500,$G55)&gt;1,"doublon",IF($F55="","groupe manquant",IF($G55="","rôle manquant",IF($H55="","support de saisie manquant",IF(AND($I55&lt;&gt;"",$J55&lt;&gt;"",$J55&lt;$I55),"date de fin antérieure à la date de début",IF(AND($G55="encadrant",IFERROR(INDEX(Personnes!$F$5:$F$153,MATCH($C55,Personnes!$A$5:$A$153,0)),"")=""),"courriel encadrant manquant","ok")))))))))</f>
        <v/>
      </c>
    </row>
    <row r="56">
      <c r="A56" s="8" t="inlineStr">
        <is>
          <t>2026-2027</t>
        </is>
      </c>
      <c r="B56" s="14" t="inlineStr">
        <is>
          <t>Benjamin FRASCA [P005]</t>
        </is>
      </c>
      <c r="C56" s="15">
        <f>IFERROR(MID($B56,FIND("[",$B56)+1,FIND("]",$B56)-FIND("[",$B56)-1),"")</f>
        <v/>
      </c>
      <c r="D56" s="15">
        <f>IFERROR(INDEX(Personnes!$B$5:$B$153,MATCH($C56,Personnes!$A$5:$A$153,0))&amp;"","")</f>
        <v/>
      </c>
      <c r="E56" s="15">
        <f>IFERROR(INDEX(Personnes!$C$5:$C$153,MATCH($C56,Personnes!$A$5:$A$153,0))&amp;"","")</f>
        <v/>
      </c>
      <c r="F56" s="14" t="inlineStr">
        <is>
          <t>L3</t>
        </is>
      </c>
      <c r="G56" s="14" t="inlineStr">
        <is>
          <t>élève</t>
        </is>
      </c>
      <c r="H56" s="14" t="inlineStr">
        <is>
          <t>classeur</t>
        </is>
      </c>
      <c r="I56" s="16" t="n">
        <v>46266</v>
      </c>
      <c r="J56" s="16" t="n"/>
      <c r="K56" s="18" t="n"/>
      <c r="L56" s="18" t="n"/>
      <c r="M56" s="15">
        <f>IF($B56="","",IF($C56="","personne non reconnue",IF(ISERROR(SEARCH(TRIM($E56&amp;" "&amp;$D56),$B56)),"libellé incohérent avec l’identifiant",IF(COUNTIFS($A$5:$A$500,$A56,$C$5:$C$500,$C56,$F$5:$F$500,$F56,$G$5:$G$500,$G56)&gt;1,"doublon",IF($F56="","groupe manquant",IF($G56="","rôle manquant",IF($H56="","support de saisie manquant",IF(AND($I56&lt;&gt;"",$J56&lt;&gt;"",$J56&lt;$I56),"date de fin antérieure à la date de début",IF(AND($G56="encadrant",IFERROR(INDEX(Personnes!$F$5:$F$153,MATCH($C56,Personnes!$A$5:$A$153,0)),"")=""),"courriel encadrant manquant","ok")))))))))</f>
        <v/>
      </c>
    </row>
    <row r="57">
      <c r="A57" s="8" t="inlineStr">
        <is>
          <t>2026-2027</t>
        </is>
      </c>
      <c r="B57" s="14" t="inlineStr">
        <is>
          <t>Samy GOBAA [P027]</t>
        </is>
      </c>
      <c r="C57" s="15">
        <f>IFERROR(MID($B57,FIND("[",$B57)+1,FIND("]",$B57)-FIND("[",$B57)-1),"")</f>
        <v/>
      </c>
      <c r="D57" s="15">
        <f>IFERROR(INDEX(Personnes!$B$5:$B$153,MATCH($C57,Personnes!$A$5:$A$153,0))&amp;"","")</f>
        <v/>
      </c>
      <c r="E57" s="15">
        <f>IFERROR(INDEX(Personnes!$C$5:$C$153,MATCH($C57,Personnes!$A$5:$A$153,0))&amp;"","")</f>
        <v/>
      </c>
      <c r="F57" s="14" t="inlineStr">
        <is>
          <t>L3</t>
        </is>
      </c>
      <c r="G57" s="14" t="inlineStr">
        <is>
          <t>élève</t>
        </is>
      </c>
      <c r="H57" s="14" t="inlineStr">
        <is>
          <t>classeur</t>
        </is>
      </c>
      <c r="I57" s="16" t="n">
        <v>46266</v>
      </c>
      <c r="J57" s="16" t="n"/>
      <c r="K57" s="18" t="n"/>
      <c r="L57" s="18" t="n"/>
      <c r="M57" s="15">
        <f>IF($B57="","",IF($C57="","personne non reconnue",IF(ISERROR(SEARCH(TRIM($E57&amp;" "&amp;$D57),$B57)),"libellé incohérent avec l’identifiant",IF(COUNTIFS($A$5:$A$500,$A57,$C$5:$C$500,$C57,$F$5:$F$500,$F57,$G$5:$G$500,$G57)&gt;1,"doublon",IF($F57="","groupe manquant",IF($G57="","rôle manquant",IF($H57="","support de saisie manquant",IF(AND($I57&lt;&gt;"",$J57&lt;&gt;"",$J57&lt;$I57),"date de fin antérieure à la date de début",IF(AND($G57="encadrant",IFERROR(INDEX(Personnes!$F$5:$F$153,MATCH($C57,Personnes!$A$5:$A$153,0)),"")=""),"courriel encadrant manquant","ok")))))))))</f>
        <v/>
      </c>
    </row>
    <row r="58">
      <c r="A58" s="8" t="inlineStr">
        <is>
          <t>2026-2027</t>
        </is>
      </c>
      <c r="B58" s="14" t="inlineStr">
        <is>
          <t>Jean-François GOUDOU [P015]</t>
        </is>
      </c>
      <c r="C58" s="15">
        <f>IFERROR(MID($B58,FIND("[",$B58)+1,FIND("]",$B58)-FIND("[",$B58)-1),"")</f>
        <v/>
      </c>
      <c r="D58" s="15">
        <f>IFERROR(INDEX(Personnes!$B$5:$B$153,MATCH($C58,Personnes!$A$5:$A$153,0))&amp;"","")</f>
        <v/>
      </c>
      <c r="E58" s="15">
        <f>IFERROR(INDEX(Personnes!$C$5:$C$153,MATCH($C58,Personnes!$A$5:$A$153,0))&amp;"","")</f>
        <v/>
      </c>
      <c r="F58" s="14" t="inlineStr">
        <is>
          <t>L3</t>
        </is>
      </c>
      <c r="G58" s="14" t="inlineStr">
        <is>
          <t>élève</t>
        </is>
      </c>
      <c r="H58" s="14" t="inlineStr">
        <is>
          <t>classeur</t>
        </is>
      </c>
      <c r="I58" s="16" t="n">
        <v>46266</v>
      </c>
      <c r="J58" s="16" t="n"/>
      <c r="K58" s="18" t="n"/>
      <c r="L58" s="18" t="n"/>
      <c r="M58" s="15">
        <f>IF($B58="","",IF($C58="","personne non reconnue",IF(ISERROR(SEARCH(TRIM($E58&amp;" "&amp;$D58),$B58)),"libellé incohérent avec l’identifiant",IF(COUNTIFS($A$5:$A$500,$A58,$C$5:$C$500,$C58,$F$5:$F$500,$F58,$G$5:$G$500,$G58)&gt;1,"doublon",IF($F58="","groupe manquant",IF($G58="","rôle manquant",IF($H58="","support de saisie manquant",IF(AND($I58&lt;&gt;"",$J58&lt;&gt;"",$J58&lt;$I58),"date de fin antérieure à la date de début",IF(AND($G58="encadrant",IFERROR(INDEX(Personnes!$F$5:$F$153,MATCH($C58,Personnes!$A$5:$A$153,0)),"")=""),"courriel encadrant manquant","ok")))))))))</f>
        <v/>
      </c>
    </row>
    <row r="59">
      <c r="A59" s="8" t="inlineStr">
        <is>
          <t>2026-2027</t>
        </is>
      </c>
      <c r="B59" s="14" t="inlineStr">
        <is>
          <t>Béatrice GOUSSARD [P004]</t>
        </is>
      </c>
      <c r="C59" s="15">
        <f>IFERROR(MID($B59,FIND("[",$B59)+1,FIND("]",$B59)-FIND("[",$B59)-1),"")</f>
        <v/>
      </c>
      <c r="D59" s="15">
        <f>IFERROR(INDEX(Personnes!$B$5:$B$153,MATCH($C59,Personnes!$A$5:$A$153,0))&amp;"","")</f>
        <v/>
      </c>
      <c r="E59" s="15">
        <f>IFERROR(INDEX(Personnes!$C$5:$C$153,MATCH($C59,Personnes!$A$5:$A$153,0))&amp;"","")</f>
        <v/>
      </c>
      <c r="F59" s="14" t="inlineStr">
        <is>
          <t>L3</t>
        </is>
      </c>
      <c r="G59" s="14" t="inlineStr">
        <is>
          <t>élève</t>
        </is>
      </c>
      <c r="H59" s="14" t="inlineStr">
        <is>
          <t>classeur</t>
        </is>
      </c>
      <c r="I59" s="16" t="n">
        <v>46266</v>
      </c>
      <c r="J59" s="16" t="n"/>
      <c r="K59" s="18" t="n"/>
      <c r="L59" s="18" t="n"/>
      <c r="M59" s="15">
        <f>IF($B59="","",IF($C59="","personne non reconnue",IF(ISERROR(SEARCH(TRIM($E59&amp;" "&amp;$D59),$B59)),"libellé incohérent avec l’identifiant",IF(COUNTIFS($A$5:$A$500,$A59,$C$5:$C$500,$C59,$F$5:$F$500,$F59,$G$5:$G$500,$G59)&gt;1,"doublon",IF($F59="","groupe manquant",IF($G59="","rôle manquant",IF($H59="","support de saisie manquant",IF(AND($I59&lt;&gt;"",$J59&lt;&gt;"",$J59&lt;$I59),"date de fin antérieure à la date de début",IF(AND($G59="encadrant",IFERROR(INDEX(Personnes!$F$5:$F$153,MATCH($C59,Personnes!$A$5:$A$153,0)),"")=""),"courriel encadrant manquant","ok")))))))))</f>
        <v/>
      </c>
    </row>
    <row r="60">
      <c r="A60" s="8" t="inlineStr">
        <is>
          <t>2026-2027</t>
        </is>
      </c>
      <c r="B60" s="14" t="inlineStr">
        <is>
          <t>Matthieu GUEGUEN [P023]</t>
        </is>
      </c>
      <c r="C60" s="15">
        <f>IFERROR(MID($B60,FIND("[",$B60)+1,FIND("]",$B60)-FIND("[",$B60)-1),"")</f>
        <v/>
      </c>
      <c r="D60" s="15">
        <f>IFERROR(INDEX(Personnes!$B$5:$B$153,MATCH($C60,Personnes!$A$5:$A$153,0))&amp;"","")</f>
        <v/>
      </c>
      <c r="E60" s="15">
        <f>IFERROR(INDEX(Personnes!$C$5:$C$153,MATCH($C60,Personnes!$A$5:$A$153,0))&amp;"","")</f>
        <v/>
      </c>
      <c r="F60" s="14" t="inlineStr">
        <is>
          <t>L3</t>
        </is>
      </c>
      <c r="G60" s="14" t="inlineStr">
        <is>
          <t>élève</t>
        </is>
      </c>
      <c r="H60" s="14" t="inlineStr">
        <is>
          <t>classeur</t>
        </is>
      </c>
      <c r="I60" s="16" t="n">
        <v>46266</v>
      </c>
      <c r="J60" s="16" t="n"/>
      <c r="K60" s="18" t="n"/>
      <c r="L60" s="18" t="n"/>
      <c r="M60" s="15">
        <f>IF($B60="","",IF($C60="","personne non reconnue",IF(ISERROR(SEARCH(TRIM($E60&amp;" "&amp;$D60),$B60)),"libellé incohérent avec l’identifiant",IF(COUNTIFS($A$5:$A$500,$A60,$C$5:$C$500,$C60,$F$5:$F$500,$F60,$G$5:$G$500,$G60)&gt;1,"doublon",IF($F60="","groupe manquant",IF($G60="","rôle manquant",IF($H60="","support de saisie manquant",IF(AND($I60&lt;&gt;"",$J60&lt;&gt;"",$J60&lt;$I60),"date de fin antérieure à la date de début",IF(AND($G60="encadrant",IFERROR(INDEX(Personnes!$F$5:$F$153,MATCH($C60,Personnes!$A$5:$A$153,0)),"")=""),"courriel encadrant manquant","ok")))))))))</f>
        <v/>
      </c>
    </row>
    <row r="61">
      <c r="A61" s="8" t="inlineStr">
        <is>
          <t>2026-2027</t>
        </is>
      </c>
      <c r="B61" s="14" t="inlineStr">
        <is>
          <t>Stephane GUEGUEN [P029]</t>
        </is>
      </c>
      <c r="C61" s="15">
        <f>IFERROR(MID($B61,FIND("[",$B61)+1,FIND("]",$B61)-FIND("[",$B61)-1),"")</f>
        <v/>
      </c>
      <c r="D61" s="15">
        <f>IFERROR(INDEX(Personnes!$B$5:$B$153,MATCH($C61,Personnes!$A$5:$A$153,0))&amp;"","")</f>
        <v/>
      </c>
      <c r="E61" s="15">
        <f>IFERROR(INDEX(Personnes!$C$5:$C$153,MATCH($C61,Personnes!$A$5:$A$153,0))&amp;"","")</f>
        <v/>
      </c>
      <c r="F61" s="14" t="inlineStr">
        <is>
          <t>L3</t>
        </is>
      </c>
      <c r="G61" s="14" t="inlineStr">
        <is>
          <t>élève</t>
        </is>
      </c>
      <c r="H61" s="14" t="inlineStr">
        <is>
          <t>classeur</t>
        </is>
      </c>
      <c r="I61" s="16" t="n">
        <v>46266</v>
      </c>
      <c r="J61" s="16" t="n"/>
      <c r="K61" s="18" t="n"/>
      <c r="L61" s="18" t="n"/>
      <c r="M61" s="15">
        <f>IF($B61="","",IF($C61="","personne non reconnue",IF(ISERROR(SEARCH(TRIM($E61&amp;" "&amp;$D61),$B61)),"libellé incohérent avec l’identifiant",IF(COUNTIFS($A$5:$A$500,$A61,$C$5:$C$500,$C61,$F$5:$F$500,$F61,$G$5:$G$500,$G61)&gt;1,"doublon",IF($F61="","groupe manquant",IF($G61="","rôle manquant",IF($H61="","support de saisie manquant",IF(AND($I61&lt;&gt;"",$J61&lt;&gt;"",$J61&lt;$I61),"date de fin antérieure à la date de début",IF(AND($G61="encadrant",IFERROR(INDEX(Personnes!$F$5:$F$153,MATCH($C61,Personnes!$A$5:$A$153,0)),"")=""),"courriel encadrant manquant","ok")))))))))</f>
        <v/>
      </c>
    </row>
    <row r="62">
      <c r="A62" s="8" t="inlineStr">
        <is>
          <t>2026-2027</t>
        </is>
      </c>
      <c r="B62" s="14" t="inlineStr">
        <is>
          <t>Alain GUEVEL [P001]</t>
        </is>
      </c>
      <c r="C62" s="15">
        <f>IFERROR(MID($B62,FIND("[",$B62)+1,FIND("]",$B62)-FIND("[",$B62)-1),"")</f>
        <v/>
      </c>
      <c r="D62" s="15">
        <f>IFERROR(INDEX(Personnes!$B$5:$B$153,MATCH($C62,Personnes!$A$5:$A$153,0))&amp;"","")</f>
        <v/>
      </c>
      <c r="E62" s="15">
        <f>IFERROR(INDEX(Personnes!$C$5:$C$153,MATCH($C62,Personnes!$A$5:$A$153,0))&amp;"","")</f>
        <v/>
      </c>
      <c r="F62" s="14" t="inlineStr">
        <is>
          <t>L3</t>
        </is>
      </c>
      <c r="G62" s="14" t="inlineStr">
        <is>
          <t>élève</t>
        </is>
      </c>
      <c r="H62" s="14" t="inlineStr">
        <is>
          <t>classeur</t>
        </is>
      </c>
      <c r="I62" s="16" t="n">
        <v>46266</v>
      </c>
      <c r="J62" s="16" t="n"/>
      <c r="K62" s="18" t="n"/>
      <c r="L62" s="18" t="n"/>
      <c r="M62" s="15">
        <f>IF($B62="","",IF($C62="","personne non reconnue",IF(ISERROR(SEARCH(TRIM($E62&amp;" "&amp;$D62),$B62)),"libellé incohérent avec l’identifiant",IF(COUNTIFS($A$5:$A$500,$A62,$C$5:$C$500,$C62,$F$5:$F$500,$F62,$G$5:$G$500,$G62)&gt;1,"doublon",IF($F62="","groupe manquant",IF($G62="","rôle manquant",IF($H62="","support de saisie manquant",IF(AND($I62&lt;&gt;"",$J62&lt;&gt;"",$J62&lt;$I62),"date de fin antérieure à la date de début",IF(AND($G62="encadrant",IFERROR(INDEX(Personnes!$F$5:$F$153,MATCH($C62,Personnes!$A$5:$A$153,0)),"")=""),"courriel encadrant manquant","ok")))))))))</f>
        <v/>
      </c>
    </row>
    <row r="63">
      <c r="A63" s="8" t="inlineStr">
        <is>
          <t>2026-2027</t>
        </is>
      </c>
      <c r="B63" s="14" t="inlineStr">
        <is>
          <t>Aude GUIBOURT [P073]</t>
        </is>
      </c>
      <c r="C63" s="15">
        <f>IFERROR(MID($B63,FIND("[",$B63)+1,FIND("]",$B63)-FIND("[",$B63)-1),"")</f>
        <v/>
      </c>
      <c r="D63" s="15">
        <f>IFERROR(INDEX(Personnes!$B$5:$B$153,MATCH($C63,Personnes!$A$5:$A$153,0))&amp;"","")</f>
        <v/>
      </c>
      <c r="E63" s="15">
        <f>IFERROR(INDEX(Personnes!$C$5:$C$153,MATCH($C63,Personnes!$A$5:$A$153,0))&amp;"","")</f>
        <v/>
      </c>
      <c r="F63" s="14" t="inlineStr">
        <is>
          <t>L3</t>
        </is>
      </c>
      <c r="G63" s="14" t="inlineStr">
        <is>
          <t>élève</t>
        </is>
      </c>
      <c r="H63" s="14" t="inlineStr">
        <is>
          <t>classeur</t>
        </is>
      </c>
      <c r="I63" s="16" t="n">
        <v>46272</v>
      </c>
      <c r="J63" s="16" t="n"/>
      <c r="K63" s="18" t="n"/>
      <c r="L63" s="18" t="n"/>
      <c r="M63" s="15">
        <f>IF($B63="","",IF($C63="","personne non reconnue",IF(ISERROR(SEARCH(TRIM($E63&amp;" "&amp;$D63),$B63)),"libellé incohérent avec l’identifiant",IF(COUNTIFS($A$5:$A$500,$A63,$C$5:$C$500,$C63,$F$5:$F$500,$F63,$G$5:$G$500,$G63)&gt;1,"doublon",IF($F63="","groupe manquant",IF($G63="","rôle manquant",IF($H63="","support de saisie manquant",IF(AND($I63&lt;&gt;"",$J63&lt;&gt;"",$J63&lt;$I63),"date de fin antérieure à la date de début",IF(AND($G63="encadrant",IFERROR(INDEX(Personnes!$F$5:$F$153,MATCH($C63,Personnes!$A$5:$A$153,0)),"")=""),"courriel encadrant manquant","ok")))))))))</f>
        <v/>
      </c>
    </row>
    <row r="64">
      <c r="A64" s="8" t="inlineStr">
        <is>
          <t>2026-2027</t>
        </is>
      </c>
      <c r="B64" s="14" t="inlineStr">
        <is>
          <t>Serge HABERT [P074]</t>
        </is>
      </c>
      <c r="C64" s="15">
        <f>IFERROR(MID($B64,FIND("[",$B64)+1,FIND("]",$B64)-FIND("[",$B64)-1),"")</f>
        <v/>
      </c>
      <c r="D64" s="15">
        <f>IFERROR(INDEX(Personnes!$B$5:$B$153,MATCH($C64,Personnes!$A$5:$A$153,0))&amp;"","")</f>
        <v/>
      </c>
      <c r="E64" s="15">
        <f>IFERROR(INDEX(Personnes!$C$5:$C$153,MATCH($C64,Personnes!$A$5:$A$153,0))&amp;"","")</f>
        <v/>
      </c>
      <c r="F64" s="14" t="inlineStr">
        <is>
          <t>L3</t>
        </is>
      </c>
      <c r="G64" s="14" t="inlineStr">
        <is>
          <t>élève</t>
        </is>
      </c>
      <c r="H64" s="14" t="inlineStr">
        <is>
          <t>classeur</t>
        </is>
      </c>
      <c r="I64" s="16" t="n">
        <v>46272</v>
      </c>
      <c r="J64" s="16" t="n"/>
      <c r="K64" s="18" t="n"/>
      <c r="L64" s="18" t="n"/>
      <c r="M64" s="15">
        <f>IF($B64="","",IF($C64="","personne non reconnue",IF(ISERROR(SEARCH(TRIM($E64&amp;" "&amp;$D64),$B64)),"libellé incohérent avec l’identifiant",IF(COUNTIFS($A$5:$A$500,$A64,$C$5:$C$500,$C64,$F$5:$F$500,$F64,$G$5:$G$500,$G64)&gt;1,"doublon",IF($F64="","groupe manquant",IF($G64="","rôle manquant",IF($H64="","support de saisie manquant",IF(AND($I64&lt;&gt;"",$J64&lt;&gt;"",$J64&lt;$I64),"date de fin antérieure à la date de début",IF(AND($G64="encadrant",IFERROR(INDEX(Personnes!$F$5:$F$153,MATCH($C64,Personnes!$A$5:$A$153,0)),"")=""),"courriel encadrant manquant","ok")))))))))</f>
        <v/>
      </c>
    </row>
    <row r="65">
      <c r="A65" s="8" t="inlineStr">
        <is>
          <t>2026-2027</t>
        </is>
      </c>
      <c r="B65" s="14" t="inlineStr">
        <is>
          <t>Cyrille HANNOU [P009]</t>
        </is>
      </c>
      <c r="C65" s="15">
        <f>IFERROR(MID($B65,FIND("[",$B65)+1,FIND("]",$B65)-FIND("[",$B65)-1),"")</f>
        <v/>
      </c>
      <c r="D65" s="15">
        <f>IFERROR(INDEX(Personnes!$B$5:$B$153,MATCH($C65,Personnes!$A$5:$A$153,0))&amp;"","")</f>
        <v/>
      </c>
      <c r="E65" s="15">
        <f>IFERROR(INDEX(Personnes!$C$5:$C$153,MATCH($C65,Personnes!$A$5:$A$153,0))&amp;"","")</f>
        <v/>
      </c>
      <c r="F65" s="14" t="inlineStr">
        <is>
          <t>L3</t>
        </is>
      </c>
      <c r="G65" s="14" t="inlineStr">
        <is>
          <t>élève</t>
        </is>
      </c>
      <c r="H65" s="14" t="inlineStr">
        <is>
          <t>classeur</t>
        </is>
      </c>
      <c r="I65" s="16" t="n">
        <v>46266</v>
      </c>
      <c r="J65" s="16" t="n"/>
      <c r="K65" s="18" t="n"/>
      <c r="L65" s="18" t="n"/>
      <c r="M65" s="15">
        <f>IF($B65="","",IF($C65="","personne non reconnue",IF(ISERROR(SEARCH(TRIM($E65&amp;" "&amp;$D65),$B65)),"libellé incohérent avec l’identifiant",IF(COUNTIFS($A$5:$A$500,$A65,$C$5:$C$500,$C65,$F$5:$F$500,$F65,$G$5:$G$500,$G65)&gt;1,"doublon",IF($F65="","groupe manquant",IF($G65="","rôle manquant",IF($H65="","support de saisie manquant",IF(AND($I65&lt;&gt;"",$J65&lt;&gt;"",$J65&lt;$I65),"date de fin antérieure à la date de début",IF(AND($G65="encadrant",IFERROR(INDEX(Personnes!$F$5:$F$153,MATCH($C65,Personnes!$A$5:$A$153,0)),"")=""),"courriel encadrant manquant","ok")))))))))</f>
        <v/>
      </c>
    </row>
    <row r="66">
      <c r="A66" s="8" t="inlineStr">
        <is>
          <t>2026-2027</t>
        </is>
      </c>
      <c r="B66" s="14" t="inlineStr">
        <is>
          <t>Nelly JACQUEMOT [P024]</t>
        </is>
      </c>
      <c r="C66" s="15">
        <f>IFERROR(MID($B66,FIND("[",$B66)+1,FIND("]",$B66)-FIND("[",$B66)-1),"")</f>
        <v/>
      </c>
      <c r="D66" s="15">
        <f>IFERROR(INDEX(Personnes!$B$5:$B$153,MATCH($C66,Personnes!$A$5:$A$153,0))&amp;"","")</f>
        <v/>
      </c>
      <c r="E66" s="15">
        <f>IFERROR(INDEX(Personnes!$C$5:$C$153,MATCH($C66,Personnes!$A$5:$A$153,0))&amp;"","")</f>
        <v/>
      </c>
      <c r="F66" s="14" t="inlineStr">
        <is>
          <t>L3</t>
        </is>
      </c>
      <c r="G66" s="14" t="inlineStr">
        <is>
          <t>élève</t>
        </is>
      </c>
      <c r="H66" s="14" t="inlineStr">
        <is>
          <t>classeur</t>
        </is>
      </c>
      <c r="I66" s="16" t="n">
        <v>46266</v>
      </c>
      <c r="J66" s="16" t="n"/>
      <c r="K66" s="18" t="n"/>
      <c r="L66" s="18" t="n"/>
      <c r="M66" s="15">
        <f>IF($B66="","",IF($C66="","personne non reconnue",IF(ISERROR(SEARCH(TRIM($E66&amp;" "&amp;$D66),$B66)),"libellé incohérent avec l’identifiant",IF(COUNTIFS($A$5:$A$500,$A66,$C$5:$C$500,$C66,$F$5:$F$500,$F66,$G$5:$G$500,$G66)&gt;1,"doublon",IF($F66="","groupe manquant",IF($G66="","rôle manquant",IF($H66="","support de saisie manquant",IF(AND($I66&lt;&gt;"",$J66&lt;&gt;"",$J66&lt;$I66),"date de fin antérieure à la date de début",IF(AND($G66="encadrant",IFERROR(INDEX(Personnes!$F$5:$F$153,MATCH($C66,Personnes!$A$5:$A$153,0)),"")=""),"courriel encadrant manquant","ok")))))))))</f>
        <v/>
      </c>
    </row>
    <row r="67">
      <c r="A67" s="8" t="inlineStr">
        <is>
          <t>2026-2027</t>
        </is>
      </c>
      <c r="B67" s="14" t="inlineStr">
        <is>
          <t>Hélène LABAYE [P014]</t>
        </is>
      </c>
      <c r="C67" s="15">
        <f>IFERROR(MID($B67,FIND("[",$B67)+1,FIND("]",$B67)-FIND("[",$B67)-1),"")</f>
        <v/>
      </c>
      <c r="D67" s="15">
        <f>IFERROR(INDEX(Personnes!$B$5:$B$153,MATCH($C67,Personnes!$A$5:$A$153,0))&amp;"","")</f>
        <v/>
      </c>
      <c r="E67" s="15">
        <f>IFERROR(INDEX(Personnes!$C$5:$C$153,MATCH($C67,Personnes!$A$5:$A$153,0))&amp;"","")</f>
        <v/>
      </c>
      <c r="F67" s="14" t="inlineStr">
        <is>
          <t>L3</t>
        </is>
      </c>
      <c r="G67" s="14" t="inlineStr">
        <is>
          <t>élève</t>
        </is>
      </c>
      <c r="H67" s="14" t="inlineStr">
        <is>
          <t>classeur</t>
        </is>
      </c>
      <c r="I67" s="16" t="n">
        <v>46266</v>
      </c>
      <c r="J67" s="16" t="n"/>
      <c r="K67" s="18" t="n"/>
      <c r="L67" s="18" t="n"/>
      <c r="M67" s="15">
        <f>IF($B67="","",IF($C67="","personne non reconnue",IF(ISERROR(SEARCH(TRIM($E67&amp;" "&amp;$D67),$B67)),"libellé incohérent avec l’identifiant",IF(COUNTIFS($A$5:$A$500,$A67,$C$5:$C$500,$C67,$F$5:$F$500,$F67,$G$5:$G$500,$G67)&gt;1,"doublon",IF($F67="","groupe manquant",IF($G67="","rôle manquant",IF($H67="","support de saisie manquant",IF(AND($I67&lt;&gt;"",$J67&lt;&gt;"",$J67&lt;$I67),"date de fin antérieure à la date de début",IF(AND($G67="encadrant",IFERROR(INDEX(Personnes!$F$5:$F$153,MATCH($C67,Personnes!$A$5:$A$153,0)),"")=""),"courriel encadrant manquant","ok")))))))))</f>
        <v/>
      </c>
    </row>
    <row r="68">
      <c r="A68" s="8" t="inlineStr">
        <is>
          <t>2026-2027</t>
        </is>
      </c>
      <c r="B68" s="14" t="inlineStr">
        <is>
          <t>Cyril LABROSSE [P008]</t>
        </is>
      </c>
      <c r="C68" s="15">
        <f>IFERROR(MID($B68,FIND("[",$B68)+1,FIND("]",$B68)-FIND("[",$B68)-1),"")</f>
        <v/>
      </c>
      <c r="D68" s="15">
        <f>IFERROR(INDEX(Personnes!$B$5:$B$153,MATCH($C68,Personnes!$A$5:$A$153,0))&amp;"","")</f>
        <v/>
      </c>
      <c r="E68" s="15">
        <f>IFERROR(INDEX(Personnes!$C$5:$C$153,MATCH($C68,Personnes!$A$5:$A$153,0))&amp;"","")</f>
        <v/>
      </c>
      <c r="F68" s="14" t="inlineStr">
        <is>
          <t>L3</t>
        </is>
      </c>
      <c r="G68" s="14" t="inlineStr">
        <is>
          <t>élève</t>
        </is>
      </c>
      <c r="H68" s="14" t="inlineStr">
        <is>
          <t>classeur</t>
        </is>
      </c>
      <c r="I68" s="16" t="n">
        <v>46266</v>
      </c>
      <c r="J68" s="16" t="n"/>
      <c r="K68" s="18" t="n"/>
      <c r="L68" s="18" t="n"/>
      <c r="M68" s="15">
        <f>IF($B68="","",IF($C68="","personne non reconnue",IF(ISERROR(SEARCH(TRIM($E68&amp;" "&amp;$D68),$B68)),"libellé incohérent avec l’identifiant",IF(COUNTIFS($A$5:$A$500,$A68,$C$5:$C$500,$C68,$F$5:$F$500,$F68,$G$5:$G$500,$G68)&gt;1,"doublon",IF($F68="","groupe manquant",IF($G68="","rôle manquant",IF($H68="","support de saisie manquant",IF(AND($I68&lt;&gt;"",$J68&lt;&gt;"",$J68&lt;$I68),"date de fin antérieure à la date de début",IF(AND($G68="encadrant",IFERROR(INDEX(Personnes!$F$5:$F$153,MATCH($C68,Personnes!$A$5:$A$153,0)),"")=""),"courriel encadrant manquant","ok")))))))))</f>
        <v/>
      </c>
    </row>
    <row r="69">
      <c r="A69" s="8" t="inlineStr">
        <is>
          <t>2026-2027</t>
        </is>
      </c>
      <c r="B69" s="14" t="inlineStr">
        <is>
          <t>Etienne LACOUR [P012]</t>
        </is>
      </c>
      <c r="C69" s="15">
        <f>IFERROR(MID($B69,FIND("[",$B69)+1,FIND("]",$B69)-FIND("[",$B69)-1),"")</f>
        <v/>
      </c>
      <c r="D69" s="15">
        <f>IFERROR(INDEX(Personnes!$B$5:$B$153,MATCH($C69,Personnes!$A$5:$A$153,0))&amp;"","")</f>
        <v/>
      </c>
      <c r="E69" s="15">
        <f>IFERROR(INDEX(Personnes!$C$5:$C$153,MATCH($C69,Personnes!$A$5:$A$153,0))&amp;"","")</f>
        <v/>
      </c>
      <c r="F69" s="14" t="inlineStr">
        <is>
          <t>L3</t>
        </is>
      </c>
      <c r="G69" s="14" t="inlineStr">
        <is>
          <t>élève</t>
        </is>
      </c>
      <c r="H69" s="14" t="inlineStr">
        <is>
          <t>classeur</t>
        </is>
      </c>
      <c r="I69" s="16" t="n">
        <v>46266</v>
      </c>
      <c r="J69" s="16" t="n"/>
      <c r="K69" s="18" t="n"/>
      <c r="L69" s="18" t="n"/>
      <c r="M69" s="15">
        <f>IF($B69="","",IF($C69="","personne non reconnue",IF(ISERROR(SEARCH(TRIM($E69&amp;" "&amp;$D69),$B69)),"libellé incohérent avec l’identifiant",IF(COUNTIFS($A$5:$A$500,$A69,$C$5:$C$500,$C69,$F$5:$F$500,$F69,$G$5:$G$500,$G69)&gt;1,"doublon",IF($F69="","groupe manquant",IF($G69="","rôle manquant",IF($H69="","support de saisie manquant",IF(AND($I69&lt;&gt;"",$J69&lt;&gt;"",$J69&lt;$I69),"date de fin antérieure à la date de début",IF(AND($G69="encadrant",IFERROR(INDEX(Personnes!$F$5:$F$153,MATCH($C69,Personnes!$A$5:$A$153,0)),"")=""),"courriel encadrant manquant","ok")))))))))</f>
        <v/>
      </c>
    </row>
    <row r="70">
      <c r="A70" s="8" t="inlineStr">
        <is>
          <t>2026-2027</t>
        </is>
      </c>
      <c r="B70" s="14" t="inlineStr">
        <is>
          <t>Oman LAMBERT [P025]</t>
        </is>
      </c>
      <c r="C70" s="15">
        <f>IFERROR(MID($B70,FIND("[",$B70)+1,FIND("]",$B70)-FIND("[",$B70)-1),"")</f>
        <v/>
      </c>
      <c r="D70" s="15">
        <f>IFERROR(INDEX(Personnes!$B$5:$B$153,MATCH($C70,Personnes!$A$5:$A$153,0))&amp;"","")</f>
        <v/>
      </c>
      <c r="E70" s="15">
        <f>IFERROR(INDEX(Personnes!$C$5:$C$153,MATCH($C70,Personnes!$A$5:$A$153,0))&amp;"","")</f>
        <v/>
      </c>
      <c r="F70" s="14" t="inlineStr">
        <is>
          <t>L3</t>
        </is>
      </c>
      <c r="G70" s="14" t="inlineStr">
        <is>
          <t>élève</t>
        </is>
      </c>
      <c r="H70" s="14" t="inlineStr">
        <is>
          <t>classeur</t>
        </is>
      </c>
      <c r="I70" s="16" t="n">
        <v>46272</v>
      </c>
      <c r="J70" s="16" t="n"/>
      <c r="K70" s="18" t="n"/>
      <c r="L70" s="18" t="n"/>
      <c r="M70" s="15">
        <f>IF($B70="","",IF($C70="","personne non reconnue",IF(ISERROR(SEARCH(TRIM($E70&amp;" "&amp;$D70),$B70)),"libellé incohérent avec l’identifiant",IF(COUNTIFS($A$5:$A$500,$A70,$C$5:$C$500,$C70,$F$5:$F$500,$F70,$G$5:$G$500,$G70)&gt;1,"doublon",IF($F70="","groupe manquant",IF($G70="","rôle manquant",IF($H70="","support de saisie manquant",IF(AND($I70&lt;&gt;"",$J70&lt;&gt;"",$J70&lt;$I70),"date de fin antérieure à la date de début",IF(AND($G70="encadrant",IFERROR(INDEX(Personnes!$F$5:$F$153,MATCH($C70,Personnes!$A$5:$A$153,0)),"")=""),"courriel encadrant manquant","ok")))))))))</f>
        <v/>
      </c>
    </row>
    <row r="71">
      <c r="A71" s="8" t="inlineStr">
        <is>
          <t>2026-2027</t>
        </is>
      </c>
      <c r="B71" s="14" t="inlineStr">
        <is>
          <t>Sophie LANDEAU [P028]</t>
        </is>
      </c>
      <c r="C71" s="15">
        <f>IFERROR(MID($B71,FIND("[",$B71)+1,FIND("]",$B71)-FIND("[",$B71)-1),"")</f>
        <v/>
      </c>
      <c r="D71" s="15">
        <f>IFERROR(INDEX(Personnes!$B$5:$B$153,MATCH($C71,Personnes!$A$5:$A$153,0))&amp;"","")</f>
        <v/>
      </c>
      <c r="E71" s="15">
        <f>IFERROR(INDEX(Personnes!$C$5:$C$153,MATCH($C71,Personnes!$A$5:$A$153,0))&amp;"","")</f>
        <v/>
      </c>
      <c r="F71" s="14" t="inlineStr">
        <is>
          <t>L3</t>
        </is>
      </c>
      <c r="G71" s="14" t="inlineStr">
        <is>
          <t>élève</t>
        </is>
      </c>
      <c r="H71" s="14" t="inlineStr">
        <is>
          <t>classeur</t>
        </is>
      </c>
      <c r="I71" s="16" t="n">
        <v>46266</v>
      </c>
      <c r="J71" s="16" t="n"/>
      <c r="K71" s="18" t="n"/>
      <c r="L71" s="18" t="n"/>
      <c r="M71" s="15">
        <f>IF($B71="","",IF($C71="","personne non reconnue",IF(ISERROR(SEARCH(TRIM($E71&amp;" "&amp;$D71),$B71)),"libellé incohérent avec l’identifiant",IF(COUNTIFS($A$5:$A$500,$A71,$C$5:$C$500,$C71,$F$5:$F$500,$F71,$G$5:$G$500,$G71)&gt;1,"doublon",IF($F71="","groupe manquant",IF($G71="","rôle manquant",IF($H71="","support de saisie manquant",IF(AND($I71&lt;&gt;"",$J71&lt;&gt;"",$J71&lt;$I71),"date de fin antérieure à la date de début",IF(AND($G71="encadrant",IFERROR(INDEX(Personnes!$F$5:$F$153,MATCH($C71,Personnes!$A$5:$A$153,0)),"")=""),"courriel encadrant manquant","ok")))))))))</f>
        <v/>
      </c>
    </row>
    <row r="72">
      <c r="A72" s="8" t="inlineStr">
        <is>
          <t>2026-2027</t>
        </is>
      </c>
      <c r="B72" s="14" t="inlineStr">
        <is>
          <t>Jérôme LEFEBVRE [P017]</t>
        </is>
      </c>
      <c r="C72" s="15">
        <f>IFERROR(MID($B72,FIND("[",$B72)+1,FIND("]",$B72)-FIND("[",$B72)-1),"")</f>
        <v/>
      </c>
      <c r="D72" s="15">
        <f>IFERROR(INDEX(Personnes!$B$5:$B$153,MATCH($C72,Personnes!$A$5:$A$153,0))&amp;"","")</f>
        <v/>
      </c>
      <c r="E72" s="15">
        <f>IFERROR(INDEX(Personnes!$C$5:$C$153,MATCH($C72,Personnes!$A$5:$A$153,0))&amp;"","")</f>
        <v/>
      </c>
      <c r="F72" s="14" t="inlineStr">
        <is>
          <t>L3</t>
        </is>
      </c>
      <c r="G72" s="14" t="inlineStr">
        <is>
          <t>élève</t>
        </is>
      </c>
      <c r="H72" s="14" t="inlineStr">
        <is>
          <t>classeur</t>
        </is>
      </c>
      <c r="I72" s="16" t="n">
        <v>46266</v>
      </c>
      <c r="J72" s="16" t="n"/>
      <c r="K72" s="18" t="n"/>
      <c r="L72" s="18" t="n"/>
      <c r="M72" s="15">
        <f>IF($B72="","",IF($C72="","personne non reconnue",IF(ISERROR(SEARCH(TRIM($E72&amp;" "&amp;$D72),$B72)),"libellé incohérent avec l’identifiant",IF(COUNTIFS($A$5:$A$500,$A72,$C$5:$C$500,$C72,$F$5:$F$500,$F72,$G$5:$G$500,$G72)&gt;1,"doublon",IF($F72="","groupe manquant",IF($G72="","rôle manquant",IF($H72="","support de saisie manquant",IF(AND($I72&lt;&gt;"",$J72&lt;&gt;"",$J72&lt;$I72),"date de fin antérieure à la date de début",IF(AND($G72="encadrant",IFERROR(INDEX(Personnes!$F$5:$F$153,MATCH($C72,Personnes!$A$5:$A$153,0)),"")=""),"courriel encadrant manquant","ok")))))))))</f>
        <v/>
      </c>
    </row>
    <row r="73">
      <c r="A73" s="8" t="inlineStr">
        <is>
          <t>2026-2027</t>
        </is>
      </c>
      <c r="B73" s="14" t="inlineStr">
        <is>
          <t>Edward LICHTNER [P010]</t>
        </is>
      </c>
      <c r="C73" s="15">
        <f>IFERROR(MID($B73,FIND("[",$B73)+1,FIND("]",$B73)-FIND("[",$B73)-1),"")</f>
        <v/>
      </c>
      <c r="D73" s="15">
        <f>IFERROR(INDEX(Personnes!$B$5:$B$153,MATCH($C73,Personnes!$A$5:$A$153,0))&amp;"","")</f>
        <v/>
      </c>
      <c r="E73" s="15">
        <f>IFERROR(INDEX(Personnes!$C$5:$C$153,MATCH($C73,Personnes!$A$5:$A$153,0))&amp;"","")</f>
        <v/>
      </c>
      <c r="F73" s="14" t="inlineStr">
        <is>
          <t>L3</t>
        </is>
      </c>
      <c r="G73" s="14" t="inlineStr">
        <is>
          <t>élève</t>
        </is>
      </c>
      <c r="H73" s="14" t="inlineStr">
        <is>
          <t>classeur</t>
        </is>
      </c>
      <c r="I73" s="16" t="n">
        <v>46266</v>
      </c>
      <c r="J73" s="16" t="n"/>
      <c r="K73" s="18" t="n"/>
      <c r="L73" s="18" t="n"/>
      <c r="M73" s="15">
        <f>IF($B73="","",IF($C73="","personne non reconnue",IF(ISERROR(SEARCH(TRIM($E73&amp;" "&amp;$D73),$B73)),"libellé incohérent avec l’identifiant",IF(COUNTIFS($A$5:$A$500,$A73,$C$5:$C$500,$C73,$F$5:$F$500,$F73,$G$5:$G$500,$G73)&gt;1,"doublon",IF($F73="","groupe manquant",IF($G73="","rôle manquant",IF($H73="","support de saisie manquant",IF(AND($I73&lt;&gt;"",$J73&lt;&gt;"",$J73&lt;$I73),"date de fin antérieure à la date de début",IF(AND($G73="encadrant",IFERROR(INDEX(Personnes!$F$5:$F$153,MATCH($C73,Personnes!$A$5:$A$153,0)),"")=""),"courriel encadrant manquant","ok")))))))))</f>
        <v/>
      </c>
    </row>
    <row r="74">
      <c r="A74" s="8" t="inlineStr">
        <is>
          <t>2026-2027</t>
        </is>
      </c>
      <c r="B74" s="14" t="inlineStr">
        <is>
          <t>Jérôme MADE [P018]</t>
        </is>
      </c>
      <c r="C74" s="15">
        <f>IFERROR(MID($B74,FIND("[",$B74)+1,FIND("]",$B74)-FIND("[",$B74)-1),"")</f>
        <v/>
      </c>
      <c r="D74" s="15">
        <f>IFERROR(INDEX(Personnes!$B$5:$B$153,MATCH($C74,Personnes!$A$5:$A$153,0))&amp;"","")</f>
        <v/>
      </c>
      <c r="E74" s="15">
        <f>IFERROR(INDEX(Personnes!$C$5:$C$153,MATCH($C74,Personnes!$A$5:$A$153,0))&amp;"","")</f>
        <v/>
      </c>
      <c r="F74" s="14" t="inlineStr">
        <is>
          <t>L3</t>
        </is>
      </c>
      <c r="G74" s="14" t="inlineStr">
        <is>
          <t>élève</t>
        </is>
      </c>
      <c r="H74" s="14" t="inlineStr">
        <is>
          <t>classeur</t>
        </is>
      </c>
      <c r="I74" s="16" t="n">
        <v>46266</v>
      </c>
      <c r="J74" s="16" t="n"/>
      <c r="K74" s="18" t="n"/>
      <c r="L74" s="18" t="n"/>
      <c r="M74" s="15">
        <f>IF($B74="","",IF($C74="","personne non reconnue",IF(ISERROR(SEARCH(TRIM($E74&amp;" "&amp;$D74),$B74)),"libellé incohérent avec l’identifiant",IF(COUNTIFS($A$5:$A$500,$A74,$C$5:$C$500,$C74,$F$5:$F$500,$F74,$G$5:$G$500,$G74)&gt;1,"doublon",IF($F74="","groupe manquant",IF($G74="","rôle manquant",IF($H74="","support de saisie manquant",IF(AND($I74&lt;&gt;"",$J74&lt;&gt;"",$J74&lt;$I74),"date de fin antérieure à la date de début",IF(AND($G74="encadrant",IFERROR(INDEX(Personnes!$F$5:$F$153,MATCH($C74,Personnes!$A$5:$A$153,0)),"")=""),"courriel encadrant manquant","ok")))))))))</f>
        <v/>
      </c>
    </row>
    <row r="75">
      <c r="A75" s="8" t="inlineStr">
        <is>
          <t>2026-2027</t>
        </is>
      </c>
      <c r="B75" s="14" t="inlineStr">
        <is>
          <t>Marie MARCHIORI [P075]</t>
        </is>
      </c>
      <c r="C75" s="15">
        <f>IFERROR(MID($B75,FIND("[",$B75)+1,FIND("]",$B75)-FIND("[",$B75)-1),"")</f>
        <v/>
      </c>
      <c r="D75" s="15">
        <f>IFERROR(INDEX(Personnes!$B$5:$B$153,MATCH($C75,Personnes!$A$5:$A$153,0))&amp;"","")</f>
        <v/>
      </c>
      <c r="E75" s="15">
        <f>IFERROR(INDEX(Personnes!$C$5:$C$153,MATCH($C75,Personnes!$A$5:$A$153,0))&amp;"","")</f>
        <v/>
      </c>
      <c r="F75" s="14" t="inlineStr">
        <is>
          <t>L3</t>
        </is>
      </c>
      <c r="G75" s="14" t="inlineStr">
        <is>
          <t>élève</t>
        </is>
      </c>
      <c r="H75" s="14" t="inlineStr">
        <is>
          <t>classeur</t>
        </is>
      </c>
      <c r="I75" s="16" t="n">
        <v>46272</v>
      </c>
      <c r="J75" s="16" t="n"/>
      <c r="K75" s="18" t="n"/>
      <c r="L75" s="18" t="n"/>
      <c r="M75" s="15">
        <f>IF($B75="","",IF($C75="","personne non reconnue",IF(ISERROR(SEARCH(TRIM($E75&amp;" "&amp;$D75),$B75)),"libellé incohérent avec l’identifiant",IF(COUNTIFS($A$5:$A$500,$A75,$C$5:$C$500,$C75,$F$5:$F$500,$F75,$G$5:$G$500,$G75)&gt;1,"doublon",IF($F75="","groupe manquant",IF($G75="","rôle manquant",IF($H75="","support de saisie manquant",IF(AND($I75&lt;&gt;"",$J75&lt;&gt;"",$J75&lt;$I75),"date de fin antérieure à la date de début",IF(AND($G75="encadrant",IFERROR(INDEX(Personnes!$F$5:$F$153,MATCH($C75,Personnes!$A$5:$A$153,0)),"")=""),"courriel encadrant manquant","ok")))))))))</f>
        <v/>
      </c>
    </row>
    <row r="76">
      <c r="A76" s="8" t="inlineStr">
        <is>
          <t>2026-2027</t>
        </is>
      </c>
      <c r="B76" s="14" t="inlineStr">
        <is>
          <t>Sébastien PALUD [P059]</t>
        </is>
      </c>
      <c r="C76" s="15">
        <f>IFERROR(MID($B76,FIND("[",$B76)+1,FIND("]",$B76)-FIND("[",$B76)-1),"")</f>
        <v/>
      </c>
      <c r="D76" s="15">
        <f>IFERROR(INDEX(Personnes!$B$5:$B$153,MATCH($C76,Personnes!$A$5:$A$153,0))&amp;"","")</f>
        <v/>
      </c>
      <c r="E76" s="15">
        <f>IFERROR(INDEX(Personnes!$C$5:$C$153,MATCH($C76,Personnes!$A$5:$A$153,0))&amp;"","")</f>
        <v/>
      </c>
      <c r="F76" s="14" t="inlineStr">
        <is>
          <t>L3</t>
        </is>
      </c>
      <c r="G76" s="14" t="inlineStr">
        <is>
          <t>élève</t>
        </is>
      </c>
      <c r="H76" s="14" t="inlineStr">
        <is>
          <t>classeur</t>
        </is>
      </c>
      <c r="I76" s="16" t="n">
        <v>46266</v>
      </c>
      <c r="J76" s="16" t="n"/>
      <c r="K76" s="18" t="n"/>
      <c r="L76" s="18" t="n"/>
      <c r="M76" s="15">
        <f>IF($B76="","",IF($C76="","personne non reconnue",IF(ISERROR(SEARCH(TRIM($E76&amp;" "&amp;$D76),$B76)),"libellé incohérent avec l’identifiant",IF(COUNTIFS($A$5:$A$500,$A76,$C$5:$C$500,$C76,$F$5:$F$500,$F76,$G$5:$G$500,$G76)&gt;1,"doublon",IF($F76="","groupe manquant",IF($G76="","rôle manquant",IF($H76="","support de saisie manquant",IF(AND($I76&lt;&gt;"",$J76&lt;&gt;"",$J76&lt;$I76),"date de fin antérieure à la date de début",IF(AND($G76="encadrant",IFERROR(INDEX(Personnes!$F$5:$F$153,MATCH($C76,Personnes!$A$5:$A$153,0)),"")=""),"courriel encadrant manquant","ok")))))))))</f>
        <v/>
      </c>
    </row>
    <row r="77">
      <c r="A77" s="8" t="inlineStr">
        <is>
          <t>2026-2027</t>
        </is>
      </c>
      <c r="B77" s="14" t="inlineStr">
        <is>
          <t>Jérémy PEINADO [P016]</t>
        </is>
      </c>
      <c r="C77" s="15">
        <f>IFERROR(MID($B77,FIND("[",$B77)+1,FIND("]",$B77)-FIND("[",$B77)-1),"")</f>
        <v/>
      </c>
      <c r="D77" s="15">
        <f>IFERROR(INDEX(Personnes!$B$5:$B$153,MATCH($C77,Personnes!$A$5:$A$153,0))&amp;"","")</f>
        <v/>
      </c>
      <c r="E77" s="15">
        <f>IFERROR(INDEX(Personnes!$C$5:$C$153,MATCH($C77,Personnes!$A$5:$A$153,0))&amp;"","")</f>
        <v/>
      </c>
      <c r="F77" s="14" t="inlineStr">
        <is>
          <t>L3</t>
        </is>
      </c>
      <c r="G77" s="14" t="inlineStr">
        <is>
          <t>élève</t>
        </is>
      </c>
      <c r="H77" s="14" t="inlineStr">
        <is>
          <t>classeur</t>
        </is>
      </c>
      <c r="I77" s="16" t="n">
        <v>46272</v>
      </c>
      <c r="J77" s="16" t="n"/>
      <c r="K77" s="18" t="n"/>
      <c r="L77" s="18" t="n"/>
      <c r="M77" s="15">
        <f>IF($B77="","",IF($C77="","personne non reconnue",IF(ISERROR(SEARCH(TRIM($E77&amp;" "&amp;$D77),$B77)),"libellé incohérent avec l’identifiant",IF(COUNTIFS($A$5:$A$500,$A77,$C$5:$C$500,$C77,$F$5:$F$500,$F77,$G$5:$G$500,$G77)&gt;1,"doublon",IF($F77="","groupe manquant",IF($G77="","rôle manquant",IF($H77="","support de saisie manquant",IF(AND($I77&lt;&gt;"",$J77&lt;&gt;"",$J77&lt;$I77),"date de fin antérieure à la date de début",IF(AND($G77="encadrant",IFERROR(INDEX(Personnes!$F$5:$F$153,MATCH($C77,Personnes!$A$5:$A$153,0)),"")=""),"courriel encadrant manquant","ok")))))))))</f>
        <v/>
      </c>
    </row>
    <row r="78">
      <c r="A78" s="8" t="inlineStr">
        <is>
          <t>2026-2027</t>
        </is>
      </c>
      <c r="B78" s="14" t="inlineStr">
        <is>
          <t>Pauline VALENTINI [P026]</t>
        </is>
      </c>
      <c r="C78" s="15">
        <f>IFERROR(MID($B78,FIND("[",$B78)+1,FIND("]",$B78)-FIND("[",$B78)-1),"")</f>
        <v/>
      </c>
      <c r="D78" s="15">
        <f>IFERROR(INDEX(Personnes!$B$5:$B$153,MATCH($C78,Personnes!$A$5:$A$153,0))&amp;"","")</f>
        <v/>
      </c>
      <c r="E78" s="15">
        <f>IFERROR(INDEX(Personnes!$C$5:$C$153,MATCH($C78,Personnes!$A$5:$A$153,0))&amp;"","")</f>
        <v/>
      </c>
      <c r="F78" s="14" t="inlineStr">
        <is>
          <t>L3</t>
        </is>
      </c>
      <c r="G78" s="14" t="inlineStr">
        <is>
          <t>élève</t>
        </is>
      </c>
      <c r="H78" s="14" t="inlineStr">
        <is>
          <t>classeur</t>
        </is>
      </c>
      <c r="I78" s="16" t="n">
        <v>46266</v>
      </c>
      <c r="J78" s="16" t="n"/>
      <c r="K78" s="18" t="n"/>
      <c r="L78" s="18" t="n"/>
      <c r="M78" s="15">
        <f>IF($B78="","",IF($C78="","personne non reconnue",IF(ISERROR(SEARCH(TRIM($E78&amp;" "&amp;$D78),$B78)),"libellé incohérent avec l’identifiant",IF(COUNTIFS($A$5:$A$500,$A78,$C$5:$C$500,$C78,$F$5:$F$500,$F78,$G$5:$G$500,$G78)&gt;1,"doublon",IF($F78="","groupe manquant",IF($G78="","rôle manquant",IF($H78="","support de saisie manquant",IF(AND($I78&lt;&gt;"",$J78&lt;&gt;"",$J78&lt;$I78),"date de fin antérieure à la date de début",IF(AND($G78="encadrant",IFERROR(INDEX(Personnes!$F$5:$F$153,MATCH($C78,Personnes!$A$5:$A$153,0)),"")=""),"courriel encadrant manquant","ok")))))))))</f>
        <v/>
      </c>
    </row>
    <row r="79">
      <c r="A79" s="8" t="inlineStr">
        <is>
          <t>2026-2027</t>
        </is>
      </c>
      <c r="B79" s="14" t="inlineStr">
        <is>
          <t>Sandry WALLON [P036]</t>
        </is>
      </c>
      <c r="C79" s="15">
        <f>IFERROR(MID($B79,FIND("[",$B79)+1,FIND("]",$B79)-FIND("[",$B79)-1),"")</f>
        <v/>
      </c>
      <c r="D79" s="15">
        <f>IFERROR(INDEX(Personnes!$B$5:$B$153,MATCH($C79,Personnes!$A$5:$A$153,0))&amp;"","")</f>
        <v/>
      </c>
      <c r="E79" s="15">
        <f>IFERROR(INDEX(Personnes!$C$5:$C$153,MATCH($C79,Personnes!$A$5:$A$153,0))&amp;"","")</f>
        <v/>
      </c>
      <c r="F79" s="14" t="inlineStr">
        <is>
          <t>L3</t>
        </is>
      </c>
      <c r="G79" s="14" t="inlineStr">
        <is>
          <t>élève</t>
        </is>
      </c>
      <c r="H79" s="14" t="inlineStr">
        <is>
          <t>classeur</t>
        </is>
      </c>
      <c r="I79" s="16" t="n">
        <v>46266</v>
      </c>
      <c r="J79" s="16" t="n"/>
      <c r="K79" s="18" t="n"/>
      <c r="L79" s="18" t="n"/>
      <c r="M79" s="15">
        <f>IF($B79="","",IF($C79="","personne non reconnue",IF(ISERROR(SEARCH(TRIM($E79&amp;" "&amp;$D79),$B79)),"libellé incohérent avec l’identifiant",IF(COUNTIFS($A$5:$A$500,$A79,$C$5:$C$500,$C79,$F$5:$F$500,$F79,$G$5:$G$500,$G79)&gt;1,"doublon",IF($F79="","groupe manquant",IF($G79="","rôle manquant",IF($H79="","support de saisie manquant",IF(AND($I79&lt;&gt;"",$J79&lt;&gt;"",$J79&lt;$I79),"date de fin antérieure à la date de début",IF(AND($G79="encadrant",IFERROR(INDEX(Personnes!$F$5:$F$153,MATCH($C79,Personnes!$A$5:$A$153,0)),"")=""),"courriel encadrant manquant","ok")))))))))</f>
        <v/>
      </c>
    </row>
    <row r="80">
      <c r="A80" s="8" t="inlineStr">
        <is>
          <t>2026-2027</t>
        </is>
      </c>
      <c r="B80" s="14" t="inlineStr">
        <is>
          <t>Mariem YOUNSSI [P021]</t>
        </is>
      </c>
      <c r="C80" s="15">
        <f>IFERROR(MID($B80,FIND("[",$B80)+1,FIND("]",$B80)-FIND("[",$B80)-1),"")</f>
        <v/>
      </c>
      <c r="D80" s="15">
        <f>IFERROR(INDEX(Personnes!$B$5:$B$153,MATCH($C80,Personnes!$A$5:$A$153,0))&amp;"","")</f>
        <v/>
      </c>
      <c r="E80" s="15">
        <f>IFERROR(INDEX(Personnes!$C$5:$C$153,MATCH($C80,Personnes!$A$5:$A$153,0))&amp;"","")</f>
        <v/>
      </c>
      <c r="F80" s="14" t="inlineStr">
        <is>
          <t>L3</t>
        </is>
      </c>
      <c r="G80" s="14" t="inlineStr">
        <is>
          <t>élève</t>
        </is>
      </c>
      <c r="H80" s="14" t="inlineStr">
        <is>
          <t>classeur</t>
        </is>
      </c>
      <c r="I80" s="16" t="n">
        <v>46272</v>
      </c>
      <c r="J80" s="16" t="n"/>
      <c r="K80" s="18" t="n"/>
      <c r="L80" s="18" t="n"/>
      <c r="M80" s="15">
        <f>IF($B80="","",IF($C80="","personne non reconnue",IF(ISERROR(SEARCH(TRIM($E80&amp;" "&amp;$D80),$B80)),"libellé incohérent avec l’identifiant",IF(COUNTIFS($A$5:$A$500,$A80,$C$5:$C$500,$C80,$F$5:$F$500,$F80,$G$5:$G$500,$G80)&gt;1,"doublon",IF($F80="","groupe manquant",IF($G80="","rôle manquant",IF($H80="","support de saisie manquant",IF(AND($I80&lt;&gt;"",$J80&lt;&gt;"",$J80&lt;$I80),"date de fin antérieure à la date de début",IF(AND($G80="encadrant",IFERROR(INDEX(Personnes!$F$5:$F$153,MATCH($C80,Personnes!$A$5:$A$153,0)),"")=""),"courriel encadrant manquant","ok")))))))))</f>
        <v/>
      </c>
    </row>
    <row r="81">
      <c r="A81" s="8" t="inlineStr">
        <is>
          <t>2026-2027</t>
        </is>
      </c>
      <c r="B81" s="14" t="inlineStr">
        <is>
          <t>Céline DUMONT [P043]</t>
        </is>
      </c>
      <c r="C81" s="15">
        <f>IFERROR(MID($B81,FIND("[",$B81)+1,FIND("]",$B81)-FIND("[",$B81)-1),"")</f>
        <v/>
      </c>
      <c r="D81" s="15">
        <f>IFERROR(INDEX(Personnes!$B$5:$B$153,MATCH($C81,Personnes!$A$5:$A$153,0))&amp;"","")</f>
        <v/>
      </c>
      <c r="E81" s="15">
        <f>IFERROR(INDEX(Personnes!$C$5:$C$153,MATCH($C81,Personnes!$A$5:$A$153,0))&amp;"","")</f>
        <v/>
      </c>
      <c r="F81" s="14" t="inlineStr">
        <is>
          <t>L4</t>
        </is>
      </c>
      <c r="G81" s="14" t="inlineStr">
        <is>
          <t>encadrant</t>
        </is>
      </c>
      <c r="H81" s="14" t="inlineStr">
        <is>
          <t>classeur</t>
        </is>
      </c>
      <c r="I81" s="16" t="n">
        <v>46272</v>
      </c>
      <c r="J81" s="16" t="n"/>
      <c r="K81" s="18" t="n"/>
      <c r="L81" s="18" t="n"/>
      <c r="M81" s="15">
        <f>IF($B81="","",IF($C81="","personne non reconnue",IF(ISERROR(SEARCH(TRIM($E81&amp;" "&amp;$D81),$B81)),"libellé incohérent avec l’identifiant",IF(COUNTIFS($A$5:$A$500,$A81,$C$5:$C$500,$C81,$F$5:$F$500,$F81,$G$5:$G$500,$G81)&gt;1,"doublon",IF($F81="","groupe manquant",IF($G81="","rôle manquant",IF($H81="","support de saisie manquant",IF(AND($I81&lt;&gt;"",$J81&lt;&gt;"",$J81&lt;$I81),"date de fin antérieure à la date de début",IF(AND($G81="encadrant",IFERROR(INDEX(Personnes!$F$5:$F$153,MATCH($C81,Personnes!$A$5:$A$153,0)),"")=""),"courriel encadrant manquant","ok")))))))))</f>
        <v/>
      </c>
    </row>
    <row r="82">
      <c r="A82" s="8" t="inlineStr">
        <is>
          <t>2026-2027</t>
        </is>
      </c>
      <c r="B82" s="14" t="inlineStr">
        <is>
          <t>Philippe FREDON [P039]</t>
        </is>
      </c>
      <c r="C82" s="15">
        <f>IFERROR(MID($B82,FIND("[",$B82)+1,FIND("]",$B82)-FIND("[",$B82)-1),"")</f>
        <v/>
      </c>
      <c r="D82" s="15">
        <f>IFERROR(INDEX(Personnes!$B$5:$B$153,MATCH($C82,Personnes!$A$5:$A$153,0))&amp;"","")</f>
        <v/>
      </c>
      <c r="E82" s="15">
        <f>IFERROR(INDEX(Personnes!$C$5:$C$153,MATCH($C82,Personnes!$A$5:$A$153,0))&amp;"","")</f>
        <v/>
      </c>
      <c r="F82" s="14" t="inlineStr">
        <is>
          <t>L4</t>
        </is>
      </c>
      <c r="G82" s="14" t="inlineStr">
        <is>
          <t>encadrant</t>
        </is>
      </c>
      <c r="H82" s="14" t="inlineStr">
        <is>
          <t>classeur</t>
        </is>
      </c>
      <c r="I82" s="16" t="n">
        <v>46272</v>
      </c>
      <c r="J82" s="16" t="n"/>
      <c r="K82" s="18" t="n"/>
      <c r="L82" s="18" t="n"/>
      <c r="M82" s="15">
        <f>IF($B82="","",IF($C82="","personne non reconnue",IF(ISERROR(SEARCH(TRIM($E82&amp;" "&amp;$D82),$B82)),"libellé incohérent avec l’identifiant",IF(COUNTIFS($A$5:$A$500,$A82,$C$5:$C$500,$C82,$F$5:$F$500,$F82,$G$5:$G$500,$G82)&gt;1,"doublon",IF($F82="","groupe manquant",IF($G82="","rôle manquant",IF($H82="","support de saisie manquant",IF(AND($I82&lt;&gt;"",$J82&lt;&gt;"",$J82&lt;$I82),"date de fin antérieure à la date de début",IF(AND($G82="encadrant",IFERROR(INDEX(Personnes!$F$5:$F$153,MATCH($C82,Personnes!$A$5:$A$153,0)),"")=""),"courriel encadrant manquant","ok")))))))))</f>
        <v/>
      </c>
    </row>
    <row r="83">
      <c r="A83" s="8" t="inlineStr">
        <is>
          <t>2026-2027</t>
        </is>
      </c>
      <c r="B83" s="14" t="inlineStr">
        <is>
          <t>Anthony GUGLIELMO [P040]</t>
        </is>
      </c>
      <c r="C83" s="15">
        <f>IFERROR(MID($B83,FIND("[",$B83)+1,FIND("]",$B83)-FIND("[",$B83)-1),"")</f>
        <v/>
      </c>
      <c r="D83" s="15">
        <f>IFERROR(INDEX(Personnes!$B$5:$B$153,MATCH($C83,Personnes!$A$5:$A$153,0))&amp;"","")</f>
        <v/>
      </c>
      <c r="E83" s="15">
        <f>IFERROR(INDEX(Personnes!$C$5:$C$153,MATCH($C83,Personnes!$A$5:$A$153,0))&amp;"","")</f>
        <v/>
      </c>
      <c r="F83" s="14" t="inlineStr">
        <is>
          <t>L4</t>
        </is>
      </c>
      <c r="G83" s="14" t="inlineStr">
        <is>
          <t>encadrant</t>
        </is>
      </c>
      <c r="H83" s="14" t="inlineStr">
        <is>
          <t>classeur</t>
        </is>
      </c>
      <c r="I83" s="16" t="n">
        <v>46272</v>
      </c>
      <c r="J83" s="16" t="n"/>
      <c r="K83" s="18" t="n"/>
      <c r="L83" s="18" t="n"/>
      <c r="M83" s="15">
        <f>IF($B83="","",IF($C83="","personne non reconnue",IF(ISERROR(SEARCH(TRIM($E83&amp;" "&amp;$D83),$B83)),"libellé incohérent avec l’identifiant",IF(COUNTIFS($A$5:$A$500,$A83,$C$5:$C$500,$C83,$F$5:$F$500,$F83,$G$5:$G$500,$G83)&gt;1,"doublon",IF($F83="","groupe manquant",IF($G83="","rôle manquant",IF($H83="","support de saisie manquant",IF(AND($I83&lt;&gt;"",$J83&lt;&gt;"",$J83&lt;$I83),"date de fin antérieure à la date de début",IF(AND($G83="encadrant",IFERROR(INDEX(Personnes!$F$5:$F$153,MATCH($C83,Personnes!$A$5:$A$153,0)),"")=""),"courriel encadrant manquant","ok")))))))))</f>
        <v/>
      </c>
    </row>
    <row r="84">
      <c r="A84" s="8" t="inlineStr">
        <is>
          <t>2026-2027</t>
        </is>
      </c>
      <c r="B84" s="14" t="inlineStr">
        <is>
          <t>Pierre-Alain HOYAU [P041]</t>
        </is>
      </c>
      <c r="C84" s="15">
        <f>IFERROR(MID($B84,FIND("[",$B84)+1,FIND("]",$B84)-FIND("[",$B84)-1),"")</f>
        <v/>
      </c>
      <c r="D84" s="15">
        <f>IFERROR(INDEX(Personnes!$B$5:$B$153,MATCH($C84,Personnes!$A$5:$A$153,0))&amp;"","")</f>
        <v/>
      </c>
      <c r="E84" s="15">
        <f>IFERROR(INDEX(Personnes!$C$5:$C$153,MATCH($C84,Personnes!$A$5:$A$153,0))&amp;"","")</f>
        <v/>
      </c>
      <c r="F84" s="14" t="inlineStr">
        <is>
          <t>L4</t>
        </is>
      </c>
      <c r="G84" s="14" t="inlineStr">
        <is>
          <t>encadrant</t>
        </is>
      </c>
      <c r="H84" s="14" t="inlineStr">
        <is>
          <t>classeur</t>
        </is>
      </c>
      <c r="I84" s="16" t="n">
        <v>46272</v>
      </c>
      <c r="J84" s="16" t="n"/>
      <c r="K84" s="18" t="n"/>
      <c r="L84" s="18" t="n"/>
      <c r="M84" s="15">
        <f>IF($B84="","",IF($C84="","personne non reconnue",IF(ISERROR(SEARCH(TRIM($E84&amp;" "&amp;$D84),$B84)),"libellé incohérent avec l’identifiant",IF(COUNTIFS($A$5:$A$500,$A84,$C$5:$C$500,$C84,$F$5:$F$500,$F84,$G$5:$G$500,$G84)&gt;1,"doublon",IF($F84="","groupe manquant",IF($G84="","rôle manquant",IF($H84="","support de saisie manquant",IF(AND($I84&lt;&gt;"",$J84&lt;&gt;"",$J84&lt;$I84),"date de fin antérieure à la date de début",IF(AND($G84="encadrant",IFERROR(INDEX(Personnes!$F$5:$F$153,MATCH($C84,Personnes!$A$5:$A$153,0)),"")=""),"courriel encadrant manquant","ok")))))))))</f>
        <v/>
      </c>
    </row>
    <row r="85">
      <c r="A85" s="8" t="inlineStr">
        <is>
          <t>2026-2027</t>
        </is>
      </c>
      <c r="B85" s="14" t="inlineStr">
        <is>
          <t>David INSERGUET [P042]</t>
        </is>
      </c>
      <c r="C85" s="15">
        <f>IFERROR(MID($B85,FIND("[",$B85)+1,FIND("]",$B85)-FIND("[",$B85)-1),"")</f>
        <v/>
      </c>
      <c r="D85" s="15">
        <f>IFERROR(INDEX(Personnes!$B$5:$B$153,MATCH($C85,Personnes!$A$5:$A$153,0))&amp;"","")</f>
        <v/>
      </c>
      <c r="E85" s="15">
        <f>IFERROR(INDEX(Personnes!$C$5:$C$153,MATCH($C85,Personnes!$A$5:$A$153,0))&amp;"","")</f>
        <v/>
      </c>
      <c r="F85" s="14" t="inlineStr">
        <is>
          <t>L4</t>
        </is>
      </c>
      <c r="G85" s="14" t="inlineStr">
        <is>
          <t>encadrant</t>
        </is>
      </c>
      <c r="H85" s="14" t="inlineStr">
        <is>
          <t>classeur</t>
        </is>
      </c>
      <c r="I85" s="16" t="n">
        <v>46272</v>
      </c>
      <c r="J85" s="16" t="n"/>
      <c r="K85" s="18" t="n"/>
      <c r="L85" s="18" t="n"/>
      <c r="M85" s="15">
        <f>IF($B85="","",IF($C85="","personne non reconnue",IF(ISERROR(SEARCH(TRIM($E85&amp;" "&amp;$D85),$B85)),"libellé incohérent avec l’identifiant",IF(COUNTIFS($A$5:$A$500,$A85,$C$5:$C$500,$C85,$F$5:$F$500,$F85,$G$5:$G$500,$G85)&gt;1,"doublon",IF($F85="","groupe manquant",IF($G85="","rôle manquant",IF($H85="","support de saisie manquant",IF(AND($I85&lt;&gt;"",$J85&lt;&gt;"",$J85&lt;$I85),"date de fin antérieure à la date de début",IF(AND($G85="encadrant",IFERROR(INDEX(Personnes!$F$5:$F$153,MATCH($C85,Personnes!$A$5:$A$153,0)),"")=""),"courriel encadrant manquant","ok")))))))))</f>
        <v/>
      </c>
    </row>
    <row r="86">
      <c r="A86" s="8" t="inlineStr">
        <is>
          <t>2026-2027</t>
        </is>
      </c>
      <c r="B86" s="14" t="inlineStr">
        <is>
          <t>Alain PASCAL [P044]</t>
        </is>
      </c>
      <c r="C86" s="15">
        <f>IFERROR(MID($B86,FIND("[",$B86)+1,FIND("]",$B86)-FIND("[",$B86)-1),"")</f>
        <v/>
      </c>
      <c r="D86" s="15">
        <f>IFERROR(INDEX(Personnes!$B$5:$B$153,MATCH($C86,Personnes!$A$5:$A$153,0))&amp;"","")</f>
        <v/>
      </c>
      <c r="E86" s="15">
        <f>IFERROR(INDEX(Personnes!$C$5:$C$153,MATCH($C86,Personnes!$A$5:$A$153,0))&amp;"","")</f>
        <v/>
      </c>
      <c r="F86" s="14" t="inlineStr">
        <is>
          <t>L4</t>
        </is>
      </c>
      <c r="G86" s="14" t="inlineStr">
        <is>
          <t>encadrant</t>
        </is>
      </c>
      <c r="H86" s="14" t="inlineStr">
        <is>
          <t>classeur</t>
        </is>
      </c>
      <c r="I86" s="16" t="n">
        <v>46272</v>
      </c>
      <c r="J86" s="16" t="n"/>
      <c r="K86" s="18" t="n"/>
      <c r="L86" s="18" t="n"/>
      <c r="M86" s="15">
        <f>IF($B86="","",IF($C86="","personne non reconnue",IF(ISERROR(SEARCH(TRIM($E86&amp;" "&amp;$D86),$B86)),"libellé incohérent avec l’identifiant",IF(COUNTIFS($A$5:$A$500,$A86,$C$5:$C$500,$C86,$F$5:$F$500,$F86,$G$5:$G$500,$G86)&gt;1,"doublon",IF($F86="","groupe manquant",IF($G86="","rôle manquant",IF($H86="","support de saisie manquant",IF(AND($I86&lt;&gt;"",$J86&lt;&gt;"",$J86&lt;$I86),"date de fin antérieure à la date de début",IF(AND($G86="encadrant",IFERROR(INDEX(Personnes!$F$5:$F$153,MATCH($C86,Personnes!$A$5:$A$153,0)),"")=""),"courriel encadrant manquant","ok")))))))))</f>
        <v/>
      </c>
    </row>
    <row r="87">
      <c r="A87" s="8" t="inlineStr">
        <is>
          <t>2026-2027</t>
        </is>
      </c>
      <c r="B87" s="14" t="inlineStr">
        <is>
          <t>Achour BACHA [P053]</t>
        </is>
      </c>
      <c r="C87" s="15">
        <f>IFERROR(MID($B87,FIND("[",$B87)+1,FIND("]",$B87)-FIND("[",$B87)-1),"")</f>
        <v/>
      </c>
      <c r="D87" s="15">
        <f>IFERROR(INDEX(Personnes!$B$5:$B$153,MATCH($C87,Personnes!$A$5:$A$153,0))&amp;"","")</f>
        <v/>
      </c>
      <c r="E87" s="15">
        <f>IFERROR(INDEX(Personnes!$C$5:$C$153,MATCH($C87,Personnes!$A$5:$A$153,0))&amp;"","")</f>
        <v/>
      </c>
      <c r="F87" s="14" t="inlineStr">
        <is>
          <t>L4</t>
        </is>
      </c>
      <c r="G87" s="14" t="inlineStr">
        <is>
          <t>élève</t>
        </is>
      </c>
      <c r="H87" s="14" t="inlineStr">
        <is>
          <t>classeur</t>
        </is>
      </c>
      <c r="I87" s="16" t="n">
        <v>46272</v>
      </c>
      <c r="J87" s="16" t="n"/>
      <c r="K87" s="18" t="n"/>
      <c r="L87" s="18" t="n"/>
      <c r="M87" s="15">
        <f>IF($B87="","",IF($C87="","personne non reconnue",IF(ISERROR(SEARCH(TRIM($E87&amp;" "&amp;$D87),$B87)),"libellé incohérent avec l’identifiant",IF(COUNTIFS($A$5:$A$500,$A87,$C$5:$C$500,$C87,$F$5:$F$500,$F87,$G$5:$G$500,$G87)&gt;1,"doublon",IF($F87="","groupe manquant",IF($G87="","rôle manquant",IF($H87="","support de saisie manquant",IF(AND($I87&lt;&gt;"",$J87&lt;&gt;"",$J87&lt;$I87),"date de fin antérieure à la date de début",IF(AND($G87="encadrant",IFERROR(INDEX(Personnes!$F$5:$F$153,MATCH($C87,Personnes!$A$5:$A$153,0)),"")=""),"courriel encadrant manquant","ok")))))))))</f>
        <v/>
      </c>
    </row>
    <row r="88">
      <c r="A88" s="8" t="inlineStr">
        <is>
          <t>2026-2027</t>
        </is>
      </c>
      <c r="B88" s="14" t="inlineStr">
        <is>
          <t>Lionel BECHARA [P019]</t>
        </is>
      </c>
      <c r="C88" s="15">
        <f>IFERROR(MID($B88,FIND("[",$B88)+1,FIND("]",$B88)-FIND("[",$B88)-1),"")</f>
        <v/>
      </c>
      <c r="D88" s="15">
        <f>IFERROR(INDEX(Personnes!$B$5:$B$153,MATCH($C88,Personnes!$A$5:$A$153,0))&amp;"","")</f>
        <v/>
      </c>
      <c r="E88" s="15">
        <f>IFERROR(INDEX(Personnes!$C$5:$C$153,MATCH($C88,Personnes!$A$5:$A$153,0))&amp;"","")</f>
        <v/>
      </c>
      <c r="F88" s="14" t="inlineStr">
        <is>
          <t>L4</t>
        </is>
      </c>
      <c r="G88" s="14" t="inlineStr">
        <is>
          <t>élève</t>
        </is>
      </c>
      <c r="H88" s="14" t="inlineStr">
        <is>
          <t>classeur</t>
        </is>
      </c>
      <c r="I88" s="16" t="n">
        <v>46272</v>
      </c>
      <c r="J88" s="16" t="n"/>
      <c r="K88" s="18" t="n"/>
      <c r="L88" s="18" t="n"/>
      <c r="M88" s="15">
        <f>IF($B88="","",IF($C88="","personne non reconnue",IF(ISERROR(SEARCH(TRIM($E88&amp;" "&amp;$D88),$B88)),"libellé incohérent avec l’identifiant",IF(COUNTIFS($A$5:$A$500,$A88,$C$5:$C$500,$C88,$F$5:$F$500,$F88,$G$5:$G$500,$G88)&gt;1,"doublon",IF($F88="","groupe manquant",IF($G88="","rôle manquant",IF($H88="","support de saisie manquant",IF(AND($I88&lt;&gt;"",$J88&lt;&gt;"",$J88&lt;$I88),"date de fin antérieure à la date de début",IF(AND($G88="encadrant",IFERROR(INDEX(Personnes!$F$5:$F$153,MATCH($C88,Personnes!$A$5:$A$153,0)),"")=""),"courriel encadrant manquant","ok")))))))))</f>
        <v/>
      </c>
    </row>
    <row r="89">
      <c r="A89" s="8" t="inlineStr">
        <is>
          <t>2026-2027</t>
        </is>
      </c>
      <c r="B89" s="14" t="inlineStr">
        <is>
          <t>Gabrielle BEYL [P035]</t>
        </is>
      </c>
      <c r="C89" s="15">
        <f>IFERROR(MID($B89,FIND("[",$B89)+1,FIND("]",$B89)-FIND("[",$B89)-1),"")</f>
        <v/>
      </c>
      <c r="D89" s="15">
        <f>IFERROR(INDEX(Personnes!$B$5:$B$153,MATCH($C89,Personnes!$A$5:$A$153,0))&amp;"","")</f>
        <v/>
      </c>
      <c r="E89" s="15">
        <f>IFERROR(INDEX(Personnes!$C$5:$C$153,MATCH($C89,Personnes!$A$5:$A$153,0))&amp;"","")</f>
        <v/>
      </c>
      <c r="F89" s="14" t="inlineStr">
        <is>
          <t>L4</t>
        </is>
      </c>
      <c r="G89" s="14" t="inlineStr">
        <is>
          <t>élève</t>
        </is>
      </c>
      <c r="H89" s="14" t="inlineStr">
        <is>
          <t>classeur</t>
        </is>
      </c>
      <c r="I89" s="16" t="n">
        <v>46272</v>
      </c>
      <c r="J89" s="16" t="n"/>
      <c r="K89" s="18" t="n"/>
      <c r="L89" s="18" t="n"/>
      <c r="M89" s="15">
        <f>IF($B89="","",IF($C89="","personne non reconnue",IF(ISERROR(SEARCH(TRIM($E89&amp;" "&amp;$D89),$B89)),"libellé incohérent avec l’identifiant",IF(COUNTIFS($A$5:$A$500,$A89,$C$5:$C$500,$C89,$F$5:$F$500,$F89,$G$5:$G$500,$G89)&gt;1,"doublon",IF($F89="","groupe manquant",IF($G89="","rôle manquant",IF($H89="","support de saisie manquant",IF(AND($I89&lt;&gt;"",$J89&lt;&gt;"",$J89&lt;$I89),"date de fin antérieure à la date de début",IF(AND($G89="encadrant",IFERROR(INDEX(Personnes!$F$5:$F$153,MATCH($C89,Personnes!$A$5:$A$153,0)),"")=""),"courriel encadrant manquant","ok")))))))))</f>
        <v/>
      </c>
    </row>
    <row r="90">
      <c r="A90" s="8" t="inlineStr">
        <is>
          <t>2026-2027</t>
        </is>
      </c>
      <c r="B90" s="14" t="inlineStr">
        <is>
          <t>Christophe CHABERNAUD [P097]</t>
        </is>
      </c>
      <c r="C90" s="15">
        <f>IFERROR(MID($B90,FIND("[",$B90)+1,FIND("]",$B90)-FIND("[",$B90)-1),"")</f>
        <v/>
      </c>
      <c r="D90" s="15">
        <f>IFERROR(INDEX(Personnes!$B$5:$B$153,MATCH($C90,Personnes!$A$5:$A$153,0))&amp;"","")</f>
        <v/>
      </c>
      <c r="E90" s="15">
        <f>IFERROR(INDEX(Personnes!$C$5:$C$153,MATCH($C90,Personnes!$A$5:$A$153,0))&amp;"","")</f>
        <v/>
      </c>
      <c r="F90" s="14" t="inlineStr">
        <is>
          <t>L4</t>
        </is>
      </c>
      <c r="G90" s="14" t="inlineStr">
        <is>
          <t>élève</t>
        </is>
      </c>
      <c r="H90" s="14" t="inlineStr">
        <is>
          <t>classeur</t>
        </is>
      </c>
      <c r="I90" s="16" t="n">
        <v>46272</v>
      </c>
      <c r="J90" s="16" t="n"/>
      <c r="K90" s="18" t="n"/>
      <c r="L90" s="18" t="n"/>
      <c r="M90" s="15">
        <f>IF($B90="","",IF($C90="","personne non reconnue",IF(ISERROR(SEARCH(TRIM($E90&amp;" "&amp;$D90),$B90)),"libellé incohérent avec l’identifiant",IF(COUNTIFS($A$5:$A$500,$A90,$C$5:$C$500,$C90,$F$5:$F$500,$F90,$G$5:$G$500,$G90)&gt;1,"doublon",IF($F90="","groupe manquant",IF($G90="","rôle manquant",IF($H90="","support de saisie manquant",IF(AND($I90&lt;&gt;"",$J90&lt;&gt;"",$J90&lt;$I90),"date de fin antérieure à la date de début",IF(AND($G90="encadrant",IFERROR(INDEX(Personnes!$F$5:$F$153,MATCH($C90,Personnes!$A$5:$A$153,0)),"")=""),"courriel encadrant manquant","ok")))))))))</f>
        <v/>
      </c>
    </row>
    <row r="91">
      <c r="A91" s="8" t="inlineStr">
        <is>
          <t>2026-2027</t>
        </is>
      </c>
      <c r="B91" s="14" t="inlineStr">
        <is>
          <t>Anthony GUGLIELMO [P040]</t>
        </is>
      </c>
      <c r="C91" s="15">
        <f>IFERROR(MID($B91,FIND("[",$B91)+1,FIND("]",$B91)-FIND("[",$B91)-1),"")</f>
        <v/>
      </c>
      <c r="D91" s="15">
        <f>IFERROR(INDEX(Personnes!$B$5:$B$153,MATCH($C91,Personnes!$A$5:$A$153,0))&amp;"","")</f>
        <v/>
      </c>
      <c r="E91" s="15">
        <f>IFERROR(INDEX(Personnes!$C$5:$C$153,MATCH($C91,Personnes!$A$5:$A$153,0))&amp;"","")</f>
        <v/>
      </c>
      <c r="F91" s="14" t="inlineStr">
        <is>
          <t>L4</t>
        </is>
      </c>
      <c r="G91" s="14" t="inlineStr">
        <is>
          <t>élève</t>
        </is>
      </c>
      <c r="H91" s="14" t="inlineStr">
        <is>
          <t>classeur</t>
        </is>
      </c>
      <c r="I91" s="16" t="n">
        <v>46272</v>
      </c>
      <c r="J91" s="16" t="n"/>
      <c r="K91" s="18" t="n"/>
      <c r="L91" s="18" t="n"/>
      <c r="M91" s="15">
        <f>IF($B91="","",IF($C91="","personne non reconnue",IF(ISERROR(SEARCH(TRIM($E91&amp;" "&amp;$D91),$B91)),"libellé incohérent avec l’identifiant",IF(COUNTIFS($A$5:$A$500,$A91,$C$5:$C$500,$C91,$F$5:$F$500,$F91,$G$5:$G$500,$G91)&gt;1,"doublon",IF($F91="","groupe manquant",IF($G91="","rôle manquant",IF($H91="","support de saisie manquant",IF(AND($I91&lt;&gt;"",$J91&lt;&gt;"",$J91&lt;$I91),"date de fin antérieure à la date de début",IF(AND($G91="encadrant",IFERROR(INDEX(Personnes!$F$5:$F$153,MATCH($C91,Personnes!$A$5:$A$153,0)),"")=""),"courriel encadrant manquant","ok")))))))))</f>
        <v/>
      </c>
    </row>
    <row r="92">
      <c r="A92" s="8" t="inlineStr">
        <is>
          <t>2026-2027</t>
        </is>
      </c>
      <c r="B92" s="14" t="inlineStr">
        <is>
          <t>Thomas HENRY [P098]</t>
        </is>
      </c>
      <c r="C92" s="15">
        <f>IFERROR(MID($B92,FIND("[",$B92)+1,FIND("]",$B92)-FIND("[",$B92)-1),"")</f>
        <v/>
      </c>
      <c r="D92" s="15">
        <f>IFERROR(INDEX(Personnes!$B$5:$B$153,MATCH($C92,Personnes!$A$5:$A$153,0))&amp;"","")</f>
        <v/>
      </c>
      <c r="E92" s="15">
        <f>IFERROR(INDEX(Personnes!$C$5:$C$153,MATCH($C92,Personnes!$A$5:$A$153,0))&amp;"","")</f>
        <v/>
      </c>
      <c r="F92" s="14" t="inlineStr">
        <is>
          <t>L4</t>
        </is>
      </c>
      <c r="G92" s="14" t="inlineStr">
        <is>
          <t>élève</t>
        </is>
      </c>
      <c r="H92" s="14" t="inlineStr">
        <is>
          <t>classeur</t>
        </is>
      </c>
      <c r="I92" s="16" t="n">
        <v>46272</v>
      </c>
      <c r="J92" s="16" t="n"/>
      <c r="K92" s="18" t="n"/>
      <c r="L92" s="18" t="n"/>
      <c r="M92" s="15">
        <f>IF($B92="","",IF($C92="","personne non reconnue",IF(ISERROR(SEARCH(TRIM($E92&amp;" "&amp;$D92),$B92)),"libellé incohérent avec l’identifiant",IF(COUNTIFS($A$5:$A$500,$A92,$C$5:$C$500,$C92,$F$5:$F$500,$F92,$G$5:$G$500,$G92)&gt;1,"doublon",IF($F92="","groupe manquant",IF($G92="","rôle manquant",IF($H92="","support de saisie manquant",IF(AND($I92&lt;&gt;"",$J92&lt;&gt;"",$J92&lt;$I92),"date de fin antérieure à la date de début",IF(AND($G92="encadrant",IFERROR(INDEX(Personnes!$F$5:$F$153,MATCH($C92,Personnes!$A$5:$A$153,0)),"")=""),"courriel encadrant manquant","ok")))))))))</f>
        <v/>
      </c>
    </row>
    <row r="93">
      <c r="A93" s="8" t="inlineStr">
        <is>
          <t>2026-2027</t>
        </is>
      </c>
      <c r="B93" s="14" t="inlineStr">
        <is>
          <t>Pierre-Alain HOYAU [P041]</t>
        </is>
      </c>
      <c r="C93" s="15">
        <f>IFERROR(MID($B93,FIND("[",$B93)+1,FIND("]",$B93)-FIND("[",$B93)-1),"")</f>
        <v/>
      </c>
      <c r="D93" s="15">
        <f>IFERROR(INDEX(Personnes!$B$5:$B$153,MATCH($C93,Personnes!$A$5:$A$153,0))&amp;"","")</f>
        <v/>
      </c>
      <c r="E93" s="15">
        <f>IFERROR(INDEX(Personnes!$C$5:$C$153,MATCH($C93,Personnes!$A$5:$A$153,0))&amp;"","")</f>
        <v/>
      </c>
      <c r="F93" s="14" t="inlineStr">
        <is>
          <t>L4</t>
        </is>
      </c>
      <c r="G93" s="14" t="inlineStr">
        <is>
          <t>élève</t>
        </is>
      </c>
      <c r="H93" s="14" t="inlineStr">
        <is>
          <t>classeur</t>
        </is>
      </c>
      <c r="I93" s="16" t="n">
        <v>46272</v>
      </c>
      <c r="J93" s="16" t="n"/>
      <c r="K93" s="18" t="n"/>
      <c r="L93" s="18" t="n"/>
      <c r="M93" s="15">
        <f>IF($B93="","",IF($C93="","personne non reconnue",IF(ISERROR(SEARCH(TRIM($E93&amp;" "&amp;$D93),$B93)),"libellé incohérent avec l’identifiant",IF(COUNTIFS($A$5:$A$500,$A93,$C$5:$C$500,$C93,$F$5:$F$500,$F93,$G$5:$G$500,$G93)&gt;1,"doublon",IF($F93="","groupe manquant",IF($G93="","rôle manquant",IF($H93="","support de saisie manquant",IF(AND($I93&lt;&gt;"",$J93&lt;&gt;"",$J93&lt;$I93),"date de fin antérieure à la date de début",IF(AND($G93="encadrant",IFERROR(INDEX(Personnes!$F$5:$F$153,MATCH($C93,Personnes!$A$5:$A$153,0)),"")=""),"courriel encadrant manquant","ok")))))))))</f>
        <v/>
      </c>
    </row>
    <row r="94">
      <c r="A94" s="8" t="inlineStr">
        <is>
          <t>2026-2027</t>
        </is>
      </c>
      <c r="B94" s="14" t="inlineStr">
        <is>
          <t>David INSERGUET [P042]</t>
        </is>
      </c>
      <c r="C94" s="15">
        <f>IFERROR(MID($B94,FIND("[",$B94)+1,FIND("]",$B94)-FIND("[",$B94)-1),"")</f>
        <v/>
      </c>
      <c r="D94" s="15">
        <f>IFERROR(INDEX(Personnes!$B$5:$B$153,MATCH($C94,Personnes!$A$5:$A$153,0))&amp;"","")</f>
        <v/>
      </c>
      <c r="E94" s="15">
        <f>IFERROR(INDEX(Personnes!$C$5:$C$153,MATCH($C94,Personnes!$A$5:$A$153,0))&amp;"","")</f>
        <v/>
      </c>
      <c r="F94" s="14" t="inlineStr">
        <is>
          <t>L4</t>
        </is>
      </c>
      <c r="G94" s="14" t="inlineStr">
        <is>
          <t>élève</t>
        </is>
      </c>
      <c r="H94" s="14" t="inlineStr">
        <is>
          <t>classeur</t>
        </is>
      </c>
      <c r="I94" s="16" t="n">
        <v>46272</v>
      </c>
      <c r="J94" s="16" t="n"/>
      <c r="K94" s="18" t="n"/>
      <c r="L94" s="18" t="n"/>
      <c r="M94" s="15">
        <f>IF($B94="","",IF($C94="","personne non reconnue",IF(ISERROR(SEARCH(TRIM($E94&amp;" "&amp;$D94),$B94)),"libellé incohérent avec l’identifiant",IF(COUNTIFS($A$5:$A$500,$A94,$C$5:$C$500,$C94,$F$5:$F$500,$F94,$G$5:$G$500,$G94)&gt;1,"doublon",IF($F94="","groupe manquant",IF($G94="","rôle manquant",IF($H94="","support de saisie manquant",IF(AND($I94&lt;&gt;"",$J94&lt;&gt;"",$J94&lt;$I94),"date de fin antérieure à la date de début",IF(AND($G94="encadrant",IFERROR(INDEX(Personnes!$F$5:$F$153,MATCH($C94,Personnes!$A$5:$A$153,0)),"")=""),"courriel encadrant manquant","ok")))))))))</f>
        <v/>
      </c>
    </row>
    <row r="95">
      <c r="A95" s="8" t="inlineStr">
        <is>
          <t>2026-2027</t>
        </is>
      </c>
      <c r="B95" s="14" t="inlineStr">
        <is>
          <t>Fred LE BRIGAND [P037]</t>
        </is>
      </c>
      <c r="C95" s="15">
        <f>IFERROR(MID($B95,FIND("[",$B95)+1,FIND("]",$B95)-FIND("[",$B95)-1),"")</f>
        <v/>
      </c>
      <c r="D95" s="15">
        <f>IFERROR(INDEX(Personnes!$B$5:$B$153,MATCH($C95,Personnes!$A$5:$A$153,0))&amp;"","")</f>
        <v/>
      </c>
      <c r="E95" s="15">
        <f>IFERROR(INDEX(Personnes!$C$5:$C$153,MATCH($C95,Personnes!$A$5:$A$153,0))&amp;"","")</f>
        <v/>
      </c>
      <c r="F95" s="14" t="inlineStr">
        <is>
          <t>L4</t>
        </is>
      </c>
      <c r="G95" s="14" t="inlineStr">
        <is>
          <t>élève</t>
        </is>
      </c>
      <c r="H95" s="14" t="inlineStr">
        <is>
          <t>classeur</t>
        </is>
      </c>
      <c r="I95" s="16" t="n">
        <v>46272</v>
      </c>
      <c r="J95" s="16" t="n"/>
      <c r="K95" s="18" t="n"/>
      <c r="L95" s="18" t="n"/>
      <c r="M95" s="15">
        <f>IF($B95="","",IF($C95="","personne non reconnue",IF(ISERROR(SEARCH(TRIM($E95&amp;" "&amp;$D95),$B95)),"libellé incohérent avec l’identifiant",IF(COUNTIFS($A$5:$A$500,$A95,$C$5:$C$500,$C95,$F$5:$F$500,$F95,$G$5:$G$500,$G95)&gt;1,"doublon",IF($F95="","groupe manquant",IF($G95="","rôle manquant",IF($H95="","support de saisie manquant",IF(AND($I95&lt;&gt;"",$J95&lt;&gt;"",$J95&lt;$I95),"date de fin antérieure à la date de début",IF(AND($G95="encadrant",IFERROR(INDEX(Personnes!$F$5:$F$153,MATCH($C95,Personnes!$A$5:$A$153,0)),"")=""),"courriel encadrant manquant","ok")))))))))</f>
        <v/>
      </c>
    </row>
    <row r="96">
      <c r="A96" s="8" t="inlineStr">
        <is>
          <t>2026-2027</t>
        </is>
      </c>
      <c r="B96" s="14" t="inlineStr">
        <is>
          <t>Gérald LELARGE [P050]</t>
        </is>
      </c>
      <c r="C96" s="15">
        <f>IFERROR(MID($B96,FIND("[",$B96)+1,FIND("]",$B96)-FIND("[",$B96)-1),"")</f>
        <v/>
      </c>
      <c r="D96" s="15">
        <f>IFERROR(INDEX(Personnes!$B$5:$B$153,MATCH($C96,Personnes!$A$5:$A$153,0))&amp;"","")</f>
        <v/>
      </c>
      <c r="E96" s="15">
        <f>IFERROR(INDEX(Personnes!$C$5:$C$153,MATCH($C96,Personnes!$A$5:$A$153,0))&amp;"","")</f>
        <v/>
      </c>
      <c r="F96" s="14" t="inlineStr">
        <is>
          <t>L4</t>
        </is>
      </c>
      <c r="G96" s="14" t="inlineStr">
        <is>
          <t>élève</t>
        </is>
      </c>
      <c r="H96" s="14" t="inlineStr">
        <is>
          <t>classeur</t>
        </is>
      </c>
      <c r="I96" s="16" t="n">
        <v>46272</v>
      </c>
      <c r="J96" s="16" t="n"/>
      <c r="K96" s="18" t="n"/>
      <c r="L96" s="18" t="n"/>
      <c r="M96" s="15">
        <f>IF($B96="","",IF($C96="","personne non reconnue",IF(ISERROR(SEARCH(TRIM($E96&amp;" "&amp;$D96),$B96)),"libellé incohérent avec l’identifiant",IF(COUNTIFS($A$5:$A$500,$A96,$C$5:$C$500,$C96,$F$5:$F$500,$F96,$G$5:$G$500,$G96)&gt;1,"doublon",IF($F96="","groupe manquant",IF($G96="","rôle manquant",IF($H96="","support de saisie manquant",IF(AND($I96&lt;&gt;"",$J96&lt;&gt;"",$J96&lt;$I96),"date de fin antérieure à la date de début",IF(AND($G96="encadrant",IFERROR(INDEX(Personnes!$F$5:$F$153,MATCH($C96,Personnes!$A$5:$A$153,0)),"")=""),"courriel encadrant manquant","ok")))))))))</f>
        <v/>
      </c>
    </row>
    <row r="97">
      <c r="A97" s="8" t="inlineStr">
        <is>
          <t>2026-2027</t>
        </is>
      </c>
      <c r="B97" s="14" t="inlineStr">
        <is>
          <t>Yvan MEASSON [P046]</t>
        </is>
      </c>
      <c r="C97" s="15">
        <f>IFERROR(MID($B97,FIND("[",$B97)+1,FIND("]",$B97)-FIND("[",$B97)-1),"")</f>
        <v/>
      </c>
      <c r="D97" s="15">
        <f>IFERROR(INDEX(Personnes!$B$5:$B$153,MATCH($C97,Personnes!$A$5:$A$153,0))&amp;"","")</f>
        <v/>
      </c>
      <c r="E97" s="15">
        <f>IFERROR(INDEX(Personnes!$C$5:$C$153,MATCH($C97,Personnes!$A$5:$A$153,0))&amp;"","")</f>
        <v/>
      </c>
      <c r="F97" s="14" t="inlineStr">
        <is>
          <t>L4</t>
        </is>
      </c>
      <c r="G97" s="14" t="inlineStr">
        <is>
          <t>élève</t>
        </is>
      </c>
      <c r="H97" s="14" t="inlineStr">
        <is>
          <t>classeur</t>
        </is>
      </c>
      <c r="I97" s="16" t="n">
        <v>46272</v>
      </c>
      <c r="J97" s="16" t="n"/>
      <c r="K97" s="18" t="n"/>
      <c r="L97" s="18" t="n"/>
      <c r="M97" s="15">
        <f>IF($B97="","",IF($C97="","personne non reconnue",IF(ISERROR(SEARCH(TRIM($E97&amp;" "&amp;$D97),$B97)),"libellé incohérent avec l’identifiant",IF(COUNTIFS($A$5:$A$500,$A97,$C$5:$C$500,$C97,$F$5:$F$500,$F97,$G$5:$G$500,$G97)&gt;1,"doublon",IF($F97="","groupe manquant",IF($G97="","rôle manquant",IF($H97="","support de saisie manquant",IF(AND($I97&lt;&gt;"",$J97&lt;&gt;"",$J97&lt;$I97),"date de fin antérieure à la date de début",IF(AND($G97="encadrant",IFERROR(INDEX(Personnes!$F$5:$F$153,MATCH($C97,Personnes!$A$5:$A$153,0)),"")=""),"courriel encadrant manquant","ok")))))))))</f>
        <v/>
      </c>
    </row>
    <row r="98">
      <c r="A98" s="8" t="inlineStr">
        <is>
          <t>2026-2027</t>
        </is>
      </c>
      <c r="B98" s="14" t="inlineStr">
        <is>
          <t>Hervé MEMAIN [P054]</t>
        </is>
      </c>
      <c r="C98" s="15">
        <f>IFERROR(MID($B98,FIND("[",$B98)+1,FIND("]",$B98)-FIND("[",$B98)-1),"")</f>
        <v/>
      </c>
      <c r="D98" s="15">
        <f>IFERROR(INDEX(Personnes!$B$5:$B$153,MATCH($C98,Personnes!$A$5:$A$153,0))&amp;"","")</f>
        <v/>
      </c>
      <c r="E98" s="15">
        <f>IFERROR(INDEX(Personnes!$C$5:$C$153,MATCH($C98,Personnes!$A$5:$A$153,0))&amp;"","")</f>
        <v/>
      </c>
      <c r="F98" s="14" t="inlineStr">
        <is>
          <t>L4</t>
        </is>
      </c>
      <c r="G98" s="14" t="inlineStr">
        <is>
          <t>élève</t>
        </is>
      </c>
      <c r="H98" s="14" t="inlineStr">
        <is>
          <t>classeur</t>
        </is>
      </c>
      <c r="I98" s="16" t="n">
        <v>46272</v>
      </c>
      <c r="J98" s="16" t="n"/>
      <c r="K98" s="18" t="n"/>
      <c r="L98" s="18" t="n"/>
      <c r="M98" s="15">
        <f>IF($B98="","",IF($C98="","personne non reconnue",IF(ISERROR(SEARCH(TRIM($E98&amp;" "&amp;$D98),$B98)),"libellé incohérent avec l’identifiant",IF(COUNTIFS($A$5:$A$500,$A98,$C$5:$C$500,$C98,$F$5:$F$500,$F98,$G$5:$G$500,$G98)&gt;1,"doublon",IF($F98="","groupe manquant",IF($G98="","rôle manquant",IF($H98="","support de saisie manquant",IF(AND($I98&lt;&gt;"",$J98&lt;&gt;"",$J98&lt;$I98),"date de fin antérieure à la date de début",IF(AND($G98="encadrant",IFERROR(INDEX(Personnes!$F$5:$F$153,MATCH($C98,Personnes!$A$5:$A$153,0)),"")=""),"courriel encadrant manquant","ok")))))))))</f>
        <v/>
      </c>
    </row>
    <row r="99">
      <c r="A99" s="8" t="inlineStr">
        <is>
          <t>2026-2027</t>
        </is>
      </c>
      <c r="B99" s="14" t="inlineStr">
        <is>
          <t>François MEMHELD [P033]</t>
        </is>
      </c>
      <c r="C99" s="15">
        <f>IFERROR(MID($B99,FIND("[",$B99)+1,FIND("]",$B99)-FIND("[",$B99)-1),"")</f>
        <v/>
      </c>
      <c r="D99" s="15">
        <f>IFERROR(INDEX(Personnes!$B$5:$B$153,MATCH($C99,Personnes!$A$5:$A$153,0))&amp;"","")</f>
        <v/>
      </c>
      <c r="E99" s="15">
        <f>IFERROR(INDEX(Personnes!$C$5:$C$153,MATCH($C99,Personnes!$A$5:$A$153,0))&amp;"","")</f>
        <v/>
      </c>
      <c r="F99" s="14" t="inlineStr">
        <is>
          <t>L4</t>
        </is>
      </c>
      <c r="G99" s="14" t="inlineStr">
        <is>
          <t>élève</t>
        </is>
      </c>
      <c r="H99" s="14" t="inlineStr">
        <is>
          <t>classeur</t>
        </is>
      </c>
      <c r="I99" s="16" t="n">
        <v>46272</v>
      </c>
      <c r="J99" s="16" t="n"/>
      <c r="K99" s="18" t="n"/>
      <c r="L99" s="18" t="n"/>
      <c r="M99" s="15">
        <f>IF($B99="","",IF($C99="","personne non reconnue",IF(ISERROR(SEARCH(TRIM($E99&amp;" "&amp;$D99),$B99)),"libellé incohérent avec l’identifiant",IF(COUNTIFS($A$5:$A$500,$A99,$C$5:$C$500,$C99,$F$5:$F$500,$F99,$G$5:$G$500,$G99)&gt;1,"doublon",IF($F99="","groupe manquant",IF($G99="","rôle manquant",IF($H99="","support de saisie manquant",IF(AND($I99&lt;&gt;"",$J99&lt;&gt;"",$J99&lt;$I99),"date de fin antérieure à la date de début",IF(AND($G99="encadrant",IFERROR(INDEX(Personnes!$F$5:$F$153,MATCH($C99,Personnes!$A$5:$A$153,0)),"")=""),"courriel encadrant manquant","ok")))))))))</f>
        <v/>
      </c>
    </row>
    <row r="100">
      <c r="A100" s="8" t="inlineStr">
        <is>
          <t>2026-2027</t>
        </is>
      </c>
      <c r="B100" s="14" t="inlineStr">
        <is>
          <t>Leo SAINT MARTIN [P064]</t>
        </is>
      </c>
      <c r="C100" s="15">
        <f>IFERROR(MID($B100,FIND("[",$B100)+1,FIND("]",$B100)-FIND("[",$B100)-1),"")</f>
        <v/>
      </c>
      <c r="D100" s="15">
        <f>IFERROR(INDEX(Personnes!$B$5:$B$153,MATCH($C100,Personnes!$A$5:$A$153,0))&amp;"","")</f>
        <v/>
      </c>
      <c r="E100" s="15">
        <f>IFERROR(INDEX(Personnes!$C$5:$C$153,MATCH($C100,Personnes!$A$5:$A$153,0))&amp;"","")</f>
        <v/>
      </c>
      <c r="F100" s="14" t="inlineStr">
        <is>
          <t>L4</t>
        </is>
      </c>
      <c r="G100" s="14" t="inlineStr">
        <is>
          <t>élève</t>
        </is>
      </c>
      <c r="H100" s="14" t="inlineStr">
        <is>
          <t>classeur</t>
        </is>
      </c>
      <c r="I100" s="16" t="n">
        <v>46272</v>
      </c>
      <c r="J100" s="16" t="n"/>
      <c r="K100" s="18" t="n"/>
      <c r="L100" s="18" t="n"/>
      <c r="M100" s="15">
        <f>IF($B100="","",IF($C100="","personne non reconnue",IF(ISERROR(SEARCH(TRIM($E100&amp;" "&amp;$D100),$B100)),"libellé incohérent avec l’identifiant",IF(COUNTIFS($A$5:$A$500,$A100,$C$5:$C$500,$C100,$F$5:$F$500,$F100,$G$5:$G$500,$G100)&gt;1,"doublon",IF($F100="","groupe manquant",IF($G100="","rôle manquant",IF($H100="","support de saisie manquant",IF(AND($I100&lt;&gt;"",$J100&lt;&gt;"",$J100&lt;$I100),"date de fin antérieure à la date de début",IF(AND($G100="encadrant",IFERROR(INDEX(Personnes!$F$5:$F$153,MATCH($C100,Personnes!$A$5:$A$153,0)),"")=""),"courriel encadrant manquant","ok")))))))))</f>
        <v/>
      </c>
    </row>
    <row r="101">
      <c r="A101" s="8" t="inlineStr">
        <is>
          <t>2026-2027</t>
        </is>
      </c>
      <c r="B101" s="14" t="inlineStr">
        <is>
          <t>Viktor SIKORA [P099]</t>
        </is>
      </c>
      <c r="C101" s="15">
        <f>IFERROR(MID($B101,FIND("[",$B101)+1,FIND("]",$B101)-FIND("[",$B101)-1),"")</f>
        <v/>
      </c>
      <c r="D101" s="15">
        <f>IFERROR(INDEX(Personnes!$B$5:$B$153,MATCH($C101,Personnes!$A$5:$A$153,0))&amp;"","")</f>
        <v/>
      </c>
      <c r="E101" s="15">
        <f>IFERROR(INDEX(Personnes!$C$5:$C$153,MATCH($C101,Personnes!$A$5:$A$153,0))&amp;"","")</f>
        <v/>
      </c>
      <c r="F101" s="14" t="inlineStr">
        <is>
          <t>L4</t>
        </is>
      </c>
      <c r="G101" s="14" t="inlineStr">
        <is>
          <t>élève</t>
        </is>
      </c>
      <c r="H101" s="14" t="inlineStr">
        <is>
          <t>classeur</t>
        </is>
      </c>
      <c r="I101" s="16" t="n">
        <v>46272</v>
      </c>
      <c r="J101" s="16" t="n"/>
      <c r="K101" s="18" t="n"/>
      <c r="L101" s="18" t="n"/>
      <c r="M101" s="15">
        <f>IF($B101="","",IF($C101="","personne non reconnue",IF(ISERROR(SEARCH(TRIM($E101&amp;" "&amp;$D101),$B101)),"libellé incohérent avec l’identifiant",IF(COUNTIFS($A$5:$A$500,$A101,$C$5:$C$500,$C101,$F$5:$F$500,$F101,$G$5:$G$500,$G101)&gt;1,"doublon",IF($F101="","groupe manquant",IF($G101="","rôle manquant",IF($H101="","support de saisie manquant",IF(AND($I101&lt;&gt;"",$J101&lt;&gt;"",$J101&lt;$I101),"date de fin antérieure à la date de début",IF(AND($G101="encadrant",IFERROR(INDEX(Personnes!$F$5:$F$153,MATCH($C101,Personnes!$A$5:$A$153,0)),"")=""),"courriel encadrant manquant","ok")))))))))</f>
        <v/>
      </c>
    </row>
    <row r="102">
      <c r="A102" s="8" t="inlineStr">
        <is>
          <t>2026-2027</t>
        </is>
      </c>
      <c r="B102" s="14" t="inlineStr">
        <is>
          <t>Katarina STANKIEWICZ [P047]</t>
        </is>
      </c>
      <c r="C102" s="15">
        <f>IFERROR(MID($B102,FIND("[",$B102)+1,FIND("]",$B102)-FIND("[",$B102)-1),"")</f>
        <v/>
      </c>
      <c r="D102" s="15">
        <f>IFERROR(INDEX(Personnes!$B$5:$B$153,MATCH($C102,Personnes!$A$5:$A$153,0))&amp;"","")</f>
        <v/>
      </c>
      <c r="E102" s="15">
        <f>IFERROR(INDEX(Personnes!$C$5:$C$153,MATCH($C102,Personnes!$A$5:$A$153,0))&amp;"","")</f>
        <v/>
      </c>
      <c r="F102" s="14" t="inlineStr">
        <is>
          <t>L4</t>
        </is>
      </c>
      <c r="G102" s="14" t="inlineStr">
        <is>
          <t>élève</t>
        </is>
      </c>
      <c r="H102" s="14" t="inlineStr">
        <is>
          <t>classeur</t>
        </is>
      </c>
      <c r="I102" s="16" t="n">
        <v>46272</v>
      </c>
      <c r="J102" s="16" t="n"/>
      <c r="K102" s="18" t="n"/>
      <c r="L102" s="18" t="n"/>
      <c r="M102" s="15">
        <f>IF($B102="","",IF($C102="","personne non reconnue",IF(ISERROR(SEARCH(TRIM($E102&amp;" "&amp;$D102),$B102)),"libellé incohérent avec l’identifiant",IF(COUNTIFS($A$5:$A$500,$A102,$C$5:$C$500,$C102,$F$5:$F$500,$F102,$G$5:$G$500,$G102)&gt;1,"doublon",IF($F102="","groupe manquant",IF($G102="","rôle manquant",IF($H102="","support de saisie manquant",IF(AND($I102&lt;&gt;"",$J102&lt;&gt;"",$J102&lt;$I102),"date de fin antérieure à la date de début",IF(AND($G102="encadrant",IFERROR(INDEX(Personnes!$F$5:$F$153,MATCH($C102,Personnes!$A$5:$A$153,0)),"")=""),"courriel encadrant manquant","ok")))))))))</f>
        <v/>
      </c>
    </row>
    <row r="103">
      <c r="A103" s="8" t="inlineStr">
        <is>
          <t>2026-2027</t>
        </is>
      </c>
      <c r="B103" s="14" t="inlineStr">
        <is>
          <t>Francis WANG [P013]</t>
        </is>
      </c>
      <c r="C103" s="15">
        <f>IFERROR(MID($B103,FIND("[",$B103)+1,FIND("]",$B103)-FIND("[",$B103)-1),"")</f>
        <v/>
      </c>
      <c r="D103" s="15">
        <f>IFERROR(INDEX(Personnes!$B$5:$B$153,MATCH($C103,Personnes!$A$5:$A$153,0))&amp;"","")</f>
        <v/>
      </c>
      <c r="E103" s="15">
        <f>IFERROR(INDEX(Personnes!$C$5:$C$153,MATCH($C103,Personnes!$A$5:$A$153,0))&amp;"","")</f>
        <v/>
      </c>
      <c r="F103" s="14" t="inlineStr">
        <is>
          <t>L4</t>
        </is>
      </c>
      <c r="G103" s="14" t="inlineStr">
        <is>
          <t>élève</t>
        </is>
      </c>
      <c r="H103" s="14" t="inlineStr">
        <is>
          <t>classeur</t>
        </is>
      </c>
      <c r="I103" s="16" t="n">
        <v>46272</v>
      </c>
      <c r="J103" s="16" t="n"/>
      <c r="K103" s="18" t="n"/>
      <c r="L103" s="18" t="n"/>
      <c r="M103" s="15">
        <f>IF($B103="","",IF($C103="","personne non reconnue",IF(ISERROR(SEARCH(TRIM($E103&amp;" "&amp;$D103),$B103)),"libellé incohérent avec l’identifiant",IF(COUNTIFS($A$5:$A$500,$A103,$C$5:$C$500,$C103,$F$5:$F$500,$F103,$G$5:$G$500,$G103)&gt;1,"doublon",IF($F103="","groupe manquant",IF($G103="","rôle manquant",IF($H103="","support de saisie manquant",IF(AND($I103&lt;&gt;"",$J103&lt;&gt;"",$J103&lt;$I103),"date de fin antérieure à la date de début",IF(AND($G103="encadrant",IFERROR(INDEX(Personnes!$F$5:$F$153,MATCH($C103,Personnes!$A$5:$A$153,0)),"")=""),"courriel encadrant manquant","ok")))))))))</f>
        <v/>
      </c>
    </row>
    <row r="104">
      <c r="A104" s="8" t="inlineStr">
        <is>
          <t>2026-2027</t>
        </is>
      </c>
      <c r="B104" s="14" t="inlineStr">
        <is>
          <t>Danny SEGUI [P045]</t>
        </is>
      </c>
      <c r="C104" s="15">
        <f>IFERROR(MID($B104,FIND("[",$B104)+1,FIND("]",$B104)-FIND("[",$B104)-1),"")</f>
        <v/>
      </c>
      <c r="D104" s="15">
        <f>IFERROR(INDEX(Personnes!$B$5:$B$153,MATCH($C104,Personnes!$A$5:$A$153,0))&amp;"","")</f>
        <v/>
      </c>
      <c r="E104" s="15">
        <f>IFERROR(INDEX(Personnes!$C$5:$C$153,MATCH($C104,Personnes!$A$5:$A$153,0))&amp;"","")</f>
        <v/>
      </c>
      <c r="F104" s="14" t="inlineStr">
        <is>
          <t>LC</t>
        </is>
      </c>
      <c r="G104" s="14" t="inlineStr">
        <is>
          <t>encadrant</t>
        </is>
      </c>
      <c r="H104" s="14" t="inlineStr">
        <is>
          <t>classeur</t>
        </is>
      </c>
      <c r="I104" s="16" t="n">
        <v>46272</v>
      </c>
      <c r="J104" s="16" t="n"/>
      <c r="K104" s="18" t="n"/>
      <c r="L104" s="18" t="n"/>
      <c r="M104" s="15">
        <f>IF($B104="","",IF($C104="","personne non reconnue",IF(ISERROR(SEARCH(TRIM($E104&amp;" "&amp;$D104),$B104)),"libellé incohérent avec l’identifiant",IF(COUNTIFS($A$5:$A$500,$A104,$C$5:$C$500,$C104,$F$5:$F$500,$F104,$G$5:$G$500,$G104)&gt;1,"doublon",IF($F104="","groupe manquant",IF($G104="","rôle manquant",IF($H104="","support de saisie manquant",IF(AND($I104&lt;&gt;"",$J104&lt;&gt;"",$J104&lt;$I104),"date de fin antérieure à la date de début",IF(AND($G104="encadrant",IFERROR(INDEX(Personnes!$F$5:$F$153,MATCH($C104,Personnes!$A$5:$A$153,0)),"")=""),"courriel encadrant manquant","ok")))))))))</f>
        <v/>
      </c>
    </row>
    <row r="105">
      <c r="A105" s="8" t="inlineStr">
        <is>
          <t>2026-2027</t>
        </is>
      </c>
      <c r="B105" s="14" t="inlineStr">
        <is>
          <t>Sebastien AUBERT [P100]</t>
        </is>
      </c>
      <c r="C105" s="15">
        <f>IFERROR(MID($B105,FIND("[",$B105)+1,FIND("]",$B105)-FIND("[",$B105)-1),"")</f>
        <v/>
      </c>
      <c r="D105" s="15">
        <f>IFERROR(INDEX(Personnes!$B$5:$B$153,MATCH($C105,Personnes!$A$5:$A$153,0))&amp;"","")</f>
        <v/>
      </c>
      <c r="E105" s="15">
        <f>IFERROR(INDEX(Personnes!$C$5:$C$153,MATCH($C105,Personnes!$A$5:$A$153,0))&amp;"","")</f>
        <v/>
      </c>
      <c r="F105" s="14" t="inlineStr">
        <is>
          <t>LC</t>
        </is>
      </c>
      <c r="G105" s="14" t="inlineStr">
        <is>
          <t>élève</t>
        </is>
      </c>
      <c r="H105" s="14" t="inlineStr">
        <is>
          <t>classeur</t>
        </is>
      </c>
      <c r="I105" s="16" t="n">
        <v>46272</v>
      </c>
      <c r="J105" s="16" t="n"/>
      <c r="K105" s="18" t="n"/>
      <c r="L105" s="18" t="n"/>
      <c r="M105" s="15">
        <f>IF($B105="","",IF($C105="","personne non reconnue",IF(ISERROR(SEARCH(TRIM($E105&amp;" "&amp;$D105),$B105)),"libellé incohérent avec l’identifiant",IF(COUNTIFS($A$5:$A$500,$A105,$C$5:$C$500,$C105,$F$5:$F$500,$F105,$G$5:$G$500,$G105)&gt;1,"doublon",IF($F105="","groupe manquant",IF($G105="","rôle manquant",IF($H105="","support de saisie manquant",IF(AND($I105&lt;&gt;"",$J105&lt;&gt;"",$J105&lt;$I105),"date de fin antérieure à la date de début",IF(AND($G105="encadrant",IFERROR(INDEX(Personnes!$F$5:$F$153,MATCH($C105,Personnes!$A$5:$A$153,0)),"")=""),"courriel encadrant manquant","ok")))))))))</f>
        <v/>
      </c>
    </row>
    <row r="106">
      <c r="A106" s="8" t="inlineStr">
        <is>
          <t>2026-2027</t>
        </is>
      </c>
      <c r="B106" s="14" t="inlineStr">
        <is>
          <t>Mohammed BELHADJ KACEM [P101]</t>
        </is>
      </c>
      <c r="C106" s="15">
        <f>IFERROR(MID($B106,FIND("[",$B106)+1,FIND("]",$B106)-FIND("[",$B106)-1),"")</f>
        <v/>
      </c>
      <c r="D106" s="15">
        <f>IFERROR(INDEX(Personnes!$B$5:$B$153,MATCH($C106,Personnes!$A$5:$A$153,0))&amp;"","")</f>
        <v/>
      </c>
      <c r="E106" s="15">
        <f>IFERROR(INDEX(Personnes!$C$5:$C$153,MATCH($C106,Personnes!$A$5:$A$153,0))&amp;"","")</f>
        <v/>
      </c>
      <c r="F106" s="14" t="inlineStr">
        <is>
          <t>LC</t>
        </is>
      </c>
      <c r="G106" s="14" t="inlineStr">
        <is>
          <t>élève</t>
        </is>
      </c>
      <c r="H106" s="14" t="inlineStr">
        <is>
          <t>classeur</t>
        </is>
      </c>
      <c r="I106" s="16" t="n">
        <v>46272</v>
      </c>
      <c r="J106" s="16" t="n"/>
      <c r="K106" s="18" t="n"/>
      <c r="L106" s="18" t="n"/>
      <c r="M106" s="15">
        <f>IF($B106="","",IF($C106="","personne non reconnue",IF(ISERROR(SEARCH(TRIM($E106&amp;" "&amp;$D106),$B106)),"libellé incohérent avec l’identifiant",IF(COUNTIFS($A$5:$A$500,$A106,$C$5:$C$500,$C106,$F$5:$F$500,$F106,$G$5:$G$500,$G106)&gt;1,"doublon",IF($F106="","groupe manquant",IF($G106="","rôle manquant",IF($H106="","support de saisie manquant",IF(AND($I106&lt;&gt;"",$J106&lt;&gt;"",$J106&lt;$I106),"date de fin antérieure à la date de début",IF(AND($G106="encadrant",IFERROR(INDEX(Personnes!$F$5:$F$153,MATCH($C106,Personnes!$A$5:$A$153,0)),"")=""),"courriel encadrant manquant","ok")))))))))</f>
        <v/>
      </c>
    </row>
    <row r="107">
      <c r="A107" s="8" t="inlineStr">
        <is>
          <t>2026-2027</t>
        </is>
      </c>
      <c r="B107" s="14" t="inlineStr">
        <is>
          <t>Guillaume BOULANT [P049]</t>
        </is>
      </c>
      <c r="C107" s="15">
        <f>IFERROR(MID($B107,FIND("[",$B107)+1,FIND("]",$B107)-FIND("[",$B107)-1),"")</f>
        <v/>
      </c>
      <c r="D107" s="15">
        <f>IFERROR(INDEX(Personnes!$B$5:$B$153,MATCH($C107,Personnes!$A$5:$A$153,0))&amp;"","")</f>
        <v/>
      </c>
      <c r="E107" s="15">
        <f>IFERROR(INDEX(Personnes!$C$5:$C$153,MATCH($C107,Personnes!$A$5:$A$153,0))&amp;"","")</f>
        <v/>
      </c>
      <c r="F107" s="14" t="inlineStr">
        <is>
          <t>LC</t>
        </is>
      </c>
      <c r="G107" s="14" t="inlineStr">
        <is>
          <t>élève</t>
        </is>
      </c>
      <c r="H107" s="14" t="inlineStr">
        <is>
          <t>classeur</t>
        </is>
      </c>
      <c r="I107" s="16" t="n">
        <v>46272</v>
      </c>
      <c r="J107" s="16" t="n"/>
      <c r="K107" s="18" t="n"/>
      <c r="L107" s="18" t="n"/>
      <c r="M107" s="15">
        <f>IF($B107="","",IF($C107="","personne non reconnue",IF(ISERROR(SEARCH(TRIM($E107&amp;" "&amp;$D107),$B107)),"libellé incohérent avec l’identifiant",IF(COUNTIFS($A$5:$A$500,$A107,$C$5:$C$500,$C107,$F$5:$F$500,$F107,$G$5:$G$500,$G107)&gt;1,"doublon",IF($F107="","groupe manquant",IF($G107="","rôle manquant",IF($H107="","support de saisie manquant",IF(AND($I107&lt;&gt;"",$J107&lt;&gt;"",$J107&lt;$I107),"date de fin antérieure à la date de début",IF(AND($G107="encadrant",IFERROR(INDEX(Personnes!$F$5:$F$153,MATCH($C107,Personnes!$A$5:$A$153,0)),"")=""),"courriel encadrant manquant","ok")))))))))</f>
        <v/>
      </c>
    </row>
    <row r="108">
      <c r="A108" s="8" t="inlineStr">
        <is>
          <t>2026-2027</t>
        </is>
      </c>
      <c r="B108" s="14" t="inlineStr">
        <is>
          <t>Antoine COLIN DE VERDIERE [P057]</t>
        </is>
      </c>
      <c r="C108" s="15">
        <f>IFERROR(MID($B108,FIND("[",$B108)+1,FIND("]",$B108)-FIND("[",$B108)-1),"")</f>
        <v/>
      </c>
      <c r="D108" s="15">
        <f>IFERROR(INDEX(Personnes!$B$5:$B$153,MATCH($C108,Personnes!$A$5:$A$153,0))&amp;"","")</f>
        <v/>
      </c>
      <c r="E108" s="15">
        <f>IFERROR(INDEX(Personnes!$C$5:$C$153,MATCH($C108,Personnes!$A$5:$A$153,0))&amp;"","")</f>
        <v/>
      </c>
      <c r="F108" s="14" t="inlineStr">
        <is>
          <t>LC</t>
        </is>
      </c>
      <c r="G108" s="14" t="inlineStr">
        <is>
          <t>élève</t>
        </is>
      </c>
      <c r="H108" s="14" t="inlineStr">
        <is>
          <t>classeur</t>
        </is>
      </c>
      <c r="I108" s="16" t="n">
        <v>46272</v>
      </c>
      <c r="J108" s="16" t="n"/>
      <c r="K108" s="18" t="n"/>
      <c r="L108" s="18" t="n"/>
      <c r="M108" s="15">
        <f>IF($B108="","",IF($C108="","personne non reconnue",IF(ISERROR(SEARCH(TRIM($E108&amp;" "&amp;$D108),$B108)),"libellé incohérent avec l’identifiant",IF(COUNTIFS($A$5:$A$500,$A108,$C$5:$C$500,$C108,$F$5:$F$500,$F108,$G$5:$G$500,$G108)&gt;1,"doublon",IF($F108="","groupe manquant",IF($G108="","rôle manquant",IF($H108="","support de saisie manquant",IF(AND($I108&lt;&gt;"",$J108&lt;&gt;"",$J108&lt;$I108),"date de fin antérieure à la date de début",IF(AND($G108="encadrant",IFERROR(INDEX(Personnes!$F$5:$F$153,MATCH($C108,Personnes!$A$5:$A$153,0)),"")=""),"courriel encadrant manquant","ok")))))))))</f>
        <v/>
      </c>
    </row>
    <row r="109">
      <c r="A109" s="8" t="inlineStr">
        <is>
          <t>2026-2027</t>
        </is>
      </c>
      <c r="B109" s="14" t="inlineStr">
        <is>
          <t>Sabine COLLINET [P063]</t>
        </is>
      </c>
      <c r="C109" s="15">
        <f>IFERROR(MID($B109,FIND("[",$B109)+1,FIND("]",$B109)-FIND("[",$B109)-1),"")</f>
        <v/>
      </c>
      <c r="D109" s="15">
        <f>IFERROR(INDEX(Personnes!$B$5:$B$153,MATCH($C109,Personnes!$A$5:$A$153,0))&amp;"","")</f>
        <v/>
      </c>
      <c r="E109" s="15">
        <f>IFERROR(INDEX(Personnes!$C$5:$C$153,MATCH($C109,Personnes!$A$5:$A$153,0))&amp;"","")</f>
        <v/>
      </c>
      <c r="F109" s="14" t="inlineStr">
        <is>
          <t>LC</t>
        </is>
      </c>
      <c r="G109" s="14" t="inlineStr">
        <is>
          <t>élève</t>
        </is>
      </c>
      <c r="H109" s="14" t="inlineStr">
        <is>
          <t>classeur</t>
        </is>
      </c>
      <c r="I109" s="16" t="n">
        <v>46272</v>
      </c>
      <c r="J109" s="16" t="n"/>
      <c r="K109" s="18" t="n"/>
      <c r="L109" s="18" t="n"/>
      <c r="M109" s="15">
        <f>IF($B109="","",IF($C109="","personne non reconnue",IF(ISERROR(SEARCH(TRIM($E109&amp;" "&amp;$D109),$B109)),"libellé incohérent avec l’identifiant",IF(COUNTIFS($A$5:$A$500,$A109,$C$5:$C$500,$C109,$F$5:$F$500,$F109,$G$5:$G$500,$G109)&gt;1,"doublon",IF($F109="","groupe manquant",IF($G109="","rôle manquant",IF($H109="","support de saisie manquant",IF(AND($I109&lt;&gt;"",$J109&lt;&gt;"",$J109&lt;$I109),"date de fin antérieure à la date de début",IF(AND($G109="encadrant",IFERROR(INDEX(Personnes!$F$5:$F$153,MATCH($C109,Personnes!$A$5:$A$153,0)),"")=""),"courriel encadrant manquant","ok")))))))))</f>
        <v/>
      </c>
    </row>
    <row r="110">
      <c r="A110" s="8" t="inlineStr">
        <is>
          <t>2026-2027</t>
        </is>
      </c>
      <c r="B110" s="14" t="inlineStr">
        <is>
          <t>Céline DUMONT [P043]</t>
        </is>
      </c>
      <c r="C110" s="15">
        <f>IFERROR(MID($B110,FIND("[",$B110)+1,FIND("]",$B110)-FIND("[",$B110)-1),"")</f>
        <v/>
      </c>
      <c r="D110" s="15">
        <f>IFERROR(INDEX(Personnes!$B$5:$B$153,MATCH($C110,Personnes!$A$5:$A$153,0))&amp;"","")</f>
        <v/>
      </c>
      <c r="E110" s="15">
        <f>IFERROR(INDEX(Personnes!$C$5:$C$153,MATCH($C110,Personnes!$A$5:$A$153,0))&amp;"","")</f>
        <v/>
      </c>
      <c r="F110" s="14" t="inlineStr">
        <is>
          <t>LC</t>
        </is>
      </c>
      <c r="G110" s="14" t="inlineStr">
        <is>
          <t>élève</t>
        </is>
      </c>
      <c r="H110" s="14" t="inlineStr">
        <is>
          <t>classeur</t>
        </is>
      </c>
      <c r="I110" s="16" t="n">
        <v>46272</v>
      </c>
      <c r="J110" s="16" t="n"/>
      <c r="K110" s="18" t="n"/>
      <c r="L110" s="18" t="n"/>
      <c r="M110" s="15">
        <f>IF($B110="","",IF($C110="","personne non reconnue",IF(ISERROR(SEARCH(TRIM($E110&amp;" "&amp;$D110),$B110)),"libellé incohérent avec l’identifiant",IF(COUNTIFS($A$5:$A$500,$A110,$C$5:$C$500,$C110,$F$5:$F$500,$F110,$G$5:$G$500,$G110)&gt;1,"doublon",IF($F110="","groupe manquant",IF($G110="","rôle manquant",IF($H110="","support de saisie manquant",IF(AND($I110&lt;&gt;"",$J110&lt;&gt;"",$J110&lt;$I110),"date de fin antérieure à la date de début",IF(AND($G110="encadrant",IFERROR(INDEX(Personnes!$F$5:$F$153,MATCH($C110,Personnes!$A$5:$A$153,0)),"")=""),"courriel encadrant manquant","ok")))))))))</f>
        <v/>
      </c>
    </row>
    <row r="111">
      <c r="A111" s="8" t="inlineStr">
        <is>
          <t>2026-2027</t>
        </is>
      </c>
      <c r="B111" s="14" t="inlineStr">
        <is>
          <t>Sebastien DUSSAUD [P102]</t>
        </is>
      </c>
      <c r="C111" s="15">
        <f>IFERROR(MID($B111,FIND("[",$B111)+1,FIND("]",$B111)-FIND("[",$B111)-1),"")</f>
        <v/>
      </c>
      <c r="D111" s="15">
        <f>IFERROR(INDEX(Personnes!$B$5:$B$153,MATCH($C111,Personnes!$A$5:$A$153,0))&amp;"","")</f>
        <v/>
      </c>
      <c r="E111" s="15">
        <f>IFERROR(INDEX(Personnes!$C$5:$C$153,MATCH($C111,Personnes!$A$5:$A$153,0))&amp;"","")</f>
        <v/>
      </c>
      <c r="F111" s="14" t="inlineStr">
        <is>
          <t>LC</t>
        </is>
      </c>
      <c r="G111" s="14" t="inlineStr">
        <is>
          <t>élève</t>
        </is>
      </c>
      <c r="H111" s="14" t="inlineStr">
        <is>
          <t>classeur</t>
        </is>
      </c>
      <c r="I111" s="16" t="n">
        <v>46272</v>
      </c>
      <c r="J111" s="16" t="n"/>
      <c r="K111" s="18" t="n"/>
      <c r="L111" s="18" t="n"/>
      <c r="M111" s="15">
        <f>IF($B111="","",IF($C111="","personne non reconnue",IF(ISERROR(SEARCH(TRIM($E111&amp;" "&amp;$D111),$B111)),"libellé incohérent avec l’identifiant",IF(COUNTIFS($A$5:$A$500,$A111,$C$5:$C$500,$C111,$F$5:$F$500,$F111,$G$5:$G$500,$G111)&gt;1,"doublon",IF($F111="","groupe manquant",IF($G111="","rôle manquant",IF($H111="","support de saisie manquant",IF(AND($I111&lt;&gt;"",$J111&lt;&gt;"",$J111&lt;$I111),"date de fin antérieure à la date de début",IF(AND($G111="encadrant",IFERROR(INDEX(Personnes!$F$5:$F$153,MATCH($C111,Personnes!$A$5:$A$153,0)),"")=""),"courriel encadrant manquant","ok")))))))))</f>
        <v/>
      </c>
    </row>
    <row r="112">
      <c r="A112" s="8" t="inlineStr">
        <is>
          <t>2026-2027</t>
        </is>
      </c>
      <c r="B112" s="14" t="inlineStr">
        <is>
          <t>Philippe FREDON [P039]</t>
        </is>
      </c>
      <c r="C112" s="15">
        <f>IFERROR(MID($B112,FIND("[",$B112)+1,FIND("]",$B112)-FIND("[",$B112)-1),"")</f>
        <v/>
      </c>
      <c r="D112" s="15">
        <f>IFERROR(INDEX(Personnes!$B$5:$B$153,MATCH($C112,Personnes!$A$5:$A$153,0))&amp;"","")</f>
        <v/>
      </c>
      <c r="E112" s="15">
        <f>IFERROR(INDEX(Personnes!$C$5:$C$153,MATCH($C112,Personnes!$A$5:$A$153,0))&amp;"","")</f>
        <v/>
      </c>
      <c r="F112" s="14" t="inlineStr">
        <is>
          <t>LC</t>
        </is>
      </c>
      <c r="G112" s="14" t="inlineStr">
        <is>
          <t>élève</t>
        </is>
      </c>
      <c r="H112" s="14" t="inlineStr">
        <is>
          <t>classeur</t>
        </is>
      </c>
      <c r="I112" s="16" t="n">
        <v>46272</v>
      </c>
      <c r="J112" s="16" t="n"/>
      <c r="K112" s="18" t="n"/>
      <c r="L112" s="18" t="n"/>
      <c r="M112" s="15">
        <f>IF($B112="","",IF($C112="","personne non reconnue",IF(ISERROR(SEARCH(TRIM($E112&amp;" "&amp;$D112),$B112)),"libellé incohérent avec l’identifiant",IF(COUNTIFS($A$5:$A$500,$A112,$C$5:$C$500,$C112,$F$5:$F$500,$F112,$G$5:$G$500,$G112)&gt;1,"doublon",IF($F112="","groupe manquant",IF($G112="","rôle manquant",IF($H112="","support de saisie manquant",IF(AND($I112&lt;&gt;"",$J112&lt;&gt;"",$J112&lt;$I112),"date de fin antérieure à la date de début",IF(AND($G112="encadrant",IFERROR(INDEX(Personnes!$F$5:$F$153,MATCH($C112,Personnes!$A$5:$A$153,0)),"")=""),"courriel encadrant manquant","ok")))))))))</f>
        <v/>
      </c>
    </row>
    <row r="113">
      <c r="A113" s="8" t="inlineStr">
        <is>
          <t>2026-2027</t>
        </is>
      </c>
      <c r="B113" s="14" t="inlineStr">
        <is>
          <t>Larbi MAALAOUI [P058]</t>
        </is>
      </c>
      <c r="C113" s="15">
        <f>IFERROR(MID($B113,FIND("[",$B113)+1,FIND("]",$B113)-FIND("[",$B113)-1),"")</f>
        <v/>
      </c>
      <c r="D113" s="15">
        <f>IFERROR(INDEX(Personnes!$B$5:$B$153,MATCH($C113,Personnes!$A$5:$A$153,0))&amp;"","")</f>
        <v/>
      </c>
      <c r="E113" s="15">
        <f>IFERROR(INDEX(Personnes!$C$5:$C$153,MATCH($C113,Personnes!$A$5:$A$153,0))&amp;"","")</f>
        <v/>
      </c>
      <c r="F113" s="14" t="inlineStr">
        <is>
          <t>LC</t>
        </is>
      </c>
      <c r="G113" s="14" t="inlineStr">
        <is>
          <t>élève</t>
        </is>
      </c>
      <c r="H113" s="14" t="inlineStr">
        <is>
          <t>classeur</t>
        </is>
      </c>
      <c r="I113" s="16" t="n">
        <v>46272</v>
      </c>
      <c r="J113" s="16" t="n"/>
      <c r="K113" s="18" t="n"/>
      <c r="L113" s="18" t="n"/>
      <c r="M113" s="15">
        <f>IF($B113="","",IF($C113="","personne non reconnue",IF(ISERROR(SEARCH(TRIM($E113&amp;" "&amp;$D113),$B113)),"libellé incohérent avec l’identifiant",IF(COUNTIFS($A$5:$A$500,$A113,$C$5:$C$500,$C113,$F$5:$F$500,$F113,$G$5:$G$500,$G113)&gt;1,"doublon",IF($F113="","groupe manquant",IF($G113="","rôle manquant",IF($H113="","support de saisie manquant",IF(AND($I113&lt;&gt;"",$J113&lt;&gt;"",$J113&lt;$I113),"date de fin antérieure à la date de début",IF(AND($G113="encadrant",IFERROR(INDEX(Personnes!$F$5:$F$153,MATCH($C113,Personnes!$A$5:$A$153,0)),"")=""),"courriel encadrant manquant","ok")))))))))</f>
        <v/>
      </c>
    </row>
    <row r="114">
      <c r="A114" s="8" t="inlineStr">
        <is>
          <t>2026-2027</t>
        </is>
      </c>
      <c r="B114" s="14" t="inlineStr">
        <is>
          <t>Karim NOURA [P103]</t>
        </is>
      </c>
      <c r="C114" s="15">
        <f>IFERROR(MID($B114,FIND("[",$B114)+1,FIND("]",$B114)-FIND("[",$B114)-1),"")</f>
        <v/>
      </c>
      <c r="D114" s="15">
        <f>IFERROR(INDEX(Personnes!$B$5:$B$153,MATCH($C114,Personnes!$A$5:$A$153,0))&amp;"","")</f>
        <v/>
      </c>
      <c r="E114" s="15">
        <f>IFERROR(INDEX(Personnes!$C$5:$C$153,MATCH($C114,Personnes!$A$5:$A$153,0))&amp;"","")</f>
        <v/>
      </c>
      <c r="F114" s="14" t="inlineStr">
        <is>
          <t>LC</t>
        </is>
      </c>
      <c r="G114" s="14" t="inlineStr">
        <is>
          <t>élève</t>
        </is>
      </c>
      <c r="H114" s="14" t="inlineStr">
        <is>
          <t>classeur</t>
        </is>
      </c>
      <c r="I114" s="16" t="n">
        <v>46272</v>
      </c>
      <c r="J114" s="16" t="n"/>
      <c r="K114" s="18" t="n"/>
      <c r="L114" s="18" t="n"/>
      <c r="M114" s="15">
        <f>IF($B114="","",IF($C114="","personne non reconnue",IF(ISERROR(SEARCH(TRIM($E114&amp;" "&amp;$D114),$B114)),"libellé incohérent avec l’identifiant",IF(COUNTIFS($A$5:$A$500,$A114,$C$5:$C$500,$C114,$F$5:$F$500,$F114,$G$5:$G$500,$G114)&gt;1,"doublon",IF($F114="","groupe manquant",IF($G114="","rôle manquant",IF($H114="","support de saisie manquant",IF(AND($I114&lt;&gt;"",$J114&lt;&gt;"",$J114&lt;$I114),"date de fin antérieure à la date de début",IF(AND($G114="encadrant",IFERROR(INDEX(Personnes!$F$5:$F$153,MATCH($C114,Personnes!$A$5:$A$153,0)),"")=""),"courriel encadrant manquant","ok")))))))))</f>
        <v/>
      </c>
    </row>
    <row r="115">
      <c r="A115" s="8" t="inlineStr">
        <is>
          <t>2026-2027</t>
        </is>
      </c>
      <c r="B115" s="14" t="inlineStr">
        <is>
          <t>Alain PASCAL [P044]</t>
        </is>
      </c>
      <c r="C115" s="15">
        <f>IFERROR(MID($B115,FIND("[",$B115)+1,FIND("]",$B115)-FIND("[",$B115)-1),"")</f>
        <v/>
      </c>
      <c r="D115" s="15">
        <f>IFERROR(INDEX(Personnes!$B$5:$B$153,MATCH($C115,Personnes!$A$5:$A$153,0))&amp;"","")</f>
        <v/>
      </c>
      <c r="E115" s="15">
        <f>IFERROR(INDEX(Personnes!$C$5:$C$153,MATCH($C115,Personnes!$A$5:$A$153,0))&amp;"","")</f>
        <v/>
      </c>
      <c r="F115" s="14" t="inlineStr">
        <is>
          <t>LC</t>
        </is>
      </c>
      <c r="G115" s="14" t="inlineStr">
        <is>
          <t>élève</t>
        </is>
      </c>
      <c r="H115" s="14" t="inlineStr">
        <is>
          <t>classeur</t>
        </is>
      </c>
      <c r="I115" s="16" t="n">
        <v>46272</v>
      </c>
      <c r="J115" s="16" t="n"/>
      <c r="K115" s="18" t="n"/>
      <c r="L115" s="18" t="n"/>
      <c r="M115" s="15">
        <f>IF($B115="","",IF($C115="","personne non reconnue",IF(ISERROR(SEARCH(TRIM($E115&amp;" "&amp;$D115),$B115)),"libellé incohérent avec l’identifiant",IF(COUNTIFS($A$5:$A$500,$A115,$C$5:$C$500,$C115,$F$5:$F$500,$F115,$G$5:$G$500,$G115)&gt;1,"doublon",IF($F115="","groupe manquant",IF($G115="","rôle manquant",IF($H115="","support de saisie manquant",IF(AND($I115&lt;&gt;"",$J115&lt;&gt;"",$J115&lt;$I115),"date de fin antérieure à la date de début",IF(AND($G115="encadrant",IFERROR(INDEX(Personnes!$F$5:$F$153,MATCH($C115,Personnes!$A$5:$A$153,0)),"")=""),"courriel encadrant manquant","ok")))))))))</f>
        <v/>
      </c>
    </row>
    <row r="116">
      <c r="A116" s="8" t="inlineStr">
        <is>
          <t>2026-2027</t>
        </is>
      </c>
      <c r="B116" s="14" t="inlineStr">
        <is>
          <t>Danny SEGUI [P045]</t>
        </is>
      </c>
      <c r="C116" s="15">
        <f>IFERROR(MID($B116,FIND("[",$B116)+1,FIND("]",$B116)-FIND("[",$B116)-1),"")</f>
        <v/>
      </c>
      <c r="D116" s="15">
        <f>IFERROR(INDEX(Personnes!$B$5:$B$153,MATCH($C116,Personnes!$A$5:$A$153,0))&amp;"","")</f>
        <v/>
      </c>
      <c r="E116" s="15">
        <f>IFERROR(INDEX(Personnes!$C$5:$C$153,MATCH($C116,Personnes!$A$5:$A$153,0))&amp;"","")</f>
        <v/>
      </c>
      <c r="F116" s="14" t="inlineStr">
        <is>
          <t>LC</t>
        </is>
      </c>
      <c r="G116" s="14" t="inlineStr">
        <is>
          <t>élève</t>
        </is>
      </c>
      <c r="H116" s="14" t="inlineStr">
        <is>
          <t>classeur</t>
        </is>
      </c>
      <c r="I116" s="16" t="n">
        <v>46272</v>
      </c>
      <c r="J116" s="16" t="n"/>
      <c r="K116" s="18" t="n"/>
      <c r="L116" s="18" t="n"/>
      <c r="M116" s="15">
        <f>IF($B116="","",IF($C116="","personne non reconnue",IF(ISERROR(SEARCH(TRIM($E116&amp;" "&amp;$D116),$B116)),"libellé incohérent avec l’identifiant",IF(COUNTIFS($A$5:$A$500,$A116,$C$5:$C$500,$C116,$F$5:$F$500,$F116,$G$5:$G$500,$G116)&gt;1,"doublon",IF($F116="","groupe manquant",IF($G116="","rôle manquant",IF($H116="","support de saisie manquant",IF(AND($I116&lt;&gt;"",$J116&lt;&gt;"",$J116&lt;$I116),"date de fin antérieure à la date de début",IF(AND($G116="encadrant",IFERROR(INDEX(Personnes!$F$5:$F$153,MATCH($C116,Personnes!$A$5:$A$153,0)),"")=""),"courriel encadrant manquant","ok")))))))))</f>
        <v/>
      </c>
    </row>
    <row r="117">
      <c r="A117" t="inlineStr">
        <is>
          <t>2026-2027</t>
        </is>
      </c>
      <c r="B117" s="14" t="inlineStr">
        <is>
          <t>Benjamin FRASCA [P005]</t>
        </is>
      </c>
      <c r="C117" s="15">
        <f>IFERROR(MID($B117,FIND("[",$B117)+1,FIND("]",$B117)-FIND("[",$B117)-1),"")</f>
        <v/>
      </c>
      <c r="D117" s="15">
        <f>IFERROR(INDEX(Personnes!$B$5:$B$153,MATCH($C117,Personnes!$A$5:$A$153,0))&amp;"","")</f>
        <v/>
      </c>
      <c r="E117" s="15">
        <f>IFERROR(INDEX(Personnes!$C$5:$C$153,MATCH($C117,Personnes!$A$5:$A$153,0))&amp;"","")</f>
        <v/>
      </c>
      <c r="F117" s="14" t="inlineStr">
        <is>
          <t>DNF</t>
        </is>
      </c>
      <c r="G117" s="14" t="inlineStr">
        <is>
          <t>encadrant</t>
        </is>
      </c>
      <c r="H117" s="14" t="inlineStr">
        <is>
          <t>classeur</t>
        </is>
      </c>
      <c r="I117" s="16" t="n">
        <v>46272</v>
      </c>
      <c r="J117" s="16" t="n"/>
      <c r="K117" s="18" t="n"/>
      <c r="L117" s="18" t="n"/>
      <c r="M117" s="15">
        <f>IF($B117="","",IF($C117="","personne non reconnue",IF(ISERROR(SEARCH(TRIM($E117&amp;" "&amp;$D117),$B117)),"libellé incohérent avec l’identifiant",IF(COUNTIFS($A$5:$A$500,$A117,$C$5:$C$500,$C117,$F$5:$F$500,$F117,$G$5:$G$500,$G117)&gt;1,"doublon",IF($F117="","groupe manquant",IF($G117="","rôle manquant",IF($H117="","support de saisie manquant",IF(AND($I117&lt;&gt;"",$J117&lt;&gt;"",$J117&lt;$I117),"date de fin antérieure à la date de début",IF(AND($G117="encadrant",IFERROR(INDEX(Personnes!$F$5:$F$153,MATCH($C117,Personnes!$A$5:$A$153,0)),"")=""),"courriel encadrant manquant","ok")))))))))</f>
        <v/>
      </c>
    </row>
    <row r="118">
      <c r="A118" t="inlineStr">
        <is>
          <t>2026-2027</t>
        </is>
      </c>
      <c r="B118" s="14" t="inlineStr">
        <is>
          <t>Yvan MEASSON [P046]</t>
        </is>
      </c>
      <c r="C118" s="15">
        <f>IFERROR(MID($B118,FIND("[",$B118)+1,FIND("]",$B118)-FIND("[",$B118)-1),"")</f>
        <v/>
      </c>
      <c r="D118" s="15">
        <f>IFERROR(INDEX(Personnes!$B$5:$B$153,MATCH($C118,Personnes!$A$5:$A$153,0))&amp;"","")</f>
        <v/>
      </c>
      <c r="E118" s="15">
        <f>IFERROR(INDEX(Personnes!$C$5:$C$153,MATCH($C118,Personnes!$A$5:$A$153,0))&amp;"","")</f>
        <v/>
      </c>
      <c r="F118" s="14" t="inlineStr">
        <is>
          <t>DNF</t>
        </is>
      </c>
      <c r="G118" s="14" t="inlineStr">
        <is>
          <t>encadrant</t>
        </is>
      </c>
      <c r="H118" s="14" t="inlineStr">
        <is>
          <t>classeur</t>
        </is>
      </c>
      <c r="I118" s="16" t="n">
        <v>46272</v>
      </c>
      <c r="J118" s="16" t="n"/>
      <c r="K118" s="18" t="n"/>
      <c r="L118" s="18" t="n"/>
      <c r="M118" s="15">
        <f>IF($B118="","",IF($C118="","personne non reconnue",IF(ISERROR(SEARCH(TRIM($E118&amp;" "&amp;$D118),$B118)),"libellé incohérent avec l’identifiant",IF(COUNTIFS($A$5:$A$500,$A118,$C$5:$C$500,$C118,$F$5:$F$500,$F118,$G$5:$G$500,$G118)&gt;1,"doublon",IF($F118="","groupe manquant",IF($G118="","rôle manquant",IF($H118="","support de saisie manquant",IF(AND($I118&lt;&gt;"",$J118&lt;&gt;"",$J118&lt;$I118),"date de fin antérieure à la date de début",IF(AND($G118="encadrant",IFERROR(INDEX(Personnes!$F$5:$F$153,MATCH($C118,Personnes!$A$5:$A$153,0)),"")=""),"courriel encadrant manquant","ok")))))))))</f>
        <v/>
      </c>
    </row>
    <row r="119">
      <c r="A119" t="inlineStr">
        <is>
          <t>2026-2027</t>
        </is>
      </c>
      <c r="B119" s="14" t="inlineStr">
        <is>
          <t>Katarina STANKIEWICZ [P047]</t>
        </is>
      </c>
      <c r="C119" s="15">
        <f>IFERROR(MID($B119,FIND("[",$B119)+1,FIND("]",$B119)-FIND("[",$B119)-1),"")</f>
        <v/>
      </c>
      <c r="D119" s="15">
        <f>IFERROR(INDEX(Personnes!$B$5:$B$153,MATCH($C119,Personnes!$A$5:$A$153,0))&amp;"","")</f>
        <v/>
      </c>
      <c r="E119" s="15">
        <f>IFERROR(INDEX(Personnes!$C$5:$C$153,MATCH($C119,Personnes!$A$5:$A$153,0))&amp;"","")</f>
        <v/>
      </c>
      <c r="F119" s="14" t="inlineStr">
        <is>
          <t>DNF</t>
        </is>
      </c>
      <c r="G119" s="14" t="inlineStr">
        <is>
          <t>encadrant</t>
        </is>
      </c>
      <c r="H119" s="14" t="inlineStr">
        <is>
          <t>classeur</t>
        </is>
      </c>
      <c r="I119" s="16" t="n">
        <v>46272</v>
      </c>
      <c r="J119" s="16" t="n"/>
      <c r="K119" s="18" t="n"/>
      <c r="L119" s="18" t="n"/>
      <c r="M119" s="15">
        <f>IF($B119="","",IF($C119="","personne non reconnue",IF(ISERROR(SEARCH(TRIM($E119&amp;" "&amp;$D119),$B119)),"libellé incohérent avec l’identifiant",IF(COUNTIFS($A$5:$A$500,$A119,$C$5:$C$500,$C119,$F$5:$F$500,$F119,$G$5:$G$500,$G119)&gt;1,"doublon",IF($F119="","groupe manquant",IF($G119="","rôle manquant",IF($H119="","support de saisie manquant",IF(AND($I119&lt;&gt;"",$J119&lt;&gt;"",$J119&lt;$I119),"date de fin antérieure à la date de début",IF(AND($G119="encadrant",IFERROR(INDEX(Personnes!$F$5:$F$153,MATCH($C119,Personnes!$A$5:$A$153,0)),"")=""),"courriel encadrant manquant","ok")))))))))</f>
        <v/>
      </c>
    </row>
    <row r="120">
      <c r="A120" t="inlineStr">
        <is>
          <t>2026-2027</t>
        </is>
      </c>
      <c r="B120" s="14" t="inlineStr">
        <is>
          <t>Alain PASCAL [P044]</t>
        </is>
      </c>
      <c r="C120" s="15">
        <f>IFERROR(MID($B120,FIND("[",$B120)+1,FIND("]",$B120)-FIND("[",$B120)-1),"")</f>
        <v/>
      </c>
      <c r="D120" s="15">
        <f>IFERROR(INDEX(Personnes!$B$5:$B$153,MATCH($C120,Personnes!$A$5:$A$153,0))&amp;"","")</f>
        <v/>
      </c>
      <c r="E120" s="15">
        <f>IFERROR(INDEX(Personnes!$C$5:$C$153,MATCH($C120,Personnes!$A$5:$A$153,0))&amp;"","")</f>
        <v/>
      </c>
      <c r="F120" s="14" t="inlineStr">
        <is>
          <t>DNF</t>
        </is>
      </c>
      <c r="G120" s="14" t="inlineStr">
        <is>
          <t>encadrant</t>
        </is>
      </c>
      <c r="H120" s="14" t="inlineStr">
        <is>
          <t>classeur</t>
        </is>
      </c>
      <c r="I120" s="16" t="n">
        <v>46272</v>
      </c>
      <c r="J120" s="16" t="n"/>
      <c r="K120" s="18" t="n"/>
      <c r="L120" s="18" t="n"/>
      <c r="M120" s="15">
        <f>IF($B120="","",IF($C120="","personne non reconnue",IF(ISERROR(SEARCH(TRIM($E120&amp;" "&amp;$D120),$B120)),"libellé incohérent avec l’identifiant",IF(COUNTIFS($A$5:$A$500,$A120,$C$5:$C$500,$C120,$F$5:$F$500,$F120,$G$5:$G$500,$G120)&gt;1,"doublon",IF($F120="","groupe manquant",IF($G120="","rôle manquant",IF($H120="","support de saisie manquant",IF(AND($I120&lt;&gt;"",$J120&lt;&gt;"",$J120&lt;$I120),"date de fin antérieure à la date de début",IF(AND($G120="encadrant",IFERROR(INDEX(Personnes!$F$5:$F$153,MATCH($C120,Personnes!$A$5:$A$153,0)),"")=""),"courriel encadrant manquant","ok")))))))))</f>
        <v/>
      </c>
    </row>
    <row r="121">
      <c r="A121" t="inlineStr">
        <is>
          <t>2026-2027</t>
        </is>
      </c>
      <c r="B121" s="14" t="inlineStr">
        <is>
          <t>Victorinne CHARDONNET [P031]</t>
        </is>
      </c>
      <c r="C121" s="15">
        <f>IFERROR(MID($B121,FIND("[",$B121)+1,FIND("]",$B121)-FIND("[",$B121)-1),"")</f>
        <v/>
      </c>
      <c r="D121" s="15">
        <f>IFERROR(INDEX(Personnes!$B$5:$B$153,MATCH($C121,Personnes!$A$5:$A$153,0))&amp;"","")</f>
        <v/>
      </c>
      <c r="E121" s="15">
        <f>IFERROR(INDEX(Personnes!$C$5:$C$153,MATCH($C121,Personnes!$A$5:$A$153,0))&amp;"","")</f>
        <v/>
      </c>
      <c r="F121" s="14" t="inlineStr">
        <is>
          <t>STA</t>
        </is>
      </c>
      <c r="G121" s="14" t="inlineStr">
        <is>
          <t>encadrant</t>
        </is>
      </c>
      <c r="H121" s="14" t="inlineStr">
        <is>
          <t>classeur</t>
        </is>
      </c>
      <c r="I121" s="16" t="n">
        <v>46272</v>
      </c>
      <c r="J121" s="16" t="n"/>
      <c r="K121" s="18" t="n"/>
      <c r="L121" s="18" t="n"/>
      <c r="M121" s="15">
        <f>IF($B121="","",IF($C121="","personne non reconnue",IF(ISERROR(SEARCH(TRIM($E121&amp;" "&amp;$D121),$B121)),"libellé incohérent avec l’identifiant",IF(COUNTIFS($A$5:$A$500,$A121,$C$5:$C$500,$C121,$F$5:$F$500,$F121,$G$5:$G$500,$G121)&gt;1,"doublon",IF($F121="","groupe manquant",IF($G121="","rôle manquant",IF($H121="","support de saisie manquant",IF(AND($I121&lt;&gt;"",$J121&lt;&gt;"",$J121&lt;$I121),"date de fin antérieure à la date de début",IF(AND($G121="encadrant",IFERROR(INDEX(Personnes!$F$5:$F$153,MATCH($C121,Personnes!$A$5:$A$153,0)),"")=""),"courriel encadrant manquant","ok")))))))))</f>
        <v/>
      </c>
    </row>
    <row r="122">
      <c r="A122" t="inlineStr">
        <is>
          <t>2026-2027</t>
        </is>
      </c>
      <c r="B122" s="14" t="inlineStr">
        <is>
          <t>François MEMHELD [P033]</t>
        </is>
      </c>
      <c r="C122" s="15">
        <f>IFERROR(MID($B122,FIND("[",$B122)+1,FIND("]",$B122)-FIND("[",$B122)-1),"")</f>
        <v/>
      </c>
      <c r="D122" s="15">
        <f>IFERROR(INDEX(Personnes!$B$5:$B$153,MATCH($C122,Personnes!$A$5:$A$153,0))&amp;"","")</f>
        <v/>
      </c>
      <c r="E122" s="15">
        <f>IFERROR(INDEX(Personnes!$C$5:$C$153,MATCH($C122,Personnes!$A$5:$A$153,0))&amp;"","")</f>
        <v/>
      </c>
      <c r="F122" s="14" t="inlineStr">
        <is>
          <t>STA</t>
        </is>
      </c>
      <c r="G122" s="14" t="inlineStr">
        <is>
          <t>encadrant</t>
        </is>
      </c>
      <c r="H122" s="14" t="inlineStr">
        <is>
          <t>classeur</t>
        </is>
      </c>
      <c r="I122" s="16" t="n">
        <v>46272</v>
      </c>
      <c r="J122" s="16" t="n"/>
      <c r="K122" s="18" t="n"/>
      <c r="L122" s="18" t="n"/>
      <c r="M122" s="15">
        <f>IF($B122="","",IF($C122="","personne non reconnue",IF(ISERROR(SEARCH(TRIM($E122&amp;" "&amp;$D122),$B122)),"libellé incohérent avec l’identifiant",IF(COUNTIFS($A$5:$A$500,$A122,$C$5:$C$500,$C122,$F$5:$F$500,$F122,$G$5:$G$500,$G122)&gt;1,"doublon",IF($F122="","groupe manquant",IF($G122="","rôle manquant",IF($H122="","support de saisie manquant",IF(AND($I122&lt;&gt;"",$J122&lt;&gt;"",$J122&lt;$I122),"date de fin antérieure à la date de début",IF(AND($G122="encadrant",IFERROR(INDEX(Personnes!$F$5:$F$153,MATCH($C122,Personnes!$A$5:$A$153,0)),"")=""),"courriel encadrant manquant","ok")))))))))</f>
        <v/>
      </c>
    </row>
    <row r="123">
      <c r="A123" t="inlineStr">
        <is>
          <t>2026-2027</t>
        </is>
      </c>
      <c r="B123" s="14" t="inlineStr">
        <is>
          <t>Guillaume BOULANT [P049]</t>
        </is>
      </c>
      <c r="C123" s="15">
        <f>IFERROR(MID($B123,FIND("[",$B123)+1,FIND("]",$B123)-FIND("[",$B123)-1),"")</f>
        <v/>
      </c>
      <c r="D123" s="15">
        <f>IFERROR(INDEX(Personnes!$B$5:$B$153,MATCH($C123,Personnes!$A$5:$A$153,0))&amp;"","")</f>
        <v/>
      </c>
      <c r="E123" s="15">
        <f>IFERROR(INDEX(Personnes!$C$5:$C$153,MATCH($C123,Personnes!$A$5:$A$153,0))&amp;"","")</f>
        <v/>
      </c>
      <c r="F123" s="14" t="inlineStr">
        <is>
          <t>STA</t>
        </is>
      </c>
      <c r="G123" s="14" t="inlineStr">
        <is>
          <t>encadrant</t>
        </is>
      </c>
      <c r="H123" s="14" t="inlineStr">
        <is>
          <t>classeur</t>
        </is>
      </c>
      <c r="I123" s="16" t="n">
        <v>46272</v>
      </c>
      <c r="J123" s="16" t="n"/>
      <c r="K123" s="18" t="n"/>
      <c r="L123" s="18" t="n"/>
      <c r="M123" s="15">
        <f>IF($B123="","",IF($C123="","personne non reconnue",IF(ISERROR(SEARCH(TRIM($E123&amp;" "&amp;$D123),$B123)),"libellé incohérent avec l’identifiant",IF(COUNTIFS($A$5:$A$500,$A123,$C$5:$C$500,$C123,$F$5:$F$500,$F123,$G$5:$G$500,$G123)&gt;1,"doublon",IF($F123="","groupe manquant",IF($G123="","rôle manquant",IF($H123="","support de saisie manquant",IF(AND($I123&lt;&gt;"",$J123&lt;&gt;"",$J123&lt;$I123),"date de fin antérieure à la date de début",IF(AND($G123="encadrant",IFERROR(INDEX(Personnes!$F$5:$F$153,MATCH($C123,Personnes!$A$5:$A$153,0)),"")=""),"courriel encadrant manquant","ok")))))))))</f>
        <v/>
      </c>
    </row>
    <row r="124">
      <c r="A124" t="inlineStr">
        <is>
          <t>2026-2027</t>
        </is>
      </c>
      <c r="B124" s="14" t="inlineStr">
        <is>
          <t>Alain GUEVEL [P001]</t>
        </is>
      </c>
      <c r="C124" s="15">
        <f>IFERROR(MID($B124,FIND("[",$B124)+1,FIND("]",$B124)-FIND("[",$B124)-1),"")</f>
        <v/>
      </c>
      <c r="D124" s="15">
        <f>IFERROR(INDEX(Personnes!$B$5:$B$153,MATCH($C124,Personnes!$A$5:$A$153,0))&amp;"","")</f>
        <v/>
      </c>
      <c r="E124" s="15">
        <f>IFERROR(INDEX(Personnes!$C$5:$C$153,MATCH($C124,Personnes!$A$5:$A$153,0))&amp;"","")</f>
        <v/>
      </c>
      <c r="F124" s="14" t="inlineStr">
        <is>
          <t>DNF</t>
        </is>
      </c>
      <c r="G124" s="14" t="inlineStr">
        <is>
          <t>élève</t>
        </is>
      </c>
      <c r="H124" s="14" t="inlineStr">
        <is>
          <t>classeur</t>
        </is>
      </c>
      <c r="I124" s="16" t="n">
        <v>46272</v>
      </c>
      <c r="J124" s="16" t="n"/>
      <c r="K124" s="18" t="n"/>
      <c r="L124" s="18" t="n"/>
      <c r="M124" s="15">
        <f>IF($B124="","",IF($C124="","personne non reconnue",IF(ISERROR(SEARCH(TRIM($E124&amp;" "&amp;$D124),$B124)),"libellé incohérent avec l’identifiant",IF(COUNTIFS($A$5:$A$500,$A124,$C$5:$C$500,$C124,$F$5:$F$500,$F124,$G$5:$G$500,$G124)&gt;1,"doublon",IF($F124="","groupe manquant",IF($G124="","rôle manquant",IF($H124="","support de saisie manquant",IF(AND($I124&lt;&gt;"",$J124&lt;&gt;"",$J124&lt;$I124),"date de fin antérieure à la date de début",IF(AND($G124="encadrant",IFERROR(INDEX(Personnes!$F$5:$F$153,MATCH($C124,Personnes!$A$5:$A$153,0)),"")=""),"courriel encadrant manquant","ok")))))))))</f>
        <v/>
      </c>
    </row>
    <row r="125">
      <c r="A125" t="inlineStr">
        <is>
          <t>2026-2027</t>
        </is>
      </c>
      <c r="B125" s="14" t="inlineStr">
        <is>
          <t>Antonin DESMERGES [P002]</t>
        </is>
      </c>
      <c r="C125" s="15">
        <f>IFERROR(MID($B125,FIND("[",$B125)+1,FIND("]",$B125)-FIND("[",$B125)-1),"")</f>
        <v/>
      </c>
      <c r="D125" s="15">
        <f>IFERROR(INDEX(Personnes!$B$5:$B$153,MATCH($C125,Personnes!$A$5:$A$153,0))&amp;"","")</f>
        <v/>
      </c>
      <c r="E125" s="15">
        <f>IFERROR(INDEX(Personnes!$C$5:$C$153,MATCH($C125,Personnes!$A$5:$A$153,0))&amp;"","")</f>
        <v/>
      </c>
      <c r="F125" s="14" t="inlineStr">
        <is>
          <t>DNF</t>
        </is>
      </c>
      <c r="G125" s="14" t="inlineStr">
        <is>
          <t>élève</t>
        </is>
      </c>
      <c r="H125" s="14" t="inlineStr">
        <is>
          <t>classeur</t>
        </is>
      </c>
      <c r="I125" s="16" t="n">
        <v>46272</v>
      </c>
      <c r="J125" s="16" t="n"/>
      <c r="K125" s="18" t="n"/>
      <c r="L125" s="18" t="n"/>
      <c r="M125" s="15">
        <f>IF($B125="","",IF($C125="","personne non reconnue",IF(ISERROR(SEARCH(TRIM($E125&amp;" "&amp;$D125),$B125)),"libellé incohérent avec l’identifiant",IF(COUNTIFS($A$5:$A$500,$A125,$C$5:$C$500,$C125,$F$5:$F$500,$F125,$G$5:$G$500,$G125)&gt;1,"doublon",IF($F125="","groupe manquant",IF($G125="","rôle manquant",IF($H125="","support de saisie manquant",IF(AND($I125&lt;&gt;"",$J125&lt;&gt;"",$J125&lt;$I125),"date de fin antérieure à la date de début",IF(AND($G125="encadrant",IFERROR(INDEX(Personnes!$F$5:$F$153,MATCH($C125,Personnes!$A$5:$A$153,0)),"")=""),"courriel encadrant manquant","ok")))))))))</f>
        <v/>
      </c>
    </row>
    <row r="126">
      <c r="A126" t="inlineStr">
        <is>
          <t>2026-2027</t>
        </is>
      </c>
      <c r="B126" s="14" t="inlineStr">
        <is>
          <t>Aurelien BARBIER [P003]</t>
        </is>
      </c>
      <c r="C126" s="15">
        <f>IFERROR(MID($B126,FIND("[",$B126)+1,FIND("]",$B126)-FIND("[",$B126)-1),"")</f>
        <v/>
      </c>
      <c r="D126" s="15">
        <f>IFERROR(INDEX(Personnes!$B$5:$B$153,MATCH($C126,Personnes!$A$5:$A$153,0))&amp;"","")</f>
        <v/>
      </c>
      <c r="E126" s="15">
        <f>IFERROR(INDEX(Personnes!$C$5:$C$153,MATCH($C126,Personnes!$A$5:$A$153,0))&amp;"","")</f>
        <v/>
      </c>
      <c r="F126" s="14" t="inlineStr">
        <is>
          <t>DNF</t>
        </is>
      </c>
      <c r="G126" s="14" t="inlineStr">
        <is>
          <t>élève</t>
        </is>
      </c>
      <c r="H126" s="14" t="inlineStr">
        <is>
          <t>classeur</t>
        </is>
      </c>
      <c r="I126" s="16" t="n">
        <v>46272</v>
      </c>
      <c r="J126" s="16" t="n"/>
      <c r="K126" s="18" t="n"/>
      <c r="L126" s="18" t="n"/>
      <c r="M126" s="15">
        <f>IF($B126="","",IF($C126="","personne non reconnue",IF(ISERROR(SEARCH(TRIM($E126&amp;" "&amp;$D126),$B126)),"libellé incohérent avec l’identifiant",IF(COUNTIFS($A$5:$A$500,$A126,$C$5:$C$500,$C126,$F$5:$F$500,$F126,$G$5:$G$500,$G126)&gt;1,"doublon",IF($F126="","groupe manquant",IF($G126="","rôle manquant",IF($H126="","support de saisie manquant",IF(AND($I126&lt;&gt;"",$J126&lt;&gt;"",$J126&lt;$I126),"date de fin antérieure à la date de début",IF(AND($G126="encadrant",IFERROR(INDEX(Personnes!$F$5:$F$153,MATCH($C126,Personnes!$A$5:$A$153,0)),"")=""),"courriel encadrant manquant","ok")))))))))</f>
        <v/>
      </c>
    </row>
    <row r="127">
      <c r="A127" t="inlineStr">
        <is>
          <t>2026-2027</t>
        </is>
      </c>
      <c r="B127" s="14" t="inlineStr">
        <is>
          <t>Béatrice GOUSSARD [P004]</t>
        </is>
      </c>
      <c r="C127" s="15">
        <f>IFERROR(MID($B127,FIND("[",$B127)+1,FIND("]",$B127)-FIND("[",$B127)-1),"")</f>
        <v/>
      </c>
      <c r="D127" s="15">
        <f>IFERROR(INDEX(Personnes!$B$5:$B$153,MATCH($C127,Personnes!$A$5:$A$153,0))&amp;"","")</f>
        <v/>
      </c>
      <c r="E127" s="15">
        <f>IFERROR(INDEX(Personnes!$C$5:$C$153,MATCH($C127,Personnes!$A$5:$A$153,0))&amp;"","")</f>
        <v/>
      </c>
      <c r="F127" s="14" t="inlineStr">
        <is>
          <t>DNF</t>
        </is>
      </c>
      <c r="G127" s="14" t="inlineStr">
        <is>
          <t>élève</t>
        </is>
      </c>
      <c r="H127" s="14" t="inlineStr">
        <is>
          <t>classeur</t>
        </is>
      </c>
      <c r="I127" s="16" t="n">
        <v>46272</v>
      </c>
      <c r="J127" s="16" t="n"/>
      <c r="K127" s="18" t="n"/>
      <c r="L127" s="18" t="n"/>
      <c r="M127" s="15">
        <f>IF($B127="","",IF($C127="","personne non reconnue",IF(ISERROR(SEARCH(TRIM($E127&amp;" "&amp;$D127),$B127)),"libellé incohérent avec l’identifiant",IF(COUNTIFS($A$5:$A$500,$A127,$C$5:$C$500,$C127,$F$5:$F$500,$F127,$G$5:$G$500,$G127)&gt;1,"doublon",IF($F127="","groupe manquant",IF($G127="","rôle manquant",IF($H127="","support de saisie manquant",IF(AND($I127&lt;&gt;"",$J127&lt;&gt;"",$J127&lt;$I127),"date de fin antérieure à la date de début",IF(AND($G127="encadrant",IFERROR(INDEX(Personnes!$F$5:$F$153,MATCH($C127,Personnes!$A$5:$A$153,0)),"")=""),"courriel encadrant manquant","ok")))))))))</f>
        <v/>
      </c>
    </row>
    <row r="128">
      <c r="A128" t="inlineStr">
        <is>
          <t>2026-2027</t>
        </is>
      </c>
      <c r="B128" s="14" t="inlineStr">
        <is>
          <t>Benjamin FRASCA [P005]</t>
        </is>
      </c>
      <c r="C128" s="15">
        <f>IFERROR(MID($B128,FIND("[",$B128)+1,FIND("]",$B128)-FIND("[",$B128)-1),"")</f>
        <v/>
      </c>
      <c r="D128" s="15">
        <f>IFERROR(INDEX(Personnes!$B$5:$B$153,MATCH($C128,Personnes!$A$5:$A$153,0))&amp;"","")</f>
        <v/>
      </c>
      <c r="E128" s="15">
        <f>IFERROR(INDEX(Personnes!$C$5:$C$153,MATCH($C128,Personnes!$A$5:$A$153,0))&amp;"","")</f>
        <v/>
      </c>
      <c r="F128" s="14" t="inlineStr">
        <is>
          <t>DNF</t>
        </is>
      </c>
      <c r="G128" s="14" t="inlineStr">
        <is>
          <t>élève</t>
        </is>
      </c>
      <c r="H128" s="14" t="inlineStr">
        <is>
          <t>classeur</t>
        </is>
      </c>
      <c r="I128" s="16" t="n">
        <v>46272</v>
      </c>
      <c r="J128" s="16" t="n"/>
      <c r="K128" s="18" t="n"/>
      <c r="L128" s="18" t="n"/>
      <c r="M128" s="15">
        <f>IF($B128="","",IF($C128="","personne non reconnue",IF(ISERROR(SEARCH(TRIM($E128&amp;" "&amp;$D128),$B128)),"libellé incohérent avec l’identifiant",IF(COUNTIFS($A$5:$A$500,$A128,$C$5:$C$500,$C128,$F$5:$F$500,$F128,$G$5:$G$500,$G128)&gt;1,"doublon",IF($F128="","groupe manquant",IF($G128="","rôle manquant",IF($H128="","support de saisie manquant",IF(AND($I128&lt;&gt;"",$J128&lt;&gt;"",$J128&lt;$I128),"date de fin antérieure à la date de début",IF(AND($G128="encadrant",IFERROR(INDEX(Personnes!$F$5:$F$153,MATCH($C128,Personnes!$A$5:$A$153,0)),"")=""),"courriel encadrant manquant","ok")))))))))</f>
        <v/>
      </c>
    </row>
    <row r="129">
      <c r="A129" t="inlineStr">
        <is>
          <t>2026-2027</t>
        </is>
      </c>
      <c r="B129" s="14" t="inlineStr">
        <is>
          <t>Caroline COLIN DE VERDIERE [P006]</t>
        </is>
      </c>
      <c r="C129" s="15">
        <f>IFERROR(MID($B129,FIND("[",$B129)+1,FIND("]",$B129)-FIND("[",$B129)-1),"")</f>
        <v/>
      </c>
      <c r="D129" s="15">
        <f>IFERROR(INDEX(Personnes!$B$5:$B$153,MATCH($C129,Personnes!$A$5:$A$153,0))&amp;"","")</f>
        <v/>
      </c>
      <c r="E129" s="15">
        <f>IFERROR(INDEX(Personnes!$C$5:$C$153,MATCH($C129,Personnes!$A$5:$A$153,0))&amp;"","")</f>
        <v/>
      </c>
      <c r="F129" s="14" t="inlineStr">
        <is>
          <t>DNF</t>
        </is>
      </c>
      <c r="G129" s="14" t="inlineStr">
        <is>
          <t>élève</t>
        </is>
      </c>
      <c r="H129" s="14" t="inlineStr">
        <is>
          <t>classeur</t>
        </is>
      </c>
      <c r="I129" s="16" t="n">
        <v>46272</v>
      </c>
      <c r="J129" s="16" t="n"/>
      <c r="K129" s="18" t="n"/>
      <c r="L129" s="18" t="n"/>
      <c r="M129" s="15">
        <f>IF($B129="","",IF($C129="","personne non reconnue",IF(ISERROR(SEARCH(TRIM($E129&amp;" "&amp;$D129),$B129)),"libellé incohérent avec l’identifiant",IF(COUNTIFS($A$5:$A$500,$A129,$C$5:$C$500,$C129,$F$5:$F$500,$F129,$G$5:$G$500,$G129)&gt;1,"doublon",IF($F129="","groupe manquant",IF($G129="","rôle manquant",IF($H129="","support de saisie manquant",IF(AND($I129&lt;&gt;"",$J129&lt;&gt;"",$J129&lt;$I129),"date de fin antérieure à la date de début",IF(AND($G129="encadrant",IFERROR(INDEX(Personnes!$F$5:$F$153,MATCH($C129,Personnes!$A$5:$A$153,0)),"")=""),"courriel encadrant manquant","ok")))))))))</f>
        <v/>
      </c>
    </row>
    <row r="130">
      <c r="A130" t="inlineStr">
        <is>
          <t>2026-2027</t>
        </is>
      </c>
      <c r="B130" s="14" t="inlineStr">
        <is>
          <t>Charline DANSEUX [P007]</t>
        </is>
      </c>
      <c r="C130" s="15">
        <f>IFERROR(MID($B130,FIND("[",$B130)+1,FIND("]",$B130)-FIND("[",$B130)-1),"")</f>
        <v/>
      </c>
      <c r="D130" s="15">
        <f>IFERROR(INDEX(Personnes!$B$5:$B$153,MATCH($C130,Personnes!$A$5:$A$153,0))&amp;"","")</f>
        <v/>
      </c>
      <c r="E130" s="15">
        <f>IFERROR(INDEX(Personnes!$C$5:$C$153,MATCH($C130,Personnes!$A$5:$A$153,0))&amp;"","")</f>
        <v/>
      </c>
      <c r="F130" s="14" t="inlineStr">
        <is>
          <t>DNF</t>
        </is>
      </c>
      <c r="G130" s="14" t="inlineStr">
        <is>
          <t>élève</t>
        </is>
      </c>
      <c r="H130" s="14" t="inlineStr">
        <is>
          <t>classeur</t>
        </is>
      </c>
      <c r="I130" s="16" t="n">
        <v>46272</v>
      </c>
      <c r="J130" s="16" t="n"/>
      <c r="K130" s="18" t="n"/>
      <c r="L130" s="18" t="n"/>
      <c r="M130" s="15">
        <f>IF($B130="","",IF($C130="","personne non reconnue",IF(ISERROR(SEARCH(TRIM($E130&amp;" "&amp;$D130),$B130)),"libellé incohérent avec l’identifiant",IF(COUNTIFS($A$5:$A$500,$A130,$C$5:$C$500,$C130,$F$5:$F$500,$F130,$G$5:$G$500,$G130)&gt;1,"doublon",IF($F130="","groupe manquant",IF($G130="","rôle manquant",IF($H130="","support de saisie manquant",IF(AND($I130&lt;&gt;"",$J130&lt;&gt;"",$J130&lt;$I130),"date de fin antérieure à la date de début",IF(AND($G130="encadrant",IFERROR(INDEX(Personnes!$F$5:$F$153,MATCH($C130,Personnes!$A$5:$A$153,0)),"")=""),"courriel encadrant manquant","ok")))))))))</f>
        <v/>
      </c>
    </row>
    <row r="131">
      <c r="A131" t="inlineStr">
        <is>
          <t>2026-2027</t>
        </is>
      </c>
      <c r="B131" s="14" t="inlineStr">
        <is>
          <t>Cyril LABROSSE [P008]</t>
        </is>
      </c>
      <c r="C131" s="15">
        <f>IFERROR(MID($B131,FIND("[",$B131)+1,FIND("]",$B131)-FIND("[",$B131)-1),"")</f>
        <v/>
      </c>
      <c r="D131" s="15">
        <f>IFERROR(INDEX(Personnes!$B$5:$B$153,MATCH($C131,Personnes!$A$5:$A$153,0))&amp;"","")</f>
        <v/>
      </c>
      <c r="E131" s="15">
        <f>IFERROR(INDEX(Personnes!$C$5:$C$153,MATCH($C131,Personnes!$A$5:$A$153,0))&amp;"","")</f>
        <v/>
      </c>
      <c r="F131" s="14" t="inlineStr">
        <is>
          <t>DNF</t>
        </is>
      </c>
      <c r="G131" s="14" t="inlineStr">
        <is>
          <t>élève</t>
        </is>
      </c>
      <c r="H131" s="14" t="inlineStr">
        <is>
          <t>classeur</t>
        </is>
      </c>
      <c r="I131" s="16" t="n">
        <v>46272</v>
      </c>
      <c r="J131" s="16" t="n"/>
      <c r="K131" s="18" t="n"/>
      <c r="L131" s="18" t="n"/>
      <c r="M131" s="15">
        <f>IF($B131="","",IF($C131="","personne non reconnue",IF(ISERROR(SEARCH(TRIM($E131&amp;" "&amp;$D131),$B131)),"libellé incohérent avec l’identifiant",IF(COUNTIFS($A$5:$A$500,$A131,$C$5:$C$500,$C131,$F$5:$F$500,$F131,$G$5:$G$500,$G131)&gt;1,"doublon",IF($F131="","groupe manquant",IF($G131="","rôle manquant",IF($H131="","support de saisie manquant",IF(AND($I131&lt;&gt;"",$J131&lt;&gt;"",$J131&lt;$I131),"date de fin antérieure à la date de début",IF(AND($G131="encadrant",IFERROR(INDEX(Personnes!$F$5:$F$153,MATCH($C131,Personnes!$A$5:$A$153,0)),"")=""),"courriel encadrant manquant","ok")))))))))</f>
        <v/>
      </c>
    </row>
    <row r="132">
      <c r="A132" t="inlineStr">
        <is>
          <t>2026-2027</t>
        </is>
      </c>
      <c r="B132" s="14" t="inlineStr">
        <is>
          <t>Cyrille HANNOU [P009]</t>
        </is>
      </c>
      <c r="C132" s="15">
        <f>IFERROR(MID($B132,FIND("[",$B132)+1,FIND("]",$B132)-FIND("[",$B132)-1),"")</f>
        <v/>
      </c>
      <c r="D132" s="15">
        <f>IFERROR(INDEX(Personnes!$B$5:$B$153,MATCH($C132,Personnes!$A$5:$A$153,0))&amp;"","")</f>
        <v/>
      </c>
      <c r="E132" s="15">
        <f>IFERROR(INDEX(Personnes!$C$5:$C$153,MATCH($C132,Personnes!$A$5:$A$153,0))&amp;"","")</f>
        <v/>
      </c>
      <c r="F132" s="14" t="inlineStr">
        <is>
          <t>DNF</t>
        </is>
      </c>
      <c r="G132" s="14" t="inlineStr">
        <is>
          <t>élève</t>
        </is>
      </c>
      <c r="H132" s="14" t="inlineStr">
        <is>
          <t>classeur</t>
        </is>
      </c>
      <c r="I132" s="16" t="n">
        <v>46272</v>
      </c>
      <c r="J132" s="16" t="n"/>
      <c r="K132" s="18" t="n"/>
      <c r="L132" s="18" t="n"/>
      <c r="M132" s="15">
        <f>IF($B132="","",IF($C132="","personne non reconnue",IF(ISERROR(SEARCH(TRIM($E132&amp;" "&amp;$D132),$B132)),"libellé incohérent avec l’identifiant",IF(COUNTIFS($A$5:$A$500,$A132,$C$5:$C$500,$C132,$F$5:$F$500,$F132,$G$5:$G$500,$G132)&gt;1,"doublon",IF($F132="","groupe manquant",IF($G132="","rôle manquant",IF($H132="","support de saisie manquant",IF(AND($I132&lt;&gt;"",$J132&lt;&gt;"",$J132&lt;$I132),"date de fin antérieure à la date de début",IF(AND($G132="encadrant",IFERROR(INDEX(Personnes!$F$5:$F$153,MATCH($C132,Personnes!$A$5:$A$153,0)),"")=""),"courriel encadrant manquant","ok")))))))))</f>
        <v/>
      </c>
    </row>
    <row r="133">
      <c r="A133" t="inlineStr">
        <is>
          <t>2026-2027</t>
        </is>
      </c>
      <c r="B133" s="14" t="inlineStr">
        <is>
          <t>Edward LICHTNER [P010]</t>
        </is>
      </c>
      <c r="C133" s="15">
        <f>IFERROR(MID($B133,FIND("[",$B133)+1,FIND("]",$B133)-FIND("[",$B133)-1),"")</f>
        <v/>
      </c>
      <c r="D133" s="15">
        <f>IFERROR(INDEX(Personnes!$B$5:$B$153,MATCH($C133,Personnes!$A$5:$A$153,0))&amp;"","")</f>
        <v/>
      </c>
      <c r="E133" s="15">
        <f>IFERROR(INDEX(Personnes!$C$5:$C$153,MATCH($C133,Personnes!$A$5:$A$153,0))&amp;"","")</f>
        <v/>
      </c>
      <c r="F133" s="14" t="inlineStr">
        <is>
          <t>DNF</t>
        </is>
      </c>
      <c r="G133" s="14" t="inlineStr">
        <is>
          <t>élève</t>
        </is>
      </c>
      <c r="H133" s="14" t="inlineStr">
        <is>
          <t>classeur</t>
        </is>
      </c>
      <c r="I133" s="16" t="n">
        <v>46272</v>
      </c>
      <c r="J133" s="16" t="n"/>
      <c r="K133" s="18" t="n"/>
      <c r="L133" s="18" t="n"/>
      <c r="M133" s="15">
        <f>IF($B133="","",IF($C133="","personne non reconnue",IF(ISERROR(SEARCH(TRIM($E133&amp;" "&amp;$D133),$B133)),"libellé incohérent avec l’identifiant",IF(COUNTIFS($A$5:$A$500,$A133,$C$5:$C$500,$C133,$F$5:$F$500,$F133,$G$5:$G$500,$G133)&gt;1,"doublon",IF($F133="","groupe manquant",IF($G133="","rôle manquant",IF($H133="","support de saisie manquant",IF(AND($I133&lt;&gt;"",$J133&lt;&gt;"",$J133&lt;$I133),"date de fin antérieure à la date de début",IF(AND($G133="encadrant",IFERROR(INDEX(Personnes!$F$5:$F$153,MATCH($C133,Personnes!$A$5:$A$153,0)),"")=""),"courriel encadrant manquant","ok")))))))))</f>
        <v/>
      </c>
    </row>
    <row r="134">
      <c r="A134" t="inlineStr">
        <is>
          <t>2026-2027</t>
        </is>
      </c>
      <c r="B134" s="14" t="inlineStr">
        <is>
          <t>Etienne COLIN DE VERDIERE [P011]</t>
        </is>
      </c>
      <c r="C134" s="15">
        <f>IFERROR(MID($B134,FIND("[",$B134)+1,FIND("]",$B134)-FIND("[",$B134)-1),"")</f>
        <v/>
      </c>
      <c r="D134" s="15">
        <f>IFERROR(INDEX(Personnes!$B$5:$B$153,MATCH($C134,Personnes!$A$5:$A$153,0))&amp;"","")</f>
        <v/>
      </c>
      <c r="E134" s="15">
        <f>IFERROR(INDEX(Personnes!$C$5:$C$153,MATCH($C134,Personnes!$A$5:$A$153,0))&amp;"","")</f>
        <v/>
      </c>
      <c r="F134" s="14" t="inlineStr">
        <is>
          <t>DNF</t>
        </is>
      </c>
      <c r="G134" s="14" t="inlineStr">
        <is>
          <t>élève</t>
        </is>
      </c>
      <c r="H134" s="14" t="inlineStr">
        <is>
          <t>classeur</t>
        </is>
      </c>
      <c r="I134" s="16" t="n">
        <v>46272</v>
      </c>
      <c r="J134" s="16" t="n"/>
      <c r="K134" s="18" t="n"/>
      <c r="L134" s="18" t="n"/>
      <c r="M134" s="15">
        <f>IF($B134="","",IF($C134="","personne non reconnue",IF(ISERROR(SEARCH(TRIM($E134&amp;" "&amp;$D134),$B134)),"libellé incohérent avec l’identifiant",IF(COUNTIFS($A$5:$A$500,$A134,$C$5:$C$500,$C134,$F$5:$F$500,$F134,$G$5:$G$500,$G134)&gt;1,"doublon",IF($F134="","groupe manquant",IF($G134="","rôle manquant",IF($H134="","support de saisie manquant",IF(AND($I134&lt;&gt;"",$J134&lt;&gt;"",$J134&lt;$I134),"date de fin antérieure à la date de début",IF(AND($G134="encadrant",IFERROR(INDEX(Personnes!$F$5:$F$153,MATCH($C134,Personnes!$A$5:$A$153,0)),"")=""),"courriel encadrant manquant","ok")))))))))</f>
        <v/>
      </c>
    </row>
    <row r="135">
      <c r="A135" t="inlineStr">
        <is>
          <t>2026-2027</t>
        </is>
      </c>
      <c r="B135" s="14" t="inlineStr">
        <is>
          <t>Etienne LACOUR [P012]</t>
        </is>
      </c>
      <c r="C135" s="15">
        <f>IFERROR(MID($B135,FIND("[",$B135)+1,FIND("]",$B135)-FIND("[",$B135)-1),"")</f>
        <v/>
      </c>
      <c r="D135" s="15">
        <f>IFERROR(INDEX(Personnes!$B$5:$B$153,MATCH($C135,Personnes!$A$5:$A$153,0))&amp;"","")</f>
        <v/>
      </c>
      <c r="E135" s="15">
        <f>IFERROR(INDEX(Personnes!$C$5:$C$153,MATCH($C135,Personnes!$A$5:$A$153,0))&amp;"","")</f>
        <v/>
      </c>
      <c r="F135" s="14" t="inlineStr">
        <is>
          <t>DNF</t>
        </is>
      </c>
      <c r="G135" s="14" t="inlineStr">
        <is>
          <t>élève</t>
        </is>
      </c>
      <c r="H135" s="14" t="inlineStr">
        <is>
          <t>classeur</t>
        </is>
      </c>
      <c r="I135" s="16" t="n">
        <v>46272</v>
      </c>
      <c r="J135" s="16" t="n"/>
      <c r="K135" s="18" t="n"/>
      <c r="L135" s="18" t="n"/>
      <c r="M135" s="15">
        <f>IF($B135="","",IF($C135="","personne non reconnue",IF(ISERROR(SEARCH(TRIM($E135&amp;" "&amp;$D135),$B135)),"libellé incohérent avec l’identifiant",IF(COUNTIFS($A$5:$A$500,$A135,$C$5:$C$500,$C135,$F$5:$F$500,$F135,$G$5:$G$500,$G135)&gt;1,"doublon",IF($F135="","groupe manquant",IF($G135="","rôle manquant",IF($H135="","support de saisie manquant",IF(AND($I135&lt;&gt;"",$J135&lt;&gt;"",$J135&lt;$I135),"date de fin antérieure à la date de début",IF(AND($G135="encadrant",IFERROR(INDEX(Personnes!$F$5:$F$153,MATCH($C135,Personnes!$A$5:$A$153,0)),"")=""),"courriel encadrant manquant","ok")))))))))</f>
        <v/>
      </c>
    </row>
    <row r="136">
      <c r="A136" t="inlineStr">
        <is>
          <t>2026-2027</t>
        </is>
      </c>
      <c r="B136" s="14" t="inlineStr">
        <is>
          <t>Francis WANG [P013]</t>
        </is>
      </c>
      <c r="C136" s="15">
        <f>IFERROR(MID($B136,FIND("[",$B136)+1,FIND("]",$B136)-FIND("[",$B136)-1),"")</f>
        <v/>
      </c>
      <c r="D136" s="15">
        <f>IFERROR(INDEX(Personnes!$B$5:$B$153,MATCH($C136,Personnes!$A$5:$A$153,0))&amp;"","")</f>
        <v/>
      </c>
      <c r="E136" s="15">
        <f>IFERROR(INDEX(Personnes!$C$5:$C$153,MATCH($C136,Personnes!$A$5:$A$153,0))&amp;"","")</f>
        <v/>
      </c>
      <c r="F136" s="14" t="inlineStr">
        <is>
          <t>DNF</t>
        </is>
      </c>
      <c r="G136" s="14" t="inlineStr">
        <is>
          <t>élève</t>
        </is>
      </c>
      <c r="H136" s="14" t="inlineStr">
        <is>
          <t>classeur</t>
        </is>
      </c>
      <c r="I136" s="16" t="n">
        <v>46272</v>
      </c>
      <c r="J136" s="16" t="n"/>
      <c r="K136" s="18" t="n"/>
      <c r="L136" s="18" t="n"/>
      <c r="M136" s="15">
        <f>IF($B136="","",IF($C136="","personne non reconnue",IF(ISERROR(SEARCH(TRIM($E136&amp;" "&amp;$D136),$B136)),"libellé incohérent avec l’identifiant",IF(COUNTIFS($A$5:$A$500,$A136,$C$5:$C$500,$C136,$F$5:$F$500,$F136,$G$5:$G$500,$G136)&gt;1,"doublon",IF($F136="","groupe manquant",IF($G136="","rôle manquant",IF($H136="","support de saisie manquant",IF(AND($I136&lt;&gt;"",$J136&lt;&gt;"",$J136&lt;$I136),"date de fin antérieure à la date de début",IF(AND($G136="encadrant",IFERROR(INDEX(Personnes!$F$5:$F$153,MATCH($C136,Personnes!$A$5:$A$153,0)),"")=""),"courriel encadrant manquant","ok")))))))))</f>
        <v/>
      </c>
    </row>
    <row r="137">
      <c r="A137" t="inlineStr">
        <is>
          <t>2026-2027</t>
        </is>
      </c>
      <c r="B137" s="14" t="inlineStr">
        <is>
          <t>Hélène LABAYE [P014]</t>
        </is>
      </c>
      <c r="C137" s="15">
        <f>IFERROR(MID($B137,FIND("[",$B137)+1,FIND("]",$B137)-FIND("[",$B137)-1),"")</f>
        <v/>
      </c>
      <c r="D137" s="15">
        <f>IFERROR(INDEX(Personnes!$B$5:$B$153,MATCH($C137,Personnes!$A$5:$A$153,0))&amp;"","")</f>
        <v/>
      </c>
      <c r="E137" s="15">
        <f>IFERROR(INDEX(Personnes!$C$5:$C$153,MATCH($C137,Personnes!$A$5:$A$153,0))&amp;"","")</f>
        <v/>
      </c>
      <c r="F137" s="14" t="inlineStr">
        <is>
          <t>DNF</t>
        </is>
      </c>
      <c r="G137" s="14" t="inlineStr">
        <is>
          <t>élève</t>
        </is>
      </c>
      <c r="H137" s="14" t="inlineStr">
        <is>
          <t>classeur</t>
        </is>
      </c>
      <c r="I137" s="16" t="n">
        <v>46272</v>
      </c>
      <c r="J137" s="16" t="n"/>
      <c r="K137" s="18" t="n"/>
      <c r="L137" s="18" t="n"/>
      <c r="M137" s="15">
        <f>IF($B137="","",IF($C137="","personne non reconnue",IF(ISERROR(SEARCH(TRIM($E137&amp;" "&amp;$D137),$B137)),"libellé incohérent avec l’identifiant",IF(COUNTIFS($A$5:$A$500,$A137,$C$5:$C$500,$C137,$F$5:$F$500,$F137,$G$5:$G$500,$G137)&gt;1,"doublon",IF($F137="","groupe manquant",IF($G137="","rôle manquant",IF($H137="","support de saisie manquant",IF(AND($I137&lt;&gt;"",$J137&lt;&gt;"",$J137&lt;$I137),"date de fin antérieure à la date de début",IF(AND($G137="encadrant",IFERROR(INDEX(Personnes!$F$5:$F$153,MATCH($C137,Personnes!$A$5:$A$153,0)),"")=""),"courriel encadrant manquant","ok")))))))))</f>
        <v/>
      </c>
    </row>
    <row r="138">
      <c r="A138" t="inlineStr">
        <is>
          <t>2026-2027</t>
        </is>
      </c>
      <c r="B138" s="14" t="inlineStr">
        <is>
          <t>Jean-François GOUDOU [P015]</t>
        </is>
      </c>
      <c r="C138" s="15">
        <f>IFERROR(MID($B138,FIND("[",$B138)+1,FIND("]",$B138)-FIND("[",$B138)-1),"")</f>
        <v/>
      </c>
      <c r="D138" s="15">
        <f>IFERROR(INDEX(Personnes!$B$5:$B$153,MATCH($C138,Personnes!$A$5:$A$153,0))&amp;"","")</f>
        <v/>
      </c>
      <c r="E138" s="15">
        <f>IFERROR(INDEX(Personnes!$C$5:$C$153,MATCH($C138,Personnes!$A$5:$A$153,0))&amp;"","")</f>
        <v/>
      </c>
      <c r="F138" s="14" t="inlineStr">
        <is>
          <t>DNF</t>
        </is>
      </c>
      <c r="G138" s="14" t="inlineStr">
        <is>
          <t>élève</t>
        </is>
      </c>
      <c r="H138" s="14" t="inlineStr">
        <is>
          <t>classeur</t>
        </is>
      </c>
      <c r="I138" s="16" t="n">
        <v>46272</v>
      </c>
      <c r="J138" s="16" t="n"/>
      <c r="K138" s="18" t="n"/>
      <c r="L138" s="18" t="n"/>
      <c r="M138" s="15">
        <f>IF($B138="","",IF($C138="","personne non reconnue",IF(ISERROR(SEARCH(TRIM($E138&amp;" "&amp;$D138),$B138)),"libellé incohérent avec l’identifiant",IF(COUNTIFS($A$5:$A$500,$A138,$C$5:$C$500,$C138,$F$5:$F$500,$F138,$G$5:$G$500,$G138)&gt;1,"doublon",IF($F138="","groupe manquant",IF($G138="","rôle manquant",IF($H138="","support de saisie manquant",IF(AND($I138&lt;&gt;"",$J138&lt;&gt;"",$J138&lt;$I138),"date de fin antérieure à la date de début",IF(AND($G138="encadrant",IFERROR(INDEX(Personnes!$F$5:$F$153,MATCH($C138,Personnes!$A$5:$A$153,0)),"")=""),"courriel encadrant manquant","ok")))))))))</f>
        <v/>
      </c>
    </row>
    <row r="139">
      <c r="A139" t="inlineStr">
        <is>
          <t>2026-2027</t>
        </is>
      </c>
      <c r="B139" s="14" t="inlineStr">
        <is>
          <t>Jérémy PEINADO [P016]</t>
        </is>
      </c>
      <c r="C139" s="15">
        <f>IFERROR(MID($B139,FIND("[",$B139)+1,FIND("]",$B139)-FIND("[",$B139)-1),"")</f>
        <v/>
      </c>
      <c r="D139" s="15">
        <f>IFERROR(INDEX(Personnes!$B$5:$B$153,MATCH($C139,Personnes!$A$5:$A$153,0))&amp;"","")</f>
        <v/>
      </c>
      <c r="E139" s="15">
        <f>IFERROR(INDEX(Personnes!$C$5:$C$153,MATCH($C139,Personnes!$A$5:$A$153,0))&amp;"","")</f>
        <v/>
      </c>
      <c r="F139" s="14" t="inlineStr">
        <is>
          <t>DNF</t>
        </is>
      </c>
      <c r="G139" s="14" t="inlineStr">
        <is>
          <t>élève</t>
        </is>
      </c>
      <c r="H139" s="14" t="inlineStr">
        <is>
          <t>classeur</t>
        </is>
      </c>
      <c r="I139" s="16" t="n">
        <v>46272</v>
      </c>
      <c r="J139" s="16" t="n"/>
      <c r="K139" s="18" t="n"/>
      <c r="L139" s="18" t="n"/>
      <c r="M139" s="15">
        <f>IF($B139="","",IF($C139="","personne non reconnue",IF(ISERROR(SEARCH(TRIM($E139&amp;" "&amp;$D139),$B139)),"libellé incohérent avec l’identifiant",IF(COUNTIFS($A$5:$A$500,$A139,$C$5:$C$500,$C139,$F$5:$F$500,$F139,$G$5:$G$500,$G139)&gt;1,"doublon",IF($F139="","groupe manquant",IF($G139="","rôle manquant",IF($H139="","support de saisie manquant",IF(AND($I139&lt;&gt;"",$J139&lt;&gt;"",$J139&lt;$I139),"date de fin antérieure à la date de début",IF(AND($G139="encadrant",IFERROR(INDEX(Personnes!$F$5:$F$153,MATCH($C139,Personnes!$A$5:$A$153,0)),"")=""),"courriel encadrant manquant","ok")))))))))</f>
        <v/>
      </c>
    </row>
    <row r="140">
      <c r="A140" t="inlineStr">
        <is>
          <t>2026-2027</t>
        </is>
      </c>
      <c r="B140" s="14" t="inlineStr">
        <is>
          <t>Jérôme LEFEBVRE [P017]</t>
        </is>
      </c>
      <c r="C140" s="15">
        <f>IFERROR(MID($B140,FIND("[",$B140)+1,FIND("]",$B140)-FIND("[",$B140)-1),"")</f>
        <v/>
      </c>
      <c r="D140" s="15">
        <f>IFERROR(INDEX(Personnes!$B$5:$B$153,MATCH($C140,Personnes!$A$5:$A$153,0))&amp;"","")</f>
        <v/>
      </c>
      <c r="E140" s="15">
        <f>IFERROR(INDEX(Personnes!$C$5:$C$153,MATCH($C140,Personnes!$A$5:$A$153,0))&amp;"","")</f>
        <v/>
      </c>
      <c r="F140" s="14" t="inlineStr">
        <is>
          <t>DNF</t>
        </is>
      </c>
      <c r="G140" s="14" t="inlineStr">
        <is>
          <t>élève</t>
        </is>
      </c>
      <c r="H140" s="14" t="inlineStr">
        <is>
          <t>classeur</t>
        </is>
      </c>
      <c r="I140" s="16" t="n">
        <v>46272</v>
      </c>
      <c r="J140" s="16" t="n"/>
      <c r="K140" s="18" t="n"/>
      <c r="L140" s="18" t="n"/>
      <c r="M140" s="15">
        <f>IF($B140="","",IF($C140="","personne non reconnue",IF(ISERROR(SEARCH(TRIM($E140&amp;" "&amp;$D140),$B140)),"libellé incohérent avec l’identifiant",IF(COUNTIFS($A$5:$A$500,$A140,$C$5:$C$500,$C140,$F$5:$F$500,$F140,$G$5:$G$500,$G140)&gt;1,"doublon",IF($F140="","groupe manquant",IF($G140="","rôle manquant",IF($H140="","support de saisie manquant",IF(AND($I140&lt;&gt;"",$J140&lt;&gt;"",$J140&lt;$I140),"date de fin antérieure à la date de début",IF(AND($G140="encadrant",IFERROR(INDEX(Personnes!$F$5:$F$153,MATCH($C140,Personnes!$A$5:$A$153,0)),"")=""),"courriel encadrant manquant","ok")))))))))</f>
        <v/>
      </c>
    </row>
    <row r="141">
      <c r="A141" t="inlineStr">
        <is>
          <t>2026-2027</t>
        </is>
      </c>
      <c r="B141" s="14" t="inlineStr">
        <is>
          <t>Jérôme MADE [P018]</t>
        </is>
      </c>
      <c r="C141" s="15">
        <f>IFERROR(MID($B141,FIND("[",$B141)+1,FIND("]",$B141)-FIND("[",$B141)-1),"")</f>
        <v/>
      </c>
      <c r="D141" s="15">
        <f>IFERROR(INDEX(Personnes!$B$5:$B$153,MATCH($C141,Personnes!$A$5:$A$153,0))&amp;"","")</f>
        <v/>
      </c>
      <c r="E141" s="15">
        <f>IFERROR(INDEX(Personnes!$C$5:$C$153,MATCH($C141,Personnes!$A$5:$A$153,0))&amp;"","")</f>
        <v/>
      </c>
      <c r="F141" s="14" t="inlineStr">
        <is>
          <t>DNF</t>
        </is>
      </c>
      <c r="G141" s="14" t="inlineStr">
        <is>
          <t>élève</t>
        </is>
      </c>
      <c r="H141" s="14" t="inlineStr">
        <is>
          <t>classeur</t>
        </is>
      </c>
      <c r="I141" s="16" t="n">
        <v>46272</v>
      </c>
      <c r="J141" s="16" t="n"/>
      <c r="K141" s="18" t="n"/>
      <c r="L141" s="18" t="n"/>
      <c r="M141" s="15">
        <f>IF($B141="","",IF($C141="","personne non reconnue",IF(ISERROR(SEARCH(TRIM($E141&amp;" "&amp;$D141),$B141)),"libellé incohérent avec l’identifiant",IF(COUNTIFS($A$5:$A$500,$A141,$C$5:$C$500,$C141,$F$5:$F$500,$F141,$G$5:$G$500,$G141)&gt;1,"doublon",IF($F141="","groupe manquant",IF($G141="","rôle manquant",IF($H141="","support de saisie manquant",IF(AND($I141&lt;&gt;"",$J141&lt;&gt;"",$J141&lt;$I141),"date de fin antérieure à la date de début",IF(AND($G141="encadrant",IFERROR(INDEX(Personnes!$F$5:$F$153,MATCH($C141,Personnes!$A$5:$A$153,0)),"")=""),"courriel encadrant manquant","ok")))))))))</f>
        <v/>
      </c>
    </row>
    <row r="142">
      <c r="A142" t="inlineStr">
        <is>
          <t>2026-2027</t>
        </is>
      </c>
      <c r="B142" s="14" t="inlineStr">
        <is>
          <t>Lionel BECHARA [P019]</t>
        </is>
      </c>
      <c r="C142" s="15">
        <f>IFERROR(MID($B142,FIND("[",$B142)+1,FIND("]",$B142)-FIND("[",$B142)-1),"")</f>
        <v/>
      </c>
      <c r="D142" s="15">
        <f>IFERROR(INDEX(Personnes!$B$5:$B$153,MATCH($C142,Personnes!$A$5:$A$153,0))&amp;"","")</f>
        <v/>
      </c>
      <c r="E142" s="15">
        <f>IFERROR(INDEX(Personnes!$C$5:$C$153,MATCH($C142,Personnes!$A$5:$A$153,0))&amp;"","")</f>
        <v/>
      </c>
      <c r="F142" s="14" t="inlineStr">
        <is>
          <t>DNF</t>
        </is>
      </c>
      <c r="G142" s="14" t="inlineStr">
        <is>
          <t>élève</t>
        </is>
      </c>
      <c r="H142" s="14" t="inlineStr">
        <is>
          <t>classeur</t>
        </is>
      </c>
      <c r="I142" s="16" t="n">
        <v>46272</v>
      </c>
      <c r="J142" s="16" t="n"/>
      <c r="K142" s="18" t="n"/>
      <c r="L142" s="18" t="n"/>
      <c r="M142" s="15">
        <f>IF($B142="","",IF($C142="","personne non reconnue",IF(ISERROR(SEARCH(TRIM($E142&amp;" "&amp;$D142),$B142)),"libellé incohérent avec l’identifiant",IF(COUNTIFS($A$5:$A$500,$A142,$C$5:$C$500,$C142,$F$5:$F$500,$F142,$G$5:$G$500,$G142)&gt;1,"doublon",IF($F142="","groupe manquant",IF($G142="","rôle manquant",IF($H142="","support de saisie manquant",IF(AND($I142&lt;&gt;"",$J142&lt;&gt;"",$J142&lt;$I142),"date de fin antérieure à la date de début",IF(AND($G142="encadrant",IFERROR(INDEX(Personnes!$F$5:$F$153,MATCH($C142,Personnes!$A$5:$A$153,0)),"")=""),"courriel encadrant manquant","ok")))))))))</f>
        <v/>
      </c>
    </row>
    <row r="143">
      <c r="A143" t="inlineStr">
        <is>
          <t>2026-2027</t>
        </is>
      </c>
      <c r="B143" s="14" t="inlineStr">
        <is>
          <t>Mariem YOUNSSI [P021]</t>
        </is>
      </c>
      <c r="C143" s="15">
        <f>IFERROR(MID($B143,FIND("[",$B143)+1,FIND("]",$B143)-FIND("[",$B143)-1),"")</f>
        <v/>
      </c>
      <c r="D143" s="15">
        <f>IFERROR(INDEX(Personnes!$B$5:$B$153,MATCH($C143,Personnes!$A$5:$A$153,0))&amp;"","")</f>
        <v/>
      </c>
      <c r="E143" s="15">
        <f>IFERROR(INDEX(Personnes!$C$5:$C$153,MATCH($C143,Personnes!$A$5:$A$153,0))&amp;"","")</f>
        <v/>
      </c>
      <c r="F143" s="14" t="inlineStr">
        <is>
          <t>DNF</t>
        </is>
      </c>
      <c r="G143" s="14" t="inlineStr">
        <is>
          <t>élève</t>
        </is>
      </c>
      <c r="H143" s="14" t="inlineStr">
        <is>
          <t>classeur</t>
        </is>
      </c>
      <c r="I143" s="16" t="n">
        <v>46272</v>
      </c>
      <c r="J143" s="16" t="n"/>
      <c r="K143" s="18" t="n"/>
      <c r="L143" s="18" t="n"/>
      <c r="M143" s="15">
        <f>IF($B143="","",IF($C143="","personne non reconnue",IF(ISERROR(SEARCH(TRIM($E143&amp;" "&amp;$D143),$B143)),"libellé incohérent avec l’identifiant",IF(COUNTIFS($A$5:$A$500,$A143,$C$5:$C$500,$C143,$F$5:$F$500,$F143,$G$5:$G$500,$G143)&gt;1,"doublon",IF($F143="","groupe manquant",IF($G143="","rôle manquant",IF($H143="","support de saisie manquant",IF(AND($I143&lt;&gt;"",$J143&lt;&gt;"",$J143&lt;$I143),"date de fin antérieure à la date de début",IF(AND($G143="encadrant",IFERROR(INDEX(Personnes!$F$5:$F$153,MATCH($C143,Personnes!$A$5:$A$153,0)),"")=""),"courriel encadrant manquant","ok")))))))))</f>
        <v/>
      </c>
    </row>
    <row r="144">
      <c r="A144" t="inlineStr">
        <is>
          <t>2026-2027</t>
        </is>
      </c>
      <c r="B144" s="14" t="inlineStr">
        <is>
          <t>Matthieu CHIARAMONTE [P022]</t>
        </is>
      </c>
      <c r="C144" s="15">
        <f>IFERROR(MID($B144,FIND("[",$B144)+1,FIND("]",$B144)-FIND("[",$B144)-1),"")</f>
        <v/>
      </c>
      <c r="D144" s="15">
        <f>IFERROR(INDEX(Personnes!$B$5:$B$153,MATCH($C144,Personnes!$A$5:$A$153,0))&amp;"","")</f>
        <v/>
      </c>
      <c r="E144" s="15">
        <f>IFERROR(INDEX(Personnes!$C$5:$C$153,MATCH($C144,Personnes!$A$5:$A$153,0))&amp;"","")</f>
        <v/>
      </c>
      <c r="F144" s="14" t="inlineStr">
        <is>
          <t>DNF</t>
        </is>
      </c>
      <c r="G144" s="14" t="inlineStr">
        <is>
          <t>élève</t>
        </is>
      </c>
      <c r="H144" s="14" t="inlineStr">
        <is>
          <t>classeur</t>
        </is>
      </c>
      <c r="I144" s="16" t="n">
        <v>46272</v>
      </c>
      <c r="J144" s="16" t="n"/>
      <c r="K144" s="18" t="n"/>
      <c r="L144" s="18" t="n"/>
      <c r="M144" s="15">
        <f>IF($B144="","",IF($C144="","personne non reconnue",IF(ISERROR(SEARCH(TRIM($E144&amp;" "&amp;$D144),$B144)),"libellé incohérent avec l’identifiant",IF(COUNTIFS($A$5:$A$500,$A144,$C$5:$C$500,$C144,$F$5:$F$500,$F144,$G$5:$G$500,$G144)&gt;1,"doublon",IF($F144="","groupe manquant",IF($G144="","rôle manquant",IF($H144="","support de saisie manquant",IF(AND($I144&lt;&gt;"",$J144&lt;&gt;"",$J144&lt;$I144),"date de fin antérieure à la date de début",IF(AND($G144="encadrant",IFERROR(INDEX(Personnes!$F$5:$F$153,MATCH($C144,Personnes!$A$5:$A$153,0)),"")=""),"courriel encadrant manquant","ok")))))))))</f>
        <v/>
      </c>
    </row>
    <row r="145">
      <c r="A145" t="inlineStr">
        <is>
          <t>2026-2027</t>
        </is>
      </c>
      <c r="B145" s="14" t="inlineStr">
        <is>
          <t>Matthieu GUEGUEN [P023]</t>
        </is>
      </c>
      <c r="C145" s="15">
        <f>IFERROR(MID($B145,FIND("[",$B145)+1,FIND("]",$B145)-FIND("[",$B145)-1),"")</f>
        <v/>
      </c>
      <c r="D145" s="15">
        <f>IFERROR(INDEX(Personnes!$B$5:$B$153,MATCH($C145,Personnes!$A$5:$A$153,0))&amp;"","")</f>
        <v/>
      </c>
      <c r="E145" s="15">
        <f>IFERROR(INDEX(Personnes!$C$5:$C$153,MATCH($C145,Personnes!$A$5:$A$153,0))&amp;"","")</f>
        <v/>
      </c>
      <c r="F145" s="14" t="inlineStr">
        <is>
          <t>DNF</t>
        </is>
      </c>
      <c r="G145" s="14" t="inlineStr">
        <is>
          <t>élève</t>
        </is>
      </c>
      <c r="H145" s="14" t="inlineStr">
        <is>
          <t>classeur</t>
        </is>
      </c>
      <c r="I145" s="16" t="n">
        <v>46272</v>
      </c>
      <c r="J145" s="16" t="n"/>
      <c r="K145" s="18" t="n"/>
      <c r="L145" s="18" t="n"/>
      <c r="M145" s="15">
        <f>IF($B145="","",IF($C145="","personne non reconnue",IF(ISERROR(SEARCH(TRIM($E145&amp;" "&amp;$D145),$B145)),"libellé incohérent avec l’identifiant",IF(COUNTIFS($A$5:$A$500,$A145,$C$5:$C$500,$C145,$F$5:$F$500,$F145,$G$5:$G$500,$G145)&gt;1,"doublon",IF($F145="","groupe manquant",IF($G145="","rôle manquant",IF($H145="","support de saisie manquant",IF(AND($I145&lt;&gt;"",$J145&lt;&gt;"",$J145&lt;$I145),"date de fin antérieure à la date de début",IF(AND($G145="encadrant",IFERROR(INDEX(Personnes!$F$5:$F$153,MATCH($C145,Personnes!$A$5:$A$153,0)),"")=""),"courriel encadrant manquant","ok")))))))))</f>
        <v/>
      </c>
    </row>
    <row r="146">
      <c r="A146" t="inlineStr">
        <is>
          <t>2026-2027</t>
        </is>
      </c>
      <c r="B146" s="14" t="inlineStr">
        <is>
          <t>Nelly JACQUEMOT [P024]</t>
        </is>
      </c>
      <c r="C146" s="15">
        <f>IFERROR(MID($B146,FIND("[",$B146)+1,FIND("]",$B146)-FIND("[",$B146)-1),"")</f>
        <v/>
      </c>
      <c r="D146" s="15">
        <f>IFERROR(INDEX(Personnes!$B$5:$B$153,MATCH($C146,Personnes!$A$5:$A$153,0))&amp;"","")</f>
        <v/>
      </c>
      <c r="E146" s="15">
        <f>IFERROR(INDEX(Personnes!$C$5:$C$153,MATCH($C146,Personnes!$A$5:$A$153,0))&amp;"","")</f>
        <v/>
      </c>
      <c r="F146" s="14" t="inlineStr">
        <is>
          <t>DNF</t>
        </is>
      </c>
      <c r="G146" s="14" t="inlineStr">
        <is>
          <t>élève</t>
        </is>
      </c>
      <c r="H146" s="14" t="inlineStr">
        <is>
          <t>classeur</t>
        </is>
      </c>
      <c r="I146" s="16" t="n">
        <v>46272</v>
      </c>
      <c r="J146" s="16" t="n"/>
      <c r="K146" s="18" t="n"/>
      <c r="L146" s="18" t="n"/>
      <c r="M146" s="15">
        <f>IF($B146="","",IF($C146="","personne non reconnue",IF(ISERROR(SEARCH(TRIM($E146&amp;" "&amp;$D146),$B146)),"libellé incohérent avec l’identifiant",IF(COUNTIFS($A$5:$A$500,$A146,$C$5:$C$500,$C146,$F$5:$F$500,$F146,$G$5:$G$500,$G146)&gt;1,"doublon",IF($F146="","groupe manquant",IF($G146="","rôle manquant",IF($H146="","support de saisie manquant",IF(AND($I146&lt;&gt;"",$J146&lt;&gt;"",$J146&lt;$I146),"date de fin antérieure à la date de début",IF(AND($G146="encadrant",IFERROR(INDEX(Personnes!$F$5:$F$153,MATCH($C146,Personnes!$A$5:$A$153,0)),"")=""),"courriel encadrant manquant","ok")))))))))</f>
        <v/>
      </c>
    </row>
    <row r="147">
      <c r="A147" t="inlineStr">
        <is>
          <t>2026-2027</t>
        </is>
      </c>
      <c r="B147" s="14" t="inlineStr">
        <is>
          <t>Oman LAMBERT [P025]</t>
        </is>
      </c>
      <c r="C147" s="15">
        <f>IFERROR(MID($B147,FIND("[",$B147)+1,FIND("]",$B147)-FIND("[",$B147)-1),"")</f>
        <v/>
      </c>
      <c r="D147" s="15">
        <f>IFERROR(INDEX(Personnes!$B$5:$B$153,MATCH($C147,Personnes!$A$5:$A$153,0))&amp;"","")</f>
        <v/>
      </c>
      <c r="E147" s="15">
        <f>IFERROR(INDEX(Personnes!$C$5:$C$153,MATCH($C147,Personnes!$A$5:$A$153,0))&amp;"","")</f>
        <v/>
      </c>
      <c r="F147" s="14" t="inlineStr">
        <is>
          <t>DNF</t>
        </is>
      </c>
      <c r="G147" s="14" t="inlineStr">
        <is>
          <t>élève</t>
        </is>
      </c>
      <c r="H147" s="14" t="inlineStr">
        <is>
          <t>classeur</t>
        </is>
      </c>
      <c r="I147" s="16" t="n">
        <v>46272</v>
      </c>
      <c r="J147" s="16" t="n"/>
      <c r="K147" s="18" t="n"/>
      <c r="L147" s="18" t="n"/>
      <c r="M147" s="15">
        <f>IF($B147="","",IF($C147="","personne non reconnue",IF(ISERROR(SEARCH(TRIM($E147&amp;" "&amp;$D147),$B147)),"libellé incohérent avec l’identifiant",IF(COUNTIFS($A$5:$A$500,$A147,$C$5:$C$500,$C147,$F$5:$F$500,$F147,$G$5:$G$500,$G147)&gt;1,"doublon",IF($F147="","groupe manquant",IF($G147="","rôle manquant",IF($H147="","support de saisie manquant",IF(AND($I147&lt;&gt;"",$J147&lt;&gt;"",$J147&lt;$I147),"date de fin antérieure à la date de début",IF(AND($G147="encadrant",IFERROR(INDEX(Personnes!$F$5:$F$153,MATCH($C147,Personnes!$A$5:$A$153,0)),"")=""),"courriel encadrant manquant","ok")))))))))</f>
        <v/>
      </c>
    </row>
    <row r="148">
      <c r="A148" t="inlineStr">
        <is>
          <t>2026-2027</t>
        </is>
      </c>
      <c r="B148" s="14" t="inlineStr">
        <is>
          <t>Pauline VALENTINI [P026]</t>
        </is>
      </c>
      <c r="C148" s="15">
        <f>IFERROR(MID($B148,FIND("[",$B148)+1,FIND("]",$B148)-FIND("[",$B148)-1),"")</f>
        <v/>
      </c>
      <c r="D148" s="15">
        <f>IFERROR(INDEX(Personnes!$B$5:$B$153,MATCH($C148,Personnes!$A$5:$A$153,0))&amp;"","")</f>
        <v/>
      </c>
      <c r="E148" s="15">
        <f>IFERROR(INDEX(Personnes!$C$5:$C$153,MATCH($C148,Personnes!$A$5:$A$153,0))&amp;"","")</f>
        <v/>
      </c>
      <c r="F148" s="14" t="inlineStr">
        <is>
          <t>DNF</t>
        </is>
      </c>
      <c r="G148" s="14" t="inlineStr">
        <is>
          <t>élève</t>
        </is>
      </c>
      <c r="H148" s="14" t="inlineStr">
        <is>
          <t>classeur</t>
        </is>
      </c>
      <c r="I148" s="16" t="n">
        <v>46272</v>
      </c>
      <c r="J148" s="16" t="n"/>
      <c r="K148" s="18" t="n"/>
      <c r="L148" s="18" t="n"/>
      <c r="M148" s="15">
        <f>IF($B148="","",IF($C148="","personne non reconnue",IF(ISERROR(SEARCH(TRIM($E148&amp;" "&amp;$D148),$B148)),"libellé incohérent avec l’identifiant",IF(COUNTIFS($A$5:$A$500,$A148,$C$5:$C$500,$C148,$F$5:$F$500,$F148,$G$5:$G$500,$G148)&gt;1,"doublon",IF($F148="","groupe manquant",IF($G148="","rôle manquant",IF($H148="","support de saisie manquant",IF(AND($I148&lt;&gt;"",$J148&lt;&gt;"",$J148&lt;$I148),"date de fin antérieure à la date de début",IF(AND($G148="encadrant",IFERROR(INDEX(Personnes!$F$5:$F$153,MATCH($C148,Personnes!$A$5:$A$153,0)),"")=""),"courriel encadrant manquant","ok")))))))))</f>
        <v/>
      </c>
    </row>
    <row r="149">
      <c r="A149" t="inlineStr">
        <is>
          <t>2026-2027</t>
        </is>
      </c>
      <c r="B149" s="14" t="inlineStr">
        <is>
          <t>Samy GOBAA [P027]</t>
        </is>
      </c>
      <c r="C149" s="15">
        <f>IFERROR(MID($B149,FIND("[",$B149)+1,FIND("]",$B149)-FIND("[",$B149)-1),"")</f>
        <v/>
      </c>
      <c r="D149" s="15">
        <f>IFERROR(INDEX(Personnes!$B$5:$B$153,MATCH($C149,Personnes!$A$5:$A$153,0))&amp;"","")</f>
        <v/>
      </c>
      <c r="E149" s="15">
        <f>IFERROR(INDEX(Personnes!$C$5:$C$153,MATCH($C149,Personnes!$A$5:$A$153,0))&amp;"","")</f>
        <v/>
      </c>
      <c r="F149" s="14" t="inlineStr">
        <is>
          <t>DNF</t>
        </is>
      </c>
      <c r="G149" s="14" t="inlineStr">
        <is>
          <t>élève</t>
        </is>
      </c>
      <c r="H149" s="14" t="inlineStr">
        <is>
          <t>classeur</t>
        </is>
      </c>
      <c r="I149" s="16" t="n">
        <v>46272</v>
      </c>
      <c r="J149" s="16" t="n"/>
      <c r="K149" s="18" t="n"/>
      <c r="L149" s="18" t="n"/>
      <c r="M149" s="15">
        <f>IF($B149="","",IF($C149="","personne non reconnue",IF(ISERROR(SEARCH(TRIM($E149&amp;" "&amp;$D149),$B149)),"libellé incohérent avec l’identifiant",IF(COUNTIFS($A$5:$A$500,$A149,$C$5:$C$500,$C149,$F$5:$F$500,$F149,$G$5:$G$500,$G149)&gt;1,"doublon",IF($F149="","groupe manquant",IF($G149="","rôle manquant",IF($H149="","support de saisie manquant",IF(AND($I149&lt;&gt;"",$J149&lt;&gt;"",$J149&lt;$I149),"date de fin antérieure à la date de début",IF(AND($G149="encadrant",IFERROR(INDEX(Personnes!$F$5:$F$153,MATCH($C149,Personnes!$A$5:$A$153,0)),"")=""),"courriel encadrant manquant","ok")))))))))</f>
        <v/>
      </c>
    </row>
    <row r="150">
      <c r="A150" t="inlineStr">
        <is>
          <t>2026-2027</t>
        </is>
      </c>
      <c r="B150" s="14" t="inlineStr">
        <is>
          <t>Sophie LANDEAU [P028]</t>
        </is>
      </c>
      <c r="C150" s="15">
        <f>IFERROR(MID($B150,FIND("[",$B150)+1,FIND("]",$B150)-FIND("[",$B150)-1),"")</f>
        <v/>
      </c>
      <c r="D150" s="15">
        <f>IFERROR(INDEX(Personnes!$B$5:$B$153,MATCH($C150,Personnes!$A$5:$A$153,0))&amp;"","")</f>
        <v/>
      </c>
      <c r="E150" s="15">
        <f>IFERROR(INDEX(Personnes!$C$5:$C$153,MATCH($C150,Personnes!$A$5:$A$153,0))&amp;"","")</f>
        <v/>
      </c>
      <c r="F150" s="14" t="inlineStr">
        <is>
          <t>DNF</t>
        </is>
      </c>
      <c r="G150" s="14" t="inlineStr">
        <is>
          <t>élève</t>
        </is>
      </c>
      <c r="H150" s="14" t="inlineStr">
        <is>
          <t>classeur</t>
        </is>
      </c>
      <c r="I150" s="16" t="n">
        <v>46272</v>
      </c>
      <c r="J150" s="16" t="n"/>
      <c r="K150" s="18" t="n"/>
      <c r="L150" s="18" t="n"/>
      <c r="M150" s="15">
        <f>IF($B150="","",IF($C150="","personne non reconnue",IF(ISERROR(SEARCH(TRIM($E150&amp;" "&amp;$D150),$B150)),"libellé incohérent avec l’identifiant",IF(COUNTIFS($A$5:$A$500,$A150,$C$5:$C$500,$C150,$F$5:$F$500,$F150,$G$5:$G$500,$G150)&gt;1,"doublon",IF($F150="","groupe manquant",IF($G150="","rôle manquant",IF($H150="","support de saisie manquant",IF(AND($I150&lt;&gt;"",$J150&lt;&gt;"",$J150&lt;$I150),"date de fin antérieure à la date de début",IF(AND($G150="encadrant",IFERROR(INDEX(Personnes!$F$5:$F$153,MATCH($C150,Personnes!$A$5:$A$153,0)),"")=""),"courriel encadrant manquant","ok")))))))))</f>
        <v/>
      </c>
    </row>
    <row r="151">
      <c r="A151" t="inlineStr">
        <is>
          <t>2026-2027</t>
        </is>
      </c>
      <c r="B151" s="14" t="inlineStr">
        <is>
          <t>Stephane GUEGUEN [P029]</t>
        </is>
      </c>
      <c r="C151" s="15">
        <f>IFERROR(MID($B151,FIND("[",$B151)+1,FIND("]",$B151)-FIND("[",$B151)-1),"")</f>
        <v/>
      </c>
      <c r="D151" s="15">
        <f>IFERROR(INDEX(Personnes!$B$5:$B$153,MATCH($C151,Personnes!$A$5:$A$153,0))&amp;"","")</f>
        <v/>
      </c>
      <c r="E151" s="15">
        <f>IFERROR(INDEX(Personnes!$C$5:$C$153,MATCH($C151,Personnes!$A$5:$A$153,0))&amp;"","")</f>
        <v/>
      </c>
      <c r="F151" s="14" t="inlineStr">
        <is>
          <t>DNF</t>
        </is>
      </c>
      <c r="G151" s="14" t="inlineStr">
        <is>
          <t>élève</t>
        </is>
      </c>
      <c r="H151" s="14" t="inlineStr">
        <is>
          <t>classeur</t>
        </is>
      </c>
      <c r="I151" s="16" t="n">
        <v>46272</v>
      </c>
      <c r="J151" s="16" t="n"/>
      <c r="K151" s="18" t="n"/>
      <c r="L151" s="18" t="n"/>
      <c r="M151" s="15">
        <f>IF($B151="","",IF($C151="","personne non reconnue",IF(ISERROR(SEARCH(TRIM($E151&amp;" "&amp;$D151),$B151)),"libellé incohérent avec l’identifiant",IF(COUNTIFS($A$5:$A$500,$A151,$C$5:$C$500,$C151,$F$5:$F$500,$F151,$G$5:$G$500,$G151)&gt;1,"doublon",IF($F151="","groupe manquant",IF($G151="","rôle manquant",IF($H151="","support de saisie manquant",IF(AND($I151&lt;&gt;"",$J151&lt;&gt;"",$J151&lt;$I151),"date de fin antérieure à la date de début",IF(AND($G151="encadrant",IFERROR(INDEX(Personnes!$F$5:$F$153,MATCH($C151,Personnes!$A$5:$A$153,0)),"")=""),"courriel encadrant manquant","ok")))))))))</f>
        <v/>
      </c>
    </row>
    <row r="152">
      <c r="A152" t="inlineStr">
        <is>
          <t>2026-2027</t>
        </is>
      </c>
      <c r="B152" s="14" t="inlineStr">
        <is>
          <t>Dominique BEAUVALLET [P030]</t>
        </is>
      </c>
      <c r="C152" s="15">
        <f>IFERROR(MID($B152,FIND("[",$B152)+1,FIND("]",$B152)-FIND("[",$B152)-1),"")</f>
        <v/>
      </c>
      <c r="D152" s="15">
        <f>IFERROR(INDEX(Personnes!$B$5:$B$153,MATCH($C152,Personnes!$A$5:$A$153,0))&amp;"","")</f>
        <v/>
      </c>
      <c r="E152" s="15">
        <f>IFERROR(INDEX(Personnes!$C$5:$C$153,MATCH($C152,Personnes!$A$5:$A$153,0))&amp;"","")</f>
        <v/>
      </c>
      <c r="F152" s="14" t="inlineStr">
        <is>
          <t>DNF</t>
        </is>
      </c>
      <c r="G152" s="14" t="inlineStr">
        <is>
          <t>élève</t>
        </is>
      </c>
      <c r="H152" s="14" t="inlineStr">
        <is>
          <t>classeur</t>
        </is>
      </c>
      <c r="I152" s="16" t="n">
        <v>46272</v>
      </c>
      <c r="J152" s="16" t="n"/>
      <c r="K152" s="18" t="n"/>
      <c r="L152" s="18" t="n"/>
      <c r="M152" s="15">
        <f>IF($B152="","",IF($C152="","personne non reconnue",IF(ISERROR(SEARCH(TRIM($E152&amp;" "&amp;$D152),$B152)),"libellé incohérent avec l’identifiant",IF(COUNTIFS($A$5:$A$500,$A152,$C$5:$C$500,$C152,$F$5:$F$500,$F152,$G$5:$G$500,$G152)&gt;1,"doublon",IF($F152="","groupe manquant",IF($G152="","rôle manquant",IF($H152="","support de saisie manquant",IF(AND($I152&lt;&gt;"",$J152&lt;&gt;"",$J152&lt;$I152),"date de fin antérieure à la date de début",IF(AND($G152="encadrant",IFERROR(INDEX(Personnes!$F$5:$F$153,MATCH($C152,Personnes!$A$5:$A$153,0)),"")=""),"courriel encadrant manquant","ok")))))))))</f>
        <v/>
      </c>
    </row>
    <row r="153">
      <c r="A153" t="inlineStr">
        <is>
          <t>2026-2027</t>
        </is>
      </c>
      <c r="B153" s="14" t="inlineStr">
        <is>
          <t>Victorinne CHARDONNET [P031]</t>
        </is>
      </c>
      <c r="C153" s="15">
        <f>IFERROR(MID($B153,FIND("[",$B153)+1,FIND("]",$B153)-FIND("[",$B153)-1),"")</f>
        <v/>
      </c>
      <c r="D153" s="15">
        <f>IFERROR(INDEX(Personnes!$B$5:$B$153,MATCH($C153,Personnes!$A$5:$A$153,0))&amp;"","")</f>
        <v/>
      </c>
      <c r="E153" s="15">
        <f>IFERROR(INDEX(Personnes!$C$5:$C$153,MATCH($C153,Personnes!$A$5:$A$153,0))&amp;"","")</f>
        <v/>
      </c>
      <c r="F153" s="14" t="inlineStr">
        <is>
          <t>DNF</t>
        </is>
      </c>
      <c r="G153" s="14" t="inlineStr">
        <is>
          <t>élève</t>
        </is>
      </c>
      <c r="H153" s="14" t="inlineStr">
        <is>
          <t>classeur</t>
        </is>
      </c>
      <c r="I153" s="16" t="n">
        <v>46272</v>
      </c>
      <c r="J153" s="16" t="n"/>
      <c r="K153" s="18" t="n"/>
      <c r="L153" s="18" t="n"/>
      <c r="M153" s="15">
        <f>IF($B153="","",IF($C153="","personne non reconnue",IF(ISERROR(SEARCH(TRIM($E153&amp;" "&amp;$D153),$B153)),"libellé incohérent avec l’identifiant",IF(COUNTIFS($A$5:$A$500,$A153,$C$5:$C$500,$C153,$F$5:$F$500,$F153,$G$5:$G$500,$G153)&gt;1,"doublon",IF($F153="","groupe manquant",IF($G153="","rôle manquant",IF($H153="","support de saisie manquant",IF(AND($I153&lt;&gt;"",$J153&lt;&gt;"",$J153&lt;$I153),"date de fin antérieure à la date de début",IF(AND($G153="encadrant",IFERROR(INDEX(Personnes!$F$5:$F$153,MATCH($C153,Personnes!$A$5:$A$153,0)),"")=""),"courriel encadrant manquant","ok")))))))))</f>
        <v/>
      </c>
    </row>
    <row r="154">
      <c r="A154" t="inlineStr">
        <is>
          <t>2026-2027</t>
        </is>
      </c>
      <c r="B154" s="14" t="inlineStr">
        <is>
          <t>Michael GRENIER [P032]</t>
        </is>
      </c>
      <c r="C154" s="15">
        <f>IFERROR(MID($B154,FIND("[",$B154)+1,FIND("]",$B154)-FIND("[",$B154)-1),"")</f>
        <v/>
      </c>
      <c r="D154" s="15">
        <f>IFERROR(INDEX(Personnes!$B$5:$B$153,MATCH($C154,Personnes!$A$5:$A$153,0))&amp;"","")</f>
        <v/>
      </c>
      <c r="E154" s="15">
        <f>IFERROR(INDEX(Personnes!$C$5:$C$153,MATCH($C154,Personnes!$A$5:$A$153,0))&amp;"","")</f>
        <v/>
      </c>
      <c r="F154" s="14" t="inlineStr">
        <is>
          <t>DNF</t>
        </is>
      </c>
      <c r="G154" s="14" t="inlineStr">
        <is>
          <t>élève</t>
        </is>
      </c>
      <c r="H154" s="14" t="inlineStr">
        <is>
          <t>classeur</t>
        </is>
      </c>
      <c r="I154" s="16" t="n">
        <v>46272</v>
      </c>
      <c r="J154" s="16" t="n"/>
      <c r="K154" s="18" t="n"/>
      <c r="L154" s="18" t="n"/>
      <c r="M154" s="15">
        <f>IF($B154="","",IF($C154="","personne non reconnue",IF(ISERROR(SEARCH(TRIM($E154&amp;" "&amp;$D154),$B154)),"libellé incohérent avec l’identifiant",IF(COUNTIFS($A$5:$A$500,$A154,$C$5:$C$500,$C154,$F$5:$F$500,$F154,$G$5:$G$500,$G154)&gt;1,"doublon",IF($F154="","groupe manquant",IF($G154="","rôle manquant",IF($H154="","support de saisie manquant",IF(AND($I154&lt;&gt;"",$J154&lt;&gt;"",$J154&lt;$I154),"date de fin antérieure à la date de début",IF(AND($G154="encadrant",IFERROR(INDEX(Personnes!$F$5:$F$153,MATCH($C154,Personnes!$A$5:$A$153,0)),"")=""),"courriel encadrant manquant","ok")))))))))</f>
        <v/>
      </c>
    </row>
    <row r="155">
      <c r="A155" t="inlineStr">
        <is>
          <t>2026-2027</t>
        </is>
      </c>
      <c r="B155" s="14" t="inlineStr">
        <is>
          <t>François MEMHELD [P033]</t>
        </is>
      </c>
      <c r="C155" s="15">
        <f>IFERROR(MID($B155,FIND("[",$B155)+1,FIND("]",$B155)-FIND("[",$B155)-1),"")</f>
        <v/>
      </c>
      <c r="D155" s="15">
        <f>IFERROR(INDEX(Personnes!$B$5:$B$153,MATCH($C155,Personnes!$A$5:$A$153,0))&amp;"","")</f>
        <v/>
      </c>
      <c r="E155" s="15">
        <f>IFERROR(INDEX(Personnes!$C$5:$C$153,MATCH($C155,Personnes!$A$5:$A$153,0))&amp;"","")</f>
        <v/>
      </c>
      <c r="F155" s="14" t="inlineStr">
        <is>
          <t>DNF</t>
        </is>
      </c>
      <c r="G155" s="14" t="inlineStr">
        <is>
          <t>élève</t>
        </is>
      </c>
      <c r="H155" s="14" t="inlineStr">
        <is>
          <t>classeur</t>
        </is>
      </c>
      <c r="I155" s="16" t="n">
        <v>46272</v>
      </c>
      <c r="J155" s="16" t="n"/>
      <c r="K155" s="18" t="n"/>
      <c r="L155" s="18" t="n"/>
      <c r="M155" s="15">
        <f>IF($B155="","",IF($C155="","personne non reconnue",IF(ISERROR(SEARCH(TRIM($E155&amp;" "&amp;$D155),$B155)),"libellé incohérent avec l’identifiant",IF(COUNTIFS($A$5:$A$500,$A155,$C$5:$C$500,$C155,$F$5:$F$500,$F155,$G$5:$G$500,$G155)&gt;1,"doublon",IF($F155="","groupe manquant",IF($G155="","rôle manquant",IF($H155="","support de saisie manquant",IF(AND($I155&lt;&gt;"",$J155&lt;&gt;"",$J155&lt;$I155),"date de fin antérieure à la date de début",IF(AND($G155="encadrant",IFERROR(INDEX(Personnes!$F$5:$F$153,MATCH($C155,Personnes!$A$5:$A$153,0)),"")=""),"courriel encadrant manquant","ok")))))))))</f>
        <v/>
      </c>
    </row>
    <row r="156">
      <c r="A156" t="inlineStr">
        <is>
          <t>2026-2027</t>
        </is>
      </c>
      <c r="B156" s="14" t="inlineStr">
        <is>
          <t>Gabrielle BEYL [P035]</t>
        </is>
      </c>
      <c r="C156" s="15">
        <f>IFERROR(MID($B156,FIND("[",$B156)+1,FIND("]",$B156)-FIND("[",$B156)-1),"")</f>
        <v/>
      </c>
      <c r="D156" s="15">
        <f>IFERROR(INDEX(Personnes!$B$5:$B$153,MATCH($C156,Personnes!$A$5:$A$153,0))&amp;"","")</f>
        <v/>
      </c>
      <c r="E156" s="15">
        <f>IFERROR(INDEX(Personnes!$C$5:$C$153,MATCH($C156,Personnes!$A$5:$A$153,0))&amp;"","")</f>
        <v/>
      </c>
      <c r="F156" s="14" t="inlineStr">
        <is>
          <t>DNF</t>
        </is>
      </c>
      <c r="G156" s="14" t="inlineStr">
        <is>
          <t>élève</t>
        </is>
      </c>
      <c r="H156" s="14" t="inlineStr">
        <is>
          <t>classeur</t>
        </is>
      </c>
      <c r="I156" s="16" t="n">
        <v>46272</v>
      </c>
      <c r="J156" s="16" t="n"/>
      <c r="K156" s="18" t="n"/>
      <c r="L156" s="18" t="n"/>
      <c r="M156" s="15">
        <f>IF($B156="","",IF($C156="","personne non reconnue",IF(ISERROR(SEARCH(TRIM($E156&amp;" "&amp;$D156),$B156)),"libellé incohérent avec l’identifiant",IF(COUNTIFS($A$5:$A$500,$A156,$C$5:$C$500,$C156,$F$5:$F$500,$F156,$G$5:$G$500,$G156)&gt;1,"doublon",IF($F156="","groupe manquant",IF($G156="","rôle manquant",IF($H156="","support de saisie manquant",IF(AND($I156&lt;&gt;"",$J156&lt;&gt;"",$J156&lt;$I156),"date de fin antérieure à la date de début",IF(AND($G156="encadrant",IFERROR(INDEX(Personnes!$F$5:$F$153,MATCH($C156,Personnes!$A$5:$A$153,0)),"")=""),"courriel encadrant manquant","ok")))))))))</f>
        <v/>
      </c>
    </row>
    <row r="157">
      <c r="A157" t="inlineStr">
        <is>
          <t>2026-2027</t>
        </is>
      </c>
      <c r="B157" s="14" t="inlineStr">
        <is>
          <t>Sandry WALLON [P036]</t>
        </is>
      </c>
      <c r="C157" s="15">
        <f>IFERROR(MID($B157,FIND("[",$B157)+1,FIND("]",$B157)-FIND("[",$B157)-1),"")</f>
        <v/>
      </c>
      <c r="D157" s="15">
        <f>IFERROR(INDEX(Personnes!$B$5:$B$153,MATCH($C157,Personnes!$A$5:$A$153,0))&amp;"","")</f>
        <v/>
      </c>
      <c r="E157" s="15">
        <f>IFERROR(INDEX(Personnes!$C$5:$C$153,MATCH($C157,Personnes!$A$5:$A$153,0))&amp;"","")</f>
        <v/>
      </c>
      <c r="F157" s="14" t="inlineStr">
        <is>
          <t>DNF</t>
        </is>
      </c>
      <c r="G157" s="14" t="inlineStr">
        <is>
          <t>élève</t>
        </is>
      </c>
      <c r="H157" s="14" t="inlineStr">
        <is>
          <t>classeur</t>
        </is>
      </c>
      <c r="I157" s="16" t="n">
        <v>46272</v>
      </c>
      <c r="J157" s="16" t="n"/>
      <c r="K157" s="18" t="n"/>
      <c r="L157" s="18" t="n"/>
      <c r="M157" s="15">
        <f>IF($B157="","",IF($C157="","personne non reconnue",IF(ISERROR(SEARCH(TRIM($E157&amp;" "&amp;$D157),$B157)),"libellé incohérent avec l’identifiant",IF(COUNTIFS($A$5:$A$500,$A157,$C$5:$C$500,$C157,$F$5:$F$500,$F157,$G$5:$G$500,$G157)&gt;1,"doublon",IF($F157="","groupe manquant",IF($G157="","rôle manquant",IF($H157="","support de saisie manquant",IF(AND($I157&lt;&gt;"",$J157&lt;&gt;"",$J157&lt;$I157),"date de fin antérieure à la date de début",IF(AND($G157="encadrant",IFERROR(INDEX(Personnes!$F$5:$F$153,MATCH($C157,Personnes!$A$5:$A$153,0)),"")=""),"courriel encadrant manquant","ok")))))))))</f>
        <v/>
      </c>
    </row>
    <row r="158">
      <c r="A158" t="inlineStr">
        <is>
          <t>2026-2027</t>
        </is>
      </c>
      <c r="B158" s="14" t="inlineStr">
        <is>
          <t>Fred LE BRIGAND [P037]</t>
        </is>
      </c>
      <c r="C158" s="15">
        <f>IFERROR(MID($B158,FIND("[",$B158)+1,FIND("]",$B158)-FIND("[",$B158)-1),"")</f>
        <v/>
      </c>
      <c r="D158" s="15">
        <f>IFERROR(INDEX(Personnes!$B$5:$B$153,MATCH($C158,Personnes!$A$5:$A$153,0))&amp;"","")</f>
        <v/>
      </c>
      <c r="E158" s="15">
        <f>IFERROR(INDEX(Personnes!$C$5:$C$153,MATCH($C158,Personnes!$A$5:$A$153,0))&amp;"","")</f>
        <v/>
      </c>
      <c r="F158" s="14" t="inlineStr">
        <is>
          <t>DNF</t>
        </is>
      </c>
      <c r="G158" s="14" t="inlineStr">
        <is>
          <t>élève</t>
        </is>
      </c>
      <c r="H158" s="14" t="inlineStr">
        <is>
          <t>classeur</t>
        </is>
      </c>
      <c r="I158" s="16" t="n">
        <v>46272</v>
      </c>
      <c r="J158" s="16" t="n"/>
      <c r="K158" s="18" t="n"/>
      <c r="L158" s="18" t="n"/>
      <c r="M158" s="15">
        <f>IF($B158="","",IF($C158="","personne non reconnue",IF(ISERROR(SEARCH(TRIM($E158&amp;" "&amp;$D158),$B158)),"libellé incohérent avec l’identifiant",IF(COUNTIFS($A$5:$A$500,$A158,$C$5:$C$500,$C158,$F$5:$F$500,$F158,$G$5:$G$500,$G158)&gt;1,"doublon",IF($F158="","groupe manquant",IF($G158="","rôle manquant",IF($H158="","support de saisie manquant",IF(AND($I158&lt;&gt;"",$J158&lt;&gt;"",$J158&lt;$I158),"date de fin antérieure à la date de début",IF(AND($G158="encadrant",IFERROR(INDEX(Personnes!$F$5:$F$153,MATCH($C158,Personnes!$A$5:$A$153,0)),"")=""),"courriel encadrant manquant","ok")))))))))</f>
        <v/>
      </c>
    </row>
    <row r="159">
      <c r="A159" t="inlineStr">
        <is>
          <t>2026-2027</t>
        </is>
      </c>
      <c r="B159" s="14" t="inlineStr">
        <is>
          <t>Philippe FREDON [P039]</t>
        </is>
      </c>
      <c r="C159" s="15">
        <f>IFERROR(MID($B159,FIND("[",$B159)+1,FIND("]",$B159)-FIND("[",$B159)-1),"")</f>
        <v/>
      </c>
      <c r="D159" s="15">
        <f>IFERROR(INDEX(Personnes!$B$5:$B$153,MATCH($C159,Personnes!$A$5:$A$153,0))&amp;"","")</f>
        <v/>
      </c>
      <c r="E159" s="15">
        <f>IFERROR(INDEX(Personnes!$C$5:$C$153,MATCH($C159,Personnes!$A$5:$A$153,0))&amp;"","")</f>
        <v/>
      </c>
      <c r="F159" s="14" t="inlineStr">
        <is>
          <t>DNF</t>
        </is>
      </c>
      <c r="G159" s="14" t="inlineStr">
        <is>
          <t>élève</t>
        </is>
      </c>
      <c r="H159" s="14" t="inlineStr">
        <is>
          <t>classeur</t>
        </is>
      </c>
      <c r="I159" s="16" t="n">
        <v>46272</v>
      </c>
      <c r="J159" s="16" t="n"/>
      <c r="K159" s="18" t="n"/>
      <c r="L159" s="18" t="n"/>
      <c r="M159" s="15">
        <f>IF($B159="","",IF($C159="","personne non reconnue",IF(ISERROR(SEARCH(TRIM($E159&amp;" "&amp;$D159),$B159)),"libellé incohérent avec l’identifiant",IF(COUNTIFS($A$5:$A$500,$A159,$C$5:$C$500,$C159,$F$5:$F$500,$F159,$G$5:$G$500,$G159)&gt;1,"doublon",IF($F159="","groupe manquant",IF($G159="","rôle manquant",IF($H159="","support de saisie manquant",IF(AND($I159&lt;&gt;"",$J159&lt;&gt;"",$J159&lt;$I159),"date de fin antérieure à la date de début",IF(AND($G159="encadrant",IFERROR(INDEX(Personnes!$F$5:$F$153,MATCH($C159,Personnes!$A$5:$A$153,0)),"")=""),"courriel encadrant manquant","ok")))))))))</f>
        <v/>
      </c>
    </row>
    <row r="160">
      <c r="A160" t="inlineStr">
        <is>
          <t>2026-2027</t>
        </is>
      </c>
      <c r="B160" s="14" t="inlineStr">
        <is>
          <t>Anthony GUGLIELMO [P040]</t>
        </is>
      </c>
      <c r="C160" s="15">
        <f>IFERROR(MID($B160,FIND("[",$B160)+1,FIND("]",$B160)-FIND("[",$B160)-1),"")</f>
        <v/>
      </c>
      <c r="D160" s="15">
        <f>IFERROR(INDEX(Personnes!$B$5:$B$153,MATCH($C160,Personnes!$A$5:$A$153,0))&amp;"","")</f>
        <v/>
      </c>
      <c r="E160" s="15">
        <f>IFERROR(INDEX(Personnes!$C$5:$C$153,MATCH($C160,Personnes!$A$5:$A$153,0))&amp;"","")</f>
        <v/>
      </c>
      <c r="F160" s="14" t="inlineStr">
        <is>
          <t>DNF</t>
        </is>
      </c>
      <c r="G160" s="14" t="inlineStr">
        <is>
          <t>élève</t>
        </is>
      </c>
      <c r="H160" s="14" t="inlineStr">
        <is>
          <t>classeur</t>
        </is>
      </c>
      <c r="I160" s="16" t="n">
        <v>46272</v>
      </c>
      <c r="J160" s="16" t="n"/>
      <c r="K160" s="18" t="n"/>
      <c r="L160" s="18" t="n"/>
      <c r="M160" s="15">
        <f>IF($B160="","",IF($C160="","personne non reconnue",IF(ISERROR(SEARCH(TRIM($E160&amp;" "&amp;$D160),$B160)),"libellé incohérent avec l’identifiant",IF(COUNTIFS($A$5:$A$500,$A160,$C$5:$C$500,$C160,$F$5:$F$500,$F160,$G$5:$G$500,$G160)&gt;1,"doublon",IF($F160="","groupe manquant",IF($G160="","rôle manquant",IF($H160="","support de saisie manquant",IF(AND($I160&lt;&gt;"",$J160&lt;&gt;"",$J160&lt;$I160),"date de fin antérieure à la date de début",IF(AND($G160="encadrant",IFERROR(INDEX(Personnes!$F$5:$F$153,MATCH($C160,Personnes!$A$5:$A$153,0)),"")=""),"courriel encadrant manquant","ok")))))))))</f>
        <v/>
      </c>
    </row>
    <row r="161">
      <c r="A161" t="inlineStr">
        <is>
          <t>2026-2027</t>
        </is>
      </c>
      <c r="B161" s="14" t="inlineStr">
        <is>
          <t>Pierre-Alain HOYAU [P041]</t>
        </is>
      </c>
      <c r="C161" s="15">
        <f>IFERROR(MID($B161,FIND("[",$B161)+1,FIND("]",$B161)-FIND("[",$B161)-1),"")</f>
        <v/>
      </c>
      <c r="D161" s="15">
        <f>IFERROR(INDEX(Personnes!$B$5:$B$153,MATCH($C161,Personnes!$A$5:$A$153,0))&amp;"","")</f>
        <v/>
      </c>
      <c r="E161" s="15">
        <f>IFERROR(INDEX(Personnes!$C$5:$C$153,MATCH($C161,Personnes!$A$5:$A$153,0))&amp;"","")</f>
        <v/>
      </c>
      <c r="F161" s="14" t="inlineStr">
        <is>
          <t>DNF</t>
        </is>
      </c>
      <c r="G161" s="14" t="inlineStr">
        <is>
          <t>élève</t>
        </is>
      </c>
      <c r="H161" s="14" t="inlineStr">
        <is>
          <t>classeur</t>
        </is>
      </c>
      <c r="I161" s="16" t="n">
        <v>46272</v>
      </c>
      <c r="J161" s="16" t="n"/>
      <c r="K161" s="18" t="n"/>
      <c r="L161" s="18" t="n"/>
      <c r="M161" s="15">
        <f>IF($B161="","",IF($C161="","personne non reconnue",IF(ISERROR(SEARCH(TRIM($E161&amp;" "&amp;$D161),$B161)),"libellé incohérent avec l’identifiant",IF(COUNTIFS($A$5:$A$500,$A161,$C$5:$C$500,$C161,$F$5:$F$500,$F161,$G$5:$G$500,$G161)&gt;1,"doublon",IF($F161="","groupe manquant",IF($G161="","rôle manquant",IF($H161="","support de saisie manquant",IF(AND($I161&lt;&gt;"",$J161&lt;&gt;"",$J161&lt;$I161),"date de fin antérieure à la date de début",IF(AND($G161="encadrant",IFERROR(INDEX(Personnes!$F$5:$F$153,MATCH($C161,Personnes!$A$5:$A$153,0)),"")=""),"courriel encadrant manquant","ok")))))))))</f>
        <v/>
      </c>
    </row>
    <row r="162">
      <c r="A162" t="inlineStr">
        <is>
          <t>2026-2027</t>
        </is>
      </c>
      <c r="B162" s="14" t="inlineStr">
        <is>
          <t>David INSERGUET [P042]</t>
        </is>
      </c>
      <c r="C162" s="15">
        <f>IFERROR(MID($B162,FIND("[",$B162)+1,FIND("]",$B162)-FIND("[",$B162)-1),"")</f>
        <v/>
      </c>
      <c r="D162" s="15">
        <f>IFERROR(INDEX(Personnes!$B$5:$B$153,MATCH($C162,Personnes!$A$5:$A$153,0))&amp;"","")</f>
        <v/>
      </c>
      <c r="E162" s="15">
        <f>IFERROR(INDEX(Personnes!$C$5:$C$153,MATCH($C162,Personnes!$A$5:$A$153,0))&amp;"","")</f>
        <v/>
      </c>
      <c r="F162" s="14" t="inlineStr">
        <is>
          <t>DNF</t>
        </is>
      </c>
      <c r="G162" s="14" t="inlineStr">
        <is>
          <t>élève</t>
        </is>
      </c>
      <c r="H162" s="14" t="inlineStr">
        <is>
          <t>classeur</t>
        </is>
      </c>
      <c r="I162" s="16" t="n">
        <v>46272</v>
      </c>
      <c r="J162" s="16" t="n"/>
      <c r="K162" s="18" t="n"/>
      <c r="L162" s="18" t="n"/>
      <c r="M162" s="15">
        <f>IF($B162="","",IF($C162="","personne non reconnue",IF(ISERROR(SEARCH(TRIM($E162&amp;" "&amp;$D162),$B162)),"libellé incohérent avec l’identifiant",IF(COUNTIFS($A$5:$A$500,$A162,$C$5:$C$500,$C162,$F$5:$F$500,$F162,$G$5:$G$500,$G162)&gt;1,"doublon",IF($F162="","groupe manquant",IF($G162="","rôle manquant",IF($H162="","support de saisie manquant",IF(AND($I162&lt;&gt;"",$J162&lt;&gt;"",$J162&lt;$I162),"date de fin antérieure à la date de début",IF(AND($G162="encadrant",IFERROR(INDEX(Personnes!$F$5:$F$153,MATCH($C162,Personnes!$A$5:$A$153,0)),"")=""),"courriel encadrant manquant","ok")))))))))</f>
        <v/>
      </c>
    </row>
    <row r="163">
      <c r="A163" t="inlineStr">
        <is>
          <t>2026-2027</t>
        </is>
      </c>
      <c r="B163" s="14" t="inlineStr">
        <is>
          <t>Céline DUMONT [P043]</t>
        </is>
      </c>
      <c r="C163" s="15">
        <f>IFERROR(MID($B163,FIND("[",$B163)+1,FIND("]",$B163)-FIND("[",$B163)-1),"")</f>
        <v/>
      </c>
      <c r="D163" s="15">
        <f>IFERROR(INDEX(Personnes!$B$5:$B$153,MATCH($C163,Personnes!$A$5:$A$153,0))&amp;"","")</f>
        <v/>
      </c>
      <c r="E163" s="15">
        <f>IFERROR(INDEX(Personnes!$C$5:$C$153,MATCH($C163,Personnes!$A$5:$A$153,0))&amp;"","")</f>
        <v/>
      </c>
      <c r="F163" s="14" t="inlineStr">
        <is>
          <t>DNF</t>
        </is>
      </c>
      <c r="G163" s="14" t="inlineStr">
        <is>
          <t>élève</t>
        </is>
      </c>
      <c r="H163" s="14" t="inlineStr">
        <is>
          <t>classeur</t>
        </is>
      </c>
      <c r="I163" s="16" t="n">
        <v>46272</v>
      </c>
      <c r="J163" s="16" t="n"/>
      <c r="K163" s="18" t="n"/>
      <c r="L163" s="18" t="n"/>
      <c r="M163" s="15">
        <f>IF($B163="","",IF($C163="","personne non reconnue",IF(ISERROR(SEARCH(TRIM($E163&amp;" "&amp;$D163),$B163)),"libellé incohérent avec l’identifiant",IF(COUNTIFS($A$5:$A$500,$A163,$C$5:$C$500,$C163,$F$5:$F$500,$F163,$G$5:$G$500,$G163)&gt;1,"doublon",IF($F163="","groupe manquant",IF($G163="","rôle manquant",IF($H163="","support de saisie manquant",IF(AND($I163&lt;&gt;"",$J163&lt;&gt;"",$J163&lt;$I163),"date de fin antérieure à la date de début",IF(AND($G163="encadrant",IFERROR(INDEX(Personnes!$F$5:$F$153,MATCH($C163,Personnes!$A$5:$A$153,0)),"")=""),"courriel encadrant manquant","ok")))))))))</f>
        <v/>
      </c>
    </row>
    <row r="164">
      <c r="A164" t="inlineStr">
        <is>
          <t>2026-2027</t>
        </is>
      </c>
      <c r="B164" s="14" t="inlineStr">
        <is>
          <t>Alain PASCAL [P044]</t>
        </is>
      </c>
      <c r="C164" s="15">
        <f>IFERROR(MID($B164,FIND("[",$B164)+1,FIND("]",$B164)-FIND("[",$B164)-1),"")</f>
        <v/>
      </c>
      <c r="D164" s="15">
        <f>IFERROR(INDEX(Personnes!$B$5:$B$153,MATCH($C164,Personnes!$A$5:$A$153,0))&amp;"","")</f>
        <v/>
      </c>
      <c r="E164" s="15">
        <f>IFERROR(INDEX(Personnes!$C$5:$C$153,MATCH($C164,Personnes!$A$5:$A$153,0))&amp;"","")</f>
        <v/>
      </c>
      <c r="F164" s="14" t="inlineStr">
        <is>
          <t>DNF</t>
        </is>
      </c>
      <c r="G164" s="14" t="inlineStr">
        <is>
          <t>élève</t>
        </is>
      </c>
      <c r="H164" s="14" t="inlineStr">
        <is>
          <t>classeur</t>
        </is>
      </c>
      <c r="I164" s="16" t="n">
        <v>46272</v>
      </c>
      <c r="J164" s="16" t="n"/>
      <c r="K164" s="18" t="n"/>
      <c r="L164" s="18" t="n"/>
      <c r="M164" s="15">
        <f>IF($B164="","",IF($C164="","personne non reconnue",IF(ISERROR(SEARCH(TRIM($E164&amp;" "&amp;$D164),$B164)),"libellé incohérent avec l’identifiant",IF(COUNTIFS($A$5:$A$500,$A164,$C$5:$C$500,$C164,$F$5:$F$500,$F164,$G$5:$G$500,$G164)&gt;1,"doublon",IF($F164="","groupe manquant",IF($G164="","rôle manquant",IF($H164="","support de saisie manquant",IF(AND($I164&lt;&gt;"",$J164&lt;&gt;"",$J164&lt;$I164),"date de fin antérieure à la date de début",IF(AND($G164="encadrant",IFERROR(INDEX(Personnes!$F$5:$F$153,MATCH($C164,Personnes!$A$5:$A$153,0)),"")=""),"courriel encadrant manquant","ok")))))))))</f>
        <v/>
      </c>
    </row>
    <row r="165">
      <c r="A165" t="inlineStr">
        <is>
          <t>2026-2027</t>
        </is>
      </c>
      <c r="B165" s="14" t="inlineStr">
        <is>
          <t>Danny SEGUI [P045]</t>
        </is>
      </c>
      <c r="C165" s="15">
        <f>IFERROR(MID($B165,FIND("[",$B165)+1,FIND("]",$B165)-FIND("[",$B165)-1),"")</f>
        <v/>
      </c>
      <c r="D165" s="15">
        <f>IFERROR(INDEX(Personnes!$B$5:$B$153,MATCH($C165,Personnes!$A$5:$A$153,0))&amp;"","")</f>
        <v/>
      </c>
      <c r="E165" s="15">
        <f>IFERROR(INDEX(Personnes!$C$5:$C$153,MATCH($C165,Personnes!$A$5:$A$153,0))&amp;"","")</f>
        <v/>
      </c>
      <c r="F165" s="14" t="inlineStr">
        <is>
          <t>DNF</t>
        </is>
      </c>
      <c r="G165" s="14" t="inlineStr">
        <is>
          <t>élève</t>
        </is>
      </c>
      <c r="H165" s="14" t="inlineStr">
        <is>
          <t>classeur</t>
        </is>
      </c>
      <c r="I165" s="16" t="n">
        <v>46272</v>
      </c>
      <c r="J165" s="16" t="n"/>
      <c r="K165" s="18" t="n"/>
      <c r="L165" s="18" t="n"/>
      <c r="M165" s="15">
        <f>IF($B165="","",IF($C165="","personne non reconnue",IF(ISERROR(SEARCH(TRIM($E165&amp;" "&amp;$D165),$B165)),"libellé incohérent avec l’identifiant",IF(COUNTIFS($A$5:$A$500,$A165,$C$5:$C$500,$C165,$F$5:$F$500,$F165,$G$5:$G$500,$G165)&gt;1,"doublon",IF($F165="","groupe manquant",IF($G165="","rôle manquant",IF($H165="","support de saisie manquant",IF(AND($I165&lt;&gt;"",$J165&lt;&gt;"",$J165&lt;$I165),"date de fin antérieure à la date de début",IF(AND($G165="encadrant",IFERROR(INDEX(Personnes!$F$5:$F$153,MATCH($C165,Personnes!$A$5:$A$153,0)),"")=""),"courriel encadrant manquant","ok")))))))))</f>
        <v/>
      </c>
    </row>
    <row r="166">
      <c r="A166" t="inlineStr">
        <is>
          <t>2026-2027</t>
        </is>
      </c>
      <c r="B166" s="14" t="inlineStr">
        <is>
          <t>Yvan MEASSON [P046]</t>
        </is>
      </c>
      <c r="C166" s="15">
        <f>IFERROR(MID($B166,FIND("[",$B166)+1,FIND("]",$B166)-FIND("[",$B166)-1),"")</f>
        <v/>
      </c>
      <c r="D166" s="15">
        <f>IFERROR(INDEX(Personnes!$B$5:$B$153,MATCH($C166,Personnes!$A$5:$A$153,0))&amp;"","")</f>
        <v/>
      </c>
      <c r="E166" s="15">
        <f>IFERROR(INDEX(Personnes!$C$5:$C$153,MATCH($C166,Personnes!$A$5:$A$153,0))&amp;"","")</f>
        <v/>
      </c>
      <c r="F166" s="14" t="inlineStr">
        <is>
          <t>DNF</t>
        </is>
      </c>
      <c r="G166" s="14" t="inlineStr">
        <is>
          <t>élève</t>
        </is>
      </c>
      <c r="H166" s="14" t="inlineStr">
        <is>
          <t>classeur</t>
        </is>
      </c>
      <c r="I166" s="16" t="n">
        <v>46272</v>
      </c>
      <c r="J166" s="16" t="n"/>
      <c r="K166" s="18" t="n"/>
      <c r="L166" s="18" t="n"/>
      <c r="M166" s="15">
        <f>IF($B166="","",IF($C166="","personne non reconnue",IF(ISERROR(SEARCH(TRIM($E166&amp;" "&amp;$D166),$B166)),"libellé incohérent avec l’identifiant",IF(COUNTIFS($A$5:$A$500,$A166,$C$5:$C$500,$C166,$F$5:$F$500,$F166,$G$5:$G$500,$G166)&gt;1,"doublon",IF($F166="","groupe manquant",IF($G166="","rôle manquant",IF($H166="","support de saisie manquant",IF(AND($I166&lt;&gt;"",$J166&lt;&gt;"",$J166&lt;$I166),"date de fin antérieure à la date de début",IF(AND($G166="encadrant",IFERROR(INDEX(Personnes!$F$5:$F$153,MATCH($C166,Personnes!$A$5:$A$153,0)),"")=""),"courriel encadrant manquant","ok")))))))))</f>
        <v/>
      </c>
    </row>
    <row r="167">
      <c r="A167" t="inlineStr">
        <is>
          <t>2026-2027</t>
        </is>
      </c>
      <c r="B167" s="14" t="inlineStr">
        <is>
          <t>Katarina STANKIEWICZ [P047]</t>
        </is>
      </c>
      <c r="C167" s="15">
        <f>IFERROR(MID($B167,FIND("[",$B167)+1,FIND("]",$B167)-FIND("[",$B167)-1),"")</f>
        <v/>
      </c>
      <c r="D167" s="15">
        <f>IFERROR(INDEX(Personnes!$B$5:$B$153,MATCH($C167,Personnes!$A$5:$A$153,0))&amp;"","")</f>
        <v/>
      </c>
      <c r="E167" s="15">
        <f>IFERROR(INDEX(Personnes!$C$5:$C$153,MATCH($C167,Personnes!$A$5:$A$153,0))&amp;"","")</f>
        <v/>
      </c>
      <c r="F167" s="14" t="inlineStr">
        <is>
          <t>DNF</t>
        </is>
      </c>
      <c r="G167" s="14" t="inlineStr">
        <is>
          <t>élève</t>
        </is>
      </c>
      <c r="H167" s="14" t="inlineStr">
        <is>
          <t>classeur</t>
        </is>
      </c>
      <c r="I167" s="16" t="n">
        <v>46272</v>
      </c>
      <c r="J167" s="16" t="n"/>
      <c r="K167" s="18" t="n"/>
      <c r="L167" s="18" t="n"/>
      <c r="M167" s="15">
        <f>IF($B167="","",IF($C167="","personne non reconnue",IF(ISERROR(SEARCH(TRIM($E167&amp;" "&amp;$D167),$B167)),"libellé incohérent avec l’identifiant",IF(COUNTIFS($A$5:$A$500,$A167,$C$5:$C$500,$C167,$F$5:$F$500,$F167,$G$5:$G$500,$G167)&gt;1,"doublon",IF($F167="","groupe manquant",IF($G167="","rôle manquant",IF($H167="","support de saisie manquant",IF(AND($I167&lt;&gt;"",$J167&lt;&gt;"",$J167&lt;$I167),"date de fin antérieure à la date de début",IF(AND($G167="encadrant",IFERROR(INDEX(Personnes!$F$5:$F$153,MATCH($C167,Personnes!$A$5:$A$153,0)),"")=""),"courriel encadrant manquant","ok")))))))))</f>
        <v/>
      </c>
    </row>
    <row r="168">
      <c r="A168" t="inlineStr">
        <is>
          <t>2026-2027</t>
        </is>
      </c>
      <c r="B168" s="14" t="inlineStr">
        <is>
          <t>Guillaume BOULANT [P049]</t>
        </is>
      </c>
      <c r="C168" s="15">
        <f>IFERROR(MID($B168,FIND("[",$B168)+1,FIND("]",$B168)-FIND("[",$B168)-1),"")</f>
        <v/>
      </c>
      <c r="D168" s="15">
        <f>IFERROR(INDEX(Personnes!$B$5:$B$153,MATCH($C168,Personnes!$A$5:$A$153,0))&amp;"","")</f>
        <v/>
      </c>
      <c r="E168" s="15">
        <f>IFERROR(INDEX(Personnes!$C$5:$C$153,MATCH($C168,Personnes!$A$5:$A$153,0))&amp;"","")</f>
        <v/>
      </c>
      <c r="F168" s="14" t="inlineStr">
        <is>
          <t>DNF</t>
        </is>
      </c>
      <c r="G168" s="14" t="inlineStr">
        <is>
          <t>élève</t>
        </is>
      </c>
      <c r="H168" s="14" t="inlineStr">
        <is>
          <t>classeur</t>
        </is>
      </c>
      <c r="I168" s="16" t="n">
        <v>46272</v>
      </c>
      <c r="J168" s="16" t="n"/>
      <c r="K168" s="18" t="n"/>
      <c r="L168" s="18" t="n"/>
      <c r="M168" s="15">
        <f>IF($B168="","",IF($C168="","personne non reconnue",IF(ISERROR(SEARCH(TRIM($E168&amp;" "&amp;$D168),$B168)),"libellé incohérent avec l’identifiant",IF(COUNTIFS($A$5:$A$500,$A168,$C$5:$C$500,$C168,$F$5:$F$500,$F168,$G$5:$G$500,$G168)&gt;1,"doublon",IF($F168="","groupe manquant",IF($G168="","rôle manquant",IF($H168="","support de saisie manquant",IF(AND($I168&lt;&gt;"",$J168&lt;&gt;"",$J168&lt;$I168),"date de fin antérieure à la date de début",IF(AND($G168="encadrant",IFERROR(INDEX(Personnes!$F$5:$F$153,MATCH($C168,Personnes!$A$5:$A$153,0)),"")=""),"courriel encadrant manquant","ok")))))))))</f>
        <v/>
      </c>
    </row>
    <row r="169">
      <c r="A169" t="inlineStr">
        <is>
          <t>2026-2027</t>
        </is>
      </c>
      <c r="B169" s="14" t="inlineStr">
        <is>
          <t>Gérald LELARGE [P050]</t>
        </is>
      </c>
      <c r="C169" s="15">
        <f>IFERROR(MID($B169,FIND("[",$B169)+1,FIND("]",$B169)-FIND("[",$B169)-1),"")</f>
        <v/>
      </c>
      <c r="D169" s="15">
        <f>IFERROR(INDEX(Personnes!$B$5:$B$153,MATCH($C169,Personnes!$A$5:$A$153,0))&amp;"","")</f>
        <v/>
      </c>
      <c r="E169" s="15">
        <f>IFERROR(INDEX(Personnes!$C$5:$C$153,MATCH($C169,Personnes!$A$5:$A$153,0))&amp;"","")</f>
        <v/>
      </c>
      <c r="F169" s="14" t="inlineStr">
        <is>
          <t>DNF</t>
        </is>
      </c>
      <c r="G169" s="14" t="inlineStr">
        <is>
          <t>élève</t>
        </is>
      </c>
      <c r="H169" s="14" t="inlineStr">
        <is>
          <t>classeur</t>
        </is>
      </c>
      <c r="I169" s="16" t="n">
        <v>46272</v>
      </c>
      <c r="J169" s="16" t="n"/>
      <c r="K169" s="18" t="n"/>
      <c r="L169" s="18" t="n"/>
      <c r="M169" s="15">
        <f>IF($B169="","",IF($C169="","personne non reconnue",IF(ISERROR(SEARCH(TRIM($E169&amp;" "&amp;$D169),$B169)),"libellé incohérent avec l’identifiant",IF(COUNTIFS($A$5:$A$500,$A169,$C$5:$C$500,$C169,$F$5:$F$500,$F169,$G$5:$G$500,$G169)&gt;1,"doublon",IF($F169="","groupe manquant",IF($G169="","rôle manquant",IF($H169="","support de saisie manquant",IF(AND($I169&lt;&gt;"",$J169&lt;&gt;"",$J169&lt;$I169),"date de fin antérieure à la date de début",IF(AND($G169="encadrant",IFERROR(INDEX(Personnes!$F$5:$F$153,MATCH($C169,Personnes!$A$5:$A$153,0)),"")=""),"courriel encadrant manquant","ok")))))))))</f>
        <v/>
      </c>
    </row>
    <row r="170">
      <c r="A170" t="inlineStr">
        <is>
          <t>2026-2027</t>
        </is>
      </c>
      <c r="B170" s="14" t="inlineStr">
        <is>
          <t>Corinne LE BRIGAND [P052]</t>
        </is>
      </c>
      <c r="C170" s="15">
        <f>IFERROR(MID($B170,FIND("[",$B170)+1,FIND("]",$B170)-FIND("[",$B170)-1),"")</f>
        <v/>
      </c>
      <c r="D170" s="15">
        <f>IFERROR(INDEX(Personnes!$B$5:$B$153,MATCH($C170,Personnes!$A$5:$A$153,0))&amp;"","")</f>
        <v/>
      </c>
      <c r="E170" s="15">
        <f>IFERROR(INDEX(Personnes!$C$5:$C$153,MATCH($C170,Personnes!$A$5:$A$153,0))&amp;"","")</f>
        <v/>
      </c>
      <c r="F170" s="14" t="inlineStr">
        <is>
          <t>DNF</t>
        </is>
      </c>
      <c r="G170" s="14" t="inlineStr">
        <is>
          <t>élève</t>
        </is>
      </c>
      <c r="H170" s="14" t="inlineStr">
        <is>
          <t>classeur</t>
        </is>
      </c>
      <c r="I170" s="16" t="n">
        <v>46272</v>
      </c>
      <c r="J170" s="16" t="n"/>
      <c r="K170" s="18" t="n"/>
      <c r="L170" s="18" t="n"/>
      <c r="M170" s="15">
        <f>IF($B170="","",IF($C170="","personne non reconnue",IF(ISERROR(SEARCH(TRIM($E170&amp;" "&amp;$D170),$B170)),"libellé incohérent avec l’identifiant",IF(COUNTIFS($A$5:$A$500,$A170,$C$5:$C$500,$C170,$F$5:$F$500,$F170,$G$5:$G$500,$G170)&gt;1,"doublon",IF($F170="","groupe manquant",IF($G170="","rôle manquant",IF($H170="","support de saisie manquant",IF(AND($I170&lt;&gt;"",$J170&lt;&gt;"",$J170&lt;$I170),"date de fin antérieure à la date de début",IF(AND($G170="encadrant",IFERROR(INDEX(Personnes!$F$5:$F$153,MATCH($C170,Personnes!$A$5:$A$153,0)),"")=""),"courriel encadrant manquant","ok")))))))))</f>
        <v/>
      </c>
    </row>
    <row r="171">
      <c r="A171" t="inlineStr">
        <is>
          <t>2026-2027</t>
        </is>
      </c>
      <c r="B171" s="14" t="inlineStr">
        <is>
          <t>Achour BACHA [P053]</t>
        </is>
      </c>
      <c r="C171" s="15">
        <f>IFERROR(MID($B171,FIND("[",$B171)+1,FIND("]",$B171)-FIND("[",$B171)-1),"")</f>
        <v/>
      </c>
      <c r="D171" s="15">
        <f>IFERROR(INDEX(Personnes!$B$5:$B$153,MATCH($C171,Personnes!$A$5:$A$153,0))&amp;"","")</f>
        <v/>
      </c>
      <c r="E171" s="15">
        <f>IFERROR(INDEX(Personnes!$C$5:$C$153,MATCH($C171,Personnes!$A$5:$A$153,0))&amp;"","")</f>
        <v/>
      </c>
      <c r="F171" s="14" t="inlineStr">
        <is>
          <t>DNF</t>
        </is>
      </c>
      <c r="G171" s="14" t="inlineStr">
        <is>
          <t>élève</t>
        </is>
      </c>
      <c r="H171" s="14" t="inlineStr">
        <is>
          <t>classeur</t>
        </is>
      </c>
      <c r="I171" s="16" t="n">
        <v>46272</v>
      </c>
      <c r="J171" s="16" t="n"/>
      <c r="K171" s="18" t="n"/>
      <c r="L171" s="18" t="n"/>
      <c r="M171" s="15">
        <f>IF($B171="","",IF($C171="","personne non reconnue",IF(ISERROR(SEARCH(TRIM($E171&amp;" "&amp;$D171),$B171)),"libellé incohérent avec l’identifiant",IF(COUNTIFS($A$5:$A$500,$A171,$C$5:$C$500,$C171,$F$5:$F$500,$F171,$G$5:$G$500,$G171)&gt;1,"doublon",IF($F171="","groupe manquant",IF($G171="","rôle manquant",IF($H171="","support de saisie manquant",IF(AND($I171&lt;&gt;"",$J171&lt;&gt;"",$J171&lt;$I171),"date de fin antérieure à la date de début",IF(AND($G171="encadrant",IFERROR(INDEX(Personnes!$F$5:$F$153,MATCH($C171,Personnes!$A$5:$A$153,0)),"")=""),"courriel encadrant manquant","ok")))))))))</f>
        <v/>
      </c>
    </row>
    <row r="172">
      <c r="A172" t="inlineStr">
        <is>
          <t>2026-2027</t>
        </is>
      </c>
      <c r="B172" s="14" t="inlineStr">
        <is>
          <t>Hervé MEMAIN [P054]</t>
        </is>
      </c>
      <c r="C172" s="15">
        <f>IFERROR(MID($B172,FIND("[",$B172)+1,FIND("]",$B172)-FIND("[",$B172)-1),"")</f>
        <v/>
      </c>
      <c r="D172" s="15">
        <f>IFERROR(INDEX(Personnes!$B$5:$B$153,MATCH($C172,Personnes!$A$5:$A$153,0))&amp;"","")</f>
        <v/>
      </c>
      <c r="E172" s="15">
        <f>IFERROR(INDEX(Personnes!$C$5:$C$153,MATCH($C172,Personnes!$A$5:$A$153,0))&amp;"","")</f>
        <v/>
      </c>
      <c r="F172" s="14" t="inlineStr">
        <is>
          <t>DNF</t>
        </is>
      </c>
      <c r="G172" s="14" t="inlineStr">
        <is>
          <t>élève</t>
        </is>
      </c>
      <c r="H172" s="14" t="inlineStr">
        <is>
          <t>classeur</t>
        </is>
      </c>
      <c r="I172" s="16" t="n">
        <v>46272</v>
      </c>
      <c r="J172" s="16" t="n"/>
      <c r="K172" s="18" t="n"/>
      <c r="L172" s="18" t="n"/>
      <c r="M172" s="15">
        <f>IF($B172="","",IF($C172="","personne non reconnue",IF(ISERROR(SEARCH(TRIM($E172&amp;" "&amp;$D172),$B172)),"libellé incohérent avec l’identifiant",IF(COUNTIFS($A$5:$A$500,$A172,$C$5:$C$500,$C172,$F$5:$F$500,$F172,$G$5:$G$500,$G172)&gt;1,"doublon",IF($F172="","groupe manquant",IF($G172="","rôle manquant",IF($H172="","support de saisie manquant",IF(AND($I172&lt;&gt;"",$J172&lt;&gt;"",$J172&lt;$I172),"date de fin antérieure à la date de début",IF(AND($G172="encadrant",IFERROR(INDEX(Personnes!$F$5:$F$153,MATCH($C172,Personnes!$A$5:$A$153,0)),"")=""),"courriel encadrant manquant","ok")))))))))</f>
        <v/>
      </c>
    </row>
    <row r="173">
      <c r="A173" t="inlineStr">
        <is>
          <t>2026-2027</t>
        </is>
      </c>
      <c r="B173" s="14" t="inlineStr">
        <is>
          <t>Ouafa BENMANSOUR [P055]</t>
        </is>
      </c>
      <c r="C173" s="15">
        <f>IFERROR(MID($B173,FIND("[",$B173)+1,FIND("]",$B173)-FIND("[",$B173)-1),"")</f>
        <v/>
      </c>
      <c r="D173" s="15">
        <f>IFERROR(INDEX(Personnes!$B$5:$B$153,MATCH($C173,Personnes!$A$5:$A$153,0))&amp;"","")</f>
        <v/>
      </c>
      <c r="E173" s="15">
        <f>IFERROR(INDEX(Personnes!$C$5:$C$153,MATCH($C173,Personnes!$A$5:$A$153,0))&amp;"","")</f>
        <v/>
      </c>
      <c r="F173" s="14" t="inlineStr">
        <is>
          <t>DNF</t>
        </is>
      </c>
      <c r="G173" s="14" t="inlineStr">
        <is>
          <t>élève</t>
        </is>
      </c>
      <c r="H173" s="14" t="inlineStr">
        <is>
          <t>classeur</t>
        </is>
      </c>
      <c r="I173" s="16" t="n">
        <v>46272</v>
      </c>
      <c r="J173" s="16" t="n"/>
      <c r="K173" s="18" t="n"/>
      <c r="L173" s="18" t="n"/>
      <c r="M173" s="15">
        <f>IF($B173="","",IF($C173="","personne non reconnue",IF(ISERROR(SEARCH(TRIM($E173&amp;" "&amp;$D173),$B173)),"libellé incohérent avec l’identifiant",IF(COUNTIFS($A$5:$A$500,$A173,$C$5:$C$500,$C173,$F$5:$F$500,$F173,$G$5:$G$500,$G173)&gt;1,"doublon",IF($F173="","groupe manquant",IF($G173="","rôle manquant",IF($H173="","support de saisie manquant",IF(AND($I173&lt;&gt;"",$J173&lt;&gt;"",$J173&lt;$I173),"date de fin antérieure à la date de début",IF(AND($G173="encadrant",IFERROR(INDEX(Personnes!$F$5:$F$153,MATCH($C173,Personnes!$A$5:$A$153,0)),"")=""),"courriel encadrant manquant","ok")))))))))</f>
        <v/>
      </c>
    </row>
    <row r="174">
      <c r="A174" t="inlineStr">
        <is>
          <t>2026-2027</t>
        </is>
      </c>
      <c r="B174" s="14" t="inlineStr">
        <is>
          <t>Philippe BRIDENNE [P056]</t>
        </is>
      </c>
      <c r="C174" s="15">
        <f>IFERROR(MID($B174,FIND("[",$B174)+1,FIND("]",$B174)-FIND("[",$B174)-1),"")</f>
        <v/>
      </c>
      <c r="D174" s="15">
        <f>IFERROR(INDEX(Personnes!$B$5:$B$153,MATCH($C174,Personnes!$A$5:$A$153,0))&amp;"","")</f>
        <v/>
      </c>
      <c r="E174" s="15">
        <f>IFERROR(INDEX(Personnes!$C$5:$C$153,MATCH($C174,Personnes!$A$5:$A$153,0))&amp;"","")</f>
        <v/>
      </c>
      <c r="F174" s="14" t="inlineStr">
        <is>
          <t>DNF</t>
        </is>
      </c>
      <c r="G174" s="14" t="inlineStr">
        <is>
          <t>élève</t>
        </is>
      </c>
      <c r="H174" s="14" t="inlineStr">
        <is>
          <t>classeur</t>
        </is>
      </c>
      <c r="I174" s="16" t="n">
        <v>46272</v>
      </c>
      <c r="J174" s="16" t="n"/>
      <c r="K174" s="18" t="n"/>
      <c r="L174" s="18" t="n"/>
      <c r="M174" s="15">
        <f>IF($B174="","",IF($C174="","personne non reconnue",IF(ISERROR(SEARCH(TRIM($E174&amp;" "&amp;$D174),$B174)),"libellé incohérent avec l’identifiant",IF(COUNTIFS($A$5:$A$500,$A174,$C$5:$C$500,$C174,$F$5:$F$500,$F174,$G$5:$G$500,$G174)&gt;1,"doublon",IF($F174="","groupe manquant",IF($G174="","rôle manquant",IF($H174="","support de saisie manquant",IF(AND($I174&lt;&gt;"",$J174&lt;&gt;"",$J174&lt;$I174),"date de fin antérieure à la date de début",IF(AND($G174="encadrant",IFERROR(INDEX(Personnes!$F$5:$F$153,MATCH($C174,Personnes!$A$5:$A$153,0)),"")=""),"courriel encadrant manquant","ok")))))))))</f>
        <v/>
      </c>
    </row>
    <row r="175">
      <c r="A175" t="inlineStr">
        <is>
          <t>2026-2027</t>
        </is>
      </c>
      <c r="B175" s="14" t="inlineStr">
        <is>
          <t>Antoine COLIN DE VERDIERE [P057]</t>
        </is>
      </c>
      <c r="C175" s="15">
        <f>IFERROR(MID($B175,FIND("[",$B175)+1,FIND("]",$B175)-FIND("[",$B175)-1),"")</f>
        <v/>
      </c>
      <c r="D175" s="15">
        <f>IFERROR(INDEX(Personnes!$B$5:$B$153,MATCH($C175,Personnes!$A$5:$A$153,0))&amp;"","")</f>
        <v/>
      </c>
      <c r="E175" s="15">
        <f>IFERROR(INDEX(Personnes!$C$5:$C$153,MATCH($C175,Personnes!$A$5:$A$153,0))&amp;"","")</f>
        <v/>
      </c>
      <c r="F175" s="14" t="inlineStr">
        <is>
          <t>DNF</t>
        </is>
      </c>
      <c r="G175" s="14" t="inlineStr">
        <is>
          <t>élève</t>
        </is>
      </c>
      <c r="H175" s="14" t="inlineStr">
        <is>
          <t>classeur</t>
        </is>
      </c>
      <c r="I175" s="16" t="n">
        <v>46272</v>
      </c>
      <c r="J175" s="16" t="n"/>
      <c r="K175" s="18" t="n"/>
      <c r="L175" s="18" t="n"/>
      <c r="M175" s="15">
        <f>IF($B175="","",IF($C175="","personne non reconnue",IF(ISERROR(SEARCH(TRIM($E175&amp;" "&amp;$D175),$B175)),"libellé incohérent avec l’identifiant",IF(COUNTIFS($A$5:$A$500,$A175,$C$5:$C$500,$C175,$F$5:$F$500,$F175,$G$5:$G$500,$G175)&gt;1,"doublon",IF($F175="","groupe manquant",IF($G175="","rôle manquant",IF($H175="","support de saisie manquant",IF(AND($I175&lt;&gt;"",$J175&lt;&gt;"",$J175&lt;$I175),"date de fin antérieure à la date de début",IF(AND($G175="encadrant",IFERROR(INDEX(Personnes!$F$5:$F$153,MATCH($C175,Personnes!$A$5:$A$153,0)),"")=""),"courriel encadrant manquant","ok")))))))))</f>
        <v/>
      </c>
    </row>
    <row r="176">
      <c r="A176" t="inlineStr">
        <is>
          <t>2026-2027</t>
        </is>
      </c>
      <c r="B176" s="14" t="inlineStr">
        <is>
          <t>Larbi MAALAOUI [P058]</t>
        </is>
      </c>
      <c r="C176" s="15">
        <f>IFERROR(MID($B176,FIND("[",$B176)+1,FIND("]",$B176)-FIND("[",$B176)-1),"")</f>
        <v/>
      </c>
      <c r="D176" s="15">
        <f>IFERROR(INDEX(Personnes!$B$5:$B$153,MATCH($C176,Personnes!$A$5:$A$153,0))&amp;"","")</f>
        <v/>
      </c>
      <c r="E176" s="15">
        <f>IFERROR(INDEX(Personnes!$C$5:$C$153,MATCH($C176,Personnes!$A$5:$A$153,0))&amp;"","")</f>
        <v/>
      </c>
      <c r="F176" s="14" t="inlineStr">
        <is>
          <t>DNF</t>
        </is>
      </c>
      <c r="G176" s="14" t="inlineStr">
        <is>
          <t>élève</t>
        </is>
      </c>
      <c r="H176" s="14" t="inlineStr">
        <is>
          <t>classeur</t>
        </is>
      </c>
      <c r="I176" s="16" t="n">
        <v>46272</v>
      </c>
      <c r="J176" s="16" t="n"/>
      <c r="K176" s="18" t="n"/>
      <c r="L176" s="18" t="n"/>
      <c r="M176" s="15">
        <f>IF($B176="","",IF($C176="","personne non reconnue",IF(ISERROR(SEARCH(TRIM($E176&amp;" "&amp;$D176),$B176)),"libellé incohérent avec l’identifiant",IF(COUNTIFS($A$5:$A$500,$A176,$C$5:$C$500,$C176,$F$5:$F$500,$F176,$G$5:$G$500,$G176)&gt;1,"doublon",IF($F176="","groupe manquant",IF($G176="","rôle manquant",IF($H176="","support de saisie manquant",IF(AND($I176&lt;&gt;"",$J176&lt;&gt;"",$J176&lt;$I176),"date de fin antérieure à la date de début",IF(AND($G176="encadrant",IFERROR(INDEX(Personnes!$F$5:$F$153,MATCH($C176,Personnes!$A$5:$A$153,0)),"")=""),"courriel encadrant manquant","ok")))))))))</f>
        <v/>
      </c>
    </row>
    <row r="177">
      <c r="A177" t="inlineStr">
        <is>
          <t>2026-2027</t>
        </is>
      </c>
      <c r="B177" s="14" t="inlineStr">
        <is>
          <t>Sébastien PALUD [P059]</t>
        </is>
      </c>
      <c r="C177" s="15">
        <f>IFERROR(MID($B177,FIND("[",$B177)+1,FIND("]",$B177)-FIND("[",$B177)-1),"")</f>
        <v/>
      </c>
      <c r="D177" s="15">
        <f>IFERROR(INDEX(Personnes!$B$5:$B$153,MATCH($C177,Personnes!$A$5:$A$153,0))&amp;"","")</f>
        <v/>
      </c>
      <c r="E177" s="15">
        <f>IFERROR(INDEX(Personnes!$C$5:$C$153,MATCH($C177,Personnes!$A$5:$A$153,0))&amp;"","")</f>
        <v/>
      </c>
      <c r="F177" s="14" t="inlineStr">
        <is>
          <t>DNF</t>
        </is>
      </c>
      <c r="G177" s="14" t="inlineStr">
        <is>
          <t>élève</t>
        </is>
      </c>
      <c r="H177" s="14" t="inlineStr">
        <is>
          <t>classeur</t>
        </is>
      </c>
      <c r="I177" s="16" t="n">
        <v>46272</v>
      </c>
      <c r="J177" s="16" t="n"/>
      <c r="K177" s="18" t="n"/>
      <c r="L177" s="18" t="n"/>
      <c r="M177" s="15">
        <f>IF($B177="","",IF($C177="","personne non reconnue",IF(ISERROR(SEARCH(TRIM($E177&amp;" "&amp;$D177),$B177)),"libellé incohérent avec l’identifiant",IF(COUNTIFS($A$5:$A$500,$A177,$C$5:$C$500,$C177,$F$5:$F$500,$F177,$G$5:$G$500,$G177)&gt;1,"doublon",IF($F177="","groupe manquant",IF($G177="","rôle manquant",IF($H177="","support de saisie manquant",IF(AND($I177&lt;&gt;"",$J177&lt;&gt;"",$J177&lt;$I177),"date de fin antérieure à la date de début",IF(AND($G177="encadrant",IFERROR(INDEX(Personnes!$F$5:$F$153,MATCH($C177,Personnes!$A$5:$A$153,0)),"")=""),"courriel encadrant manquant","ok")))))))))</f>
        <v/>
      </c>
    </row>
    <row r="178">
      <c r="A178" t="inlineStr">
        <is>
          <t>2026-2027</t>
        </is>
      </c>
      <c r="B178" s="14" t="inlineStr">
        <is>
          <t>Bruno BOUGEROL [P060]</t>
        </is>
      </c>
      <c r="C178" s="15">
        <f>IFERROR(MID($B178,FIND("[",$B178)+1,FIND("]",$B178)-FIND("[",$B178)-1),"")</f>
        <v/>
      </c>
      <c r="D178" s="15">
        <f>IFERROR(INDEX(Personnes!$B$5:$B$153,MATCH($C178,Personnes!$A$5:$A$153,0))&amp;"","")</f>
        <v/>
      </c>
      <c r="E178" s="15">
        <f>IFERROR(INDEX(Personnes!$C$5:$C$153,MATCH($C178,Personnes!$A$5:$A$153,0))&amp;"","")</f>
        <v/>
      </c>
      <c r="F178" s="14" t="inlineStr">
        <is>
          <t>DNF</t>
        </is>
      </c>
      <c r="G178" s="14" t="inlineStr">
        <is>
          <t>élève</t>
        </is>
      </c>
      <c r="H178" s="14" t="inlineStr">
        <is>
          <t>classeur</t>
        </is>
      </c>
      <c r="I178" s="16" t="n">
        <v>46272</v>
      </c>
      <c r="J178" s="16" t="n"/>
      <c r="K178" s="18" t="n"/>
      <c r="L178" s="18" t="n"/>
      <c r="M178" s="15">
        <f>IF($B178="","",IF($C178="","personne non reconnue",IF(ISERROR(SEARCH(TRIM($E178&amp;" "&amp;$D178),$B178)),"libellé incohérent avec l’identifiant",IF(COUNTIFS($A$5:$A$500,$A178,$C$5:$C$500,$C178,$F$5:$F$500,$F178,$G$5:$G$500,$G178)&gt;1,"doublon",IF($F178="","groupe manquant",IF($G178="","rôle manquant",IF($H178="","support de saisie manquant",IF(AND($I178&lt;&gt;"",$J178&lt;&gt;"",$J178&lt;$I178),"date de fin antérieure à la date de début",IF(AND($G178="encadrant",IFERROR(INDEX(Personnes!$F$5:$F$153,MATCH($C178,Personnes!$A$5:$A$153,0)),"")=""),"courriel encadrant manquant","ok")))))))))</f>
        <v/>
      </c>
    </row>
    <row r="179">
      <c r="A179" t="inlineStr">
        <is>
          <t>2026-2027</t>
        </is>
      </c>
      <c r="B179" s="14" t="inlineStr">
        <is>
          <t>Sabine COLLINET [P063]</t>
        </is>
      </c>
      <c r="C179" s="15">
        <f>IFERROR(MID($B179,FIND("[",$B179)+1,FIND("]",$B179)-FIND("[",$B179)-1),"")</f>
        <v/>
      </c>
      <c r="D179" s="15">
        <f>IFERROR(INDEX(Personnes!$B$5:$B$153,MATCH($C179,Personnes!$A$5:$A$153,0))&amp;"","")</f>
        <v/>
      </c>
      <c r="E179" s="15">
        <f>IFERROR(INDEX(Personnes!$C$5:$C$153,MATCH($C179,Personnes!$A$5:$A$153,0))&amp;"","")</f>
        <v/>
      </c>
      <c r="F179" s="14" t="inlineStr">
        <is>
          <t>DNF</t>
        </is>
      </c>
      <c r="G179" s="14" t="inlineStr">
        <is>
          <t>élève</t>
        </is>
      </c>
      <c r="H179" s="14" t="inlineStr">
        <is>
          <t>classeur</t>
        </is>
      </c>
      <c r="I179" s="16" t="n">
        <v>46272</v>
      </c>
      <c r="J179" s="16" t="n"/>
      <c r="K179" s="18" t="n"/>
      <c r="L179" s="18" t="n"/>
      <c r="M179" s="15">
        <f>IF($B179="","",IF($C179="","personne non reconnue",IF(ISERROR(SEARCH(TRIM($E179&amp;" "&amp;$D179),$B179)),"libellé incohérent avec l’identifiant",IF(COUNTIFS($A$5:$A$500,$A179,$C$5:$C$500,$C179,$F$5:$F$500,$F179,$G$5:$G$500,$G179)&gt;1,"doublon",IF($F179="","groupe manquant",IF($G179="","rôle manquant",IF($H179="","support de saisie manquant",IF(AND($I179&lt;&gt;"",$J179&lt;&gt;"",$J179&lt;$I179),"date de fin antérieure à la date de début",IF(AND($G179="encadrant",IFERROR(INDEX(Personnes!$F$5:$F$153,MATCH($C179,Personnes!$A$5:$A$153,0)),"")=""),"courriel encadrant manquant","ok")))))))))</f>
        <v/>
      </c>
    </row>
    <row r="180">
      <c r="A180" t="inlineStr">
        <is>
          <t>2026-2027</t>
        </is>
      </c>
      <c r="B180" s="14" t="inlineStr">
        <is>
          <t>Leo SAINT MARTIN [P064]</t>
        </is>
      </c>
      <c r="C180" s="15">
        <f>IFERROR(MID($B180,FIND("[",$B180)+1,FIND("]",$B180)-FIND("[",$B180)-1),"")</f>
        <v/>
      </c>
      <c r="D180" s="15">
        <f>IFERROR(INDEX(Personnes!$B$5:$B$153,MATCH($C180,Personnes!$A$5:$A$153,0))&amp;"","")</f>
        <v/>
      </c>
      <c r="E180" s="15">
        <f>IFERROR(INDEX(Personnes!$C$5:$C$153,MATCH($C180,Personnes!$A$5:$A$153,0))&amp;"","")</f>
        <v/>
      </c>
      <c r="F180" s="14" t="inlineStr">
        <is>
          <t>DNF</t>
        </is>
      </c>
      <c r="G180" s="14" t="inlineStr">
        <is>
          <t>élève</t>
        </is>
      </c>
      <c r="H180" s="14" t="inlineStr">
        <is>
          <t>classeur</t>
        </is>
      </c>
      <c r="I180" s="16" t="n">
        <v>46272</v>
      </c>
      <c r="J180" s="16" t="n"/>
      <c r="K180" s="18" t="n"/>
      <c r="L180" s="18" t="n"/>
      <c r="M180" s="15">
        <f>IF($B180="","",IF($C180="","personne non reconnue",IF(ISERROR(SEARCH(TRIM($E180&amp;" "&amp;$D180),$B180)),"libellé incohérent avec l’identifiant",IF(COUNTIFS($A$5:$A$500,$A180,$C$5:$C$500,$C180,$F$5:$F$500,$F180,$G$5:$G$500,$G180)&gt;1,"doublon",IF($F180="","groupe manquant",IF($G180="","rôle manquant",IF($H180="","support de saisie manquant",IF(AND($I180&lt;&gt;"",$J180&lt;&gt;"",$J180&lt;$I180),"date de fin antérieure à la date de début",IF(AND($G180="encadrant",IFERROR(INDEX(Personnes!$F$5:$F$153,MATCH($C180,Personnes!$A$5:$A$153,0)),"")=""),"courriel encadrant manquant","ok")))))))))</f>
        <v/>
      </c>
    </row>
    <row r="181">
      <c r="A181" t="inlineStr">
        <is>
          <t>2026-2027</t>
        </is>
      </c>
      <c r="B181" s="14" t="inlineStr">
        <is>
          <t>Salman BOUHAMMOU [P068]</t>
        </is>
      </c>
      <c r="C181" s="15">
        <f>IFERROR(MID($B181,FIND("[",$B181)+1,FIND("]",$B181)-FIND("[",$B181)-1),"")</f>
        <v/>
      </c>
      <c r="D181" s="15">
        <f>IFERROR(INDEX(Personnes!$B$5:$B$153,MATCH($C181,Personnes!$A$5:$A$153,0))&amp;"","")</f>
        <v/>
      </c>
      <c r="E181" s="15">
        <f>IFERROR(INDEX(Personnes!$C$5:$C$153,MATCH($C181,Personnes!$A$5:$A$153,0))&amp;"","")</f>
        <v/>
      </c>
      <c r="F181" s="14" t="inlineStr">
        <is>
          <t>DNF</t>
        </is>
      </c>
      <c r="G181" s="14" t="inlineStr">
        <is>
          <t>élève</t>
        </is>
      </c>
      <c r="H181" s="14" t="inlineStr">
        <is>
          <t>classeur</t>
        </is>
      </c>
      <c r="I181" s="16" t="n">
        <v>46272</v>
      </c>
      <c r="J181" s="16" t="n"/>
      <c r="K181" s="18" t="n"/>
      <c r="L181" s="18" t="n"/>
      <c r="M181" s="15">
        <f>IF($B181="","",IF($C181="","personne non reconnue",IF(ISERROR(SEARCH(TRIM($E181&amp;" "&amp;$D181),$B181)),"libellé incohérent avec l’identifiant",IF(COUNTIFS($A$5:$A$500,$A181,$C$5:$C$500,$C181,$F$5:$F$500,$F181,$G$5:$G$500,$G181)&gt;1,"doublon",IF($F181="","groupe manquant",IF($G181="","rôle manquant",IF($H181="","support de saisie manquant",IF(AND($I181&lt;&gt;"",$J181&lt;&gt;"",$J181&lt;$I181),"date de fin antérieure à la date de début",IF(AND($G181="encadrant",IFERROR(INDEX(Personnes!$F$5:$F$153,MATCH($C181,Personnes!$A$5:$A$153,0)),"")=""),"courriel encadrant manquant","ok")))))))))</f>
        <v/>
      </c>
    </row>
    <row r="182">
      <c r="A182" t="inlineStr">
        <is>
          <t>2026-2027</t>
        </is>
      </c>
      <c r="B182" s="14" t="inlineStr">
        <is>
          <t>Magali CAVATORE [P069]</t>
        </is>
      </c>
      <c r="C182" s="15">
        <f>IFERROR(MID($B182,FIND("[",$B182)+1,FIND("]",$B182)-FIND("[",$B182)-1),"")</f>
        <v/>
      </c>
      <c r="D182" s="15">
        <f>IFERROR(INDEX(Personnes!$B$5:$B$153,MATCH($C182,Personnes!$A$5:$A$153,0))&amp;"","")</f>
        <v/>
      </c>
      <c r="E182" s="15">
        <f>IFERROR(INDEX(Personnes!$C$5:$C$153,MATCH($C182,Personnes!$A$5:$A$153,0))&amp;"","")</f>
        <v/>
      </c>
      <c r="F182" s="14" t="inlineStr">
        <is>
          <t>DNF</t>
        </is>
      </c>
      <c r="G182" s="14" t="inlineStr">
        <is>
          <t>élève</t>
        </is>
      </c>
      <c r="H182" s="14" t="inlineStr">
        <is>
          <t>classeur</t>
        </is>
      </c>
      <c r="I182" s="16" t="n">
        <v>46272</v>
      </c>
      <c r="J182" s="16" t="n"/>
      <c r="K182" s="18" t="n"/>
      <c r="L182" s="18" t="n"/>
      <c r="M182" s="15">
        <f>IF($B182="","",IF($C182="","personne non reconnue",IF(ISERROR(SEARCH(TRIM($E182&amp;" "&amp;$D182),$B182)),"libellé incohérent avec l’identifiant",IF(COUNTIFS($A$5:$A$500,$A182,$C$5:$C$500,$C182,$F$5:$F$500,$F182,$G$5:$G$500,$G182)&gt;1,"doublon",IF($F182="","groupe manquant",IF($G182="","rôle manquant",IF($H182="","support de saisie manquant",IF(AND($I182&lt;&gt;"",$J182&lt;&gt;"",$J182&lt;$I182),"date de fin antérieure à la date de début",IF(AND($G182="encadrant",IFERROR(INDEX(Personnes!$F$5:$F$153,MATCH($C182,Personnes!$A$5:$A$153,0)),"")=""),"courriel encadrant manquant","ok")))))))))</f>
        <v/>
      </c>
    </row>
    <row r="183">
      <c r="A183" t="inlineStr">
        <is>
          <t>2026-2027</t>
        </is>
      </c>
      <c r="B183" s="14" t="inlineStr">
        <is>
          <t>Aurélien DEVILLIERS [P070]</t>
        </is>
      </c>
      <c r="C183" s="15">
        <f>IFERROR(MID($B183,FIND("[",$B183)+1,FIND("]",$B183)-FIND("[",$B183)-1),"")</f>
        <v/>
      </c>
      <c r="D183" s="15">
        <f>IFERROR(INDEX(Personnes!$B$5:$B$153,MATCH($C183,Personnes!$A$5:$A$153,0))&amp;"","")</f>
        <v/>
      </c>
      <c r="E183" s="15">
        <f>IFERROR(INDEX(Personnes!$C$5:$C$153,MATCH($C183,Personnes!$A$5:$A$153,0))&amp;"","")</f>
        <v/>
      </c>
      <c r="F183" s="14" t="inlineStr">
        <is>
          <t>DNF</t>
        </is>
      </c>
      <c r="G183" s="14" t="inlineStr">
        <is>
          <t>élève</t>
        </is>
      </c>
      <c r="H183" s="14" t="inlineStr">
        <is>
          <t>classeur</t>
        </is>
      </c>
      <c r="I183" s="16" t="n">
        <v>46272</v>
      </c>
      <c r="J183" s="16" t="n"/>
      <c r="K183" s="18" t="n"/>
      <c r="L183" s="18" t="n"/>
      <c r="M183" s="15">
        <f>IF($B183="","",IF($C183="","personne non reconnue",IF(ISERROR(SEARCH(TRIM($E183&amp;" "&amp;$D183),$B183)),"libellé incohérent avec l’identifiant",IF(COUNTIFS($A$5:$A$500,$A183,$C$5:$C$500,$C183,$F$5:$F$500,$F183,$G$5:$G$500,$G183)&gt;1,"doublon",IF($F183="","groupe manquant",IF($G183="","rôle manquant",IF($H183="","support de saisie manquant",IF(AND($I183&lt;&gt;"",$J183&lt;&gt;"",$J183&lt;$I183),"date de fin antérieure à la date de début",IF(AND($G183="encadrant",IFERROR(INDEX(Personnes!$F$5:$F$153,MATCH($C183,Personnes!$A$5:$A$153,0)),"")=""),"courriel encadrant manquant","ok")))))))))</f>
        <v/>
      </c>
    </row>
    <row r="184">
      <c r="A184" t="inlineStr">
        <is>
          <t>2026-2027</t>
        </is>
      </c>
      <c r="B184" s="14" t="inlineStr">
        <is>
          <t>Jérôme DUVAL [P071]</t>
        </is>
      </c>
      <c r="C184" s="15">
        <f>IFERROR(MID($B184,FIND("[",$B184)+1,FIND("]",$B184)-FIND("[",$B184)-1),"")</f>
        <v/>
      </c>
      <c r="D184" s="15">
        <f>IFERROR(INDEX(Personnes!$B$5:$B$153,MATCH($C184,Personnes!$A$5:$A$153,0))&amp;"","")</f>
        <v/>
      </c>
      <c r="E184" s="15">
        <f>IFERROR(INDEX(Personnes!$C$5:$C$153,MATCH($C184,Personnes!$A$5:$A$153,0))&amp;"","")</f>
        <v/>
      </c>
      <c r="F184" s="14" t="inlineStr">
        <is>
          <t>DNF</t>
        </is>
      </c>
      <c r="G184" s="14" t="inlineStr">
        <is>
          <t>élève</t>
        </is>
      </c>
      <c r="H184" s="14" t="inlineStr">
        <is>
          <t>classeur</t>
        </is>
      </c>
      <c r="I184" s="16" t="n">
        <v>46272</v>
      </c>
      <c r="J184" s="16" t="n"/>
      <c r="K184" s="18" t="n"/>
      <c r="L184" s="18" t="n"/>
      <c r="M184" s="15">
        <f>IF($B184="","",IF($C184="","personne non reconnue",IF(ISERROR(SEARCH(TRIM($E184&amp;" "&amp;$D184),$B184)),"libellé incohérent avec l’identifiant",IF(COUNTIFS($A$5:$A$500,$A184,$C$5:$C$500,$C184,$F$5:$F$500,$F184,$G$5:$G$500,$G184)&gt;1,"doublon",IF($F184="","groupe manquant",IF($G184="","rôle manquant",IF($H184="","support de saisie manquant",IF(AND($I184&lt;&gt;"",$J184&lt;&gt;"",$J184&lt;$I184),"date de fin antérieure à la date de début",IF(AND($G184="encadrant",IFERROR(INDEX(Personnes!$F$5:$F$153,MATCH($C184,Personnes!$A$5:$A$153,0)),"")=""),"courriel encadrant manquant","ok")))))))))</f>
        <v/>
      </c>
    </row>
    <row r="185">
      <c r="A185" t="inlineStr">
        <is>
          <t>2026-2027</t>
        </is>
      </c>
      <c r="B185" s="14" t="inlineStr">
        <is>
          <t>Agnieszka FIHEL [P072]</t>
        </is>
      </c>
      <c r="C185" s="15">
        <f>IFERROR(MID($B185,FIND("[",$B185)+1,FIND("]",$B185)-FIND("[",$B185)-1),"")</f>
        <v/>
      </c>
      <c r="D185" s="15">
        <f>IFERROR(INDEX(Personnes!$B$5:$B$153,MATCH($C185,Personnes!$A$5:$A$153,0))&amp;"","")</f>
        <v/>
      </c>
      <c r="E185" s="15">
        <f>IFERROR(INDEX(Personnes!$C$5:$C$153,MATCH($C185,Personnes!$A$5:$A$153,0))&amp;"","")</f>
        <v/>
      </c>
      <c r="F185" s="14" t="inlineStr">
        <is>
          <t>DNF</t>
        </is>
      </c>
      <c r="G185" s="14" t="inlineStr">
        <is>
          <t>élève</t>
        </is>
      </c>
      <c r="H185" s="14" t="inlineStr">
        <is>
          <t>classeur</t>
        </is>
      </c>
      <c r="I185" s="16" t="n">
        <v>46272</v>
      </c>
      <c r="J185" s="16" t="n"/>
      <c r="K185" s="18" t="n"/>
      <c r="L185" s="18" t="n"/>
      <c r="M185" s="15">
        <f>IF($B185="","",IF($C185="","personne non reconnue",IF(ISERROR(SEARCH(TRIM($E185&amp;" "&amp;$D185),$B185)),"libellé incohérent avec l’identifiant",IF(COUNTIFS($A$5:$A$500,$A185,$C$5:$C$500,$C185,$F$5:$F$500,$F185,$G$5:$G$500,$G185)&gt;1,"doublon",IF($F185="","groupe manquant",IF($G185="","rôle manquant",IF($H185="","support de saisie manquant",IF(AND($I185&lt;&gt;"",$J185&lt;&gt;"",$J185&lt;$I185),"date de fin antérieure à la date de début",IF(AND($G185="encadrant",IFERROR(INDEX(Personnes!$F$5:$F$153,MATCH($C185,Personnes!$A$5:$A$153,0)),"")=""),"courriel encadrant manquant","ok")))))))))</f>
        <v/>
      </c>
    </row>
    <row r="186">
      <c r="A186" t="inlineStr">
        <is>
          <t>2026-2027</t>
        </is>
      </c>
      <c r="B186" s="14" t="inlineStr">
        <is>
          <t>Aude GUIBOURT [P073]</t>
        </is>
      </c>
      <c r="C186" s="15">
        <f>IFERROR(MID($B186,FIND("[",$B186)+1,FIND("]",$B186)-FIND("[",$B186)-1),"")</f>
        <v/>
      </c>
      <c r="D186" s="15">
        <f>IFERROR(INDEX(Personnes!$B$5:$B$153,MATCH($C186,Personnes!$A$5:$A$153,0))&amp;"","")</f>
        <v/>
      </c>
      <c r="E186" s="15">
        <f>IFERROR(INDEX(Personnes!$C$5:$C$153,MATCH($C186,Personnes!$A$5:$A$153,0))&amp;"","")</f>
        <v/>
      </c>
      <c r="F186" s="14" t="inlineStr">
        <is>
          <t>DNF</t>
        </is>
      </c>
      <c r="G186" s="14" t="inlineStr">
        <is>
          <t>élève</t>
        </is>
      </c>
      <c r="H186" s="14" t="inlineStr">
        <is>
          <t>classeur</t>
        </is>
      </c>
      <c r="I186" s="16" t="n">
        <v>46272</v>
      </c>
      <c r="J186" s="16" t="n"/>
      <c r="K186" s="18" t="n"/>
      <c r="L186" s="18" t="n"/>
      <c r="M186" s="15">
        <f>IF($B186="","",IF($C186="","personne non reconnue",IF(ISERROR(SEARCH(TRIM($E186&amp;" "&amp;$D186),$B186)),"libellé incohérent avec l’identifiant",IF(COUNTIFS($A$5:$A$500,$A186,$C$5:$C$500,$C186,$F$5:$F$500,$F186,$G$5:$G$500,$G186)&gt;1,"doublon",IF($F186="","groupe manquant",IF($G186="","rôle manquant",IF($H186="","support de saisie manquant",IF(AND($I186&lt;&gt;"",$J186&lt;&gt;"",$J186&lt;$I186),"date de fin antérieure à la date de début",IF(AND($G186="encadrant",IFERROR(INDEX(Personnes!$F$5:$F$153,MATCH($C186,Personnes!$A$5:$A$153,0)),"")=""),"courriel encadrant manquant","ok")))))))))</f>
        <v/>
      </c>
    </row>
    <row r="187">
      <c r="A187" t="inlineStr">
        <is>
          <t>2026-2027</t>
        </is>
      </c>
      <c r="B187" s="14" t="inlineStr">
        <is>
          <t>Serge HABERT [P074]</t>
        </is>
      </c>
      <c r="C187" s="15">
        <f>IFERROR(MID($B187,FIND("[",$B187)+1,FIND("]",$B187)-FIND("[",$B187)-1),"")</f>
        <v/>
      </c>
      <c r="D187" s="15">
        <f>IFERROR(INDEX(Personnes!$B$5:$B$153,MATCH($C187,Personnes!$A$5:$A$153,0))&amp;"","")</f>
        <v/>
      </c>
      <c r="E187" s="15">
        <f>IFERROR(INDEX(Personnes!$C$5:$C$153,MATCH($C187,Personnes!$A$5:$A$153,0))&amp;"","")</f>
        <v/>
      </c>
      <c r="F187" s="14" t="inlineStr">
        <is>
          <t>DNF</t>
        </is>
      </c>
      <c r="G187" s="14" t="inlineStr">
        <is>
          <t>élève</t>
        </is>
      </c>
      <c r="H187" s="14" t="inlineStr">
        <is>
          <t>classeur</t>
        </is>
      </c>
      <c r="I187" s="16" t="n">
        <v>46272</v>
      </c>
      <c r="J187" s="16" t="n"/>
      <c r="K187" s="18" t="n"/>
      <c r="L187" s="18" t="n"/>
      <c r="M187" s="15">
        <f>IF($B187="","",IF($C187="","personne non reconnue",IF(ISERROR(SEARCH(TRIM($E187&amp;" "&amp;$D187),$B187)),"libellé incohérent avec l’identifiant",IF(COUNTIFS($A$5:$A$500,$A187,$C$5:$C$500,$C187,$F$5:$F$500,$F187,$G$5:$G$500,$G187)&gt;1,"doublon",IF($F187="","groupe manquant",IF($G187="","rôle manquant",IF($H187="","support de saisie manquant",IF(AND($I187&lt;&gt;"",$J187&lt;&gt;"",$J187&lt;$I187),"date de fin antérieure à la date de début",IF(AND($G187="encadrant",IFERROR(INDEX(Personnes!$F$5:$F$153,MATCH($C187,Personnes!$A$5:$A$153,0)),"")=""),"courriel encadrant manquant","ok")))))))))</f>
        <v/>
      </c>
    </row>
    <row r="188">
      <c r="A188" t="inlineStr">
        <is>
          <t>2026-2027</t>
        </is>
      </c>
      <c r="B188" s="14" t="inlineStr">
        <is>
          <t>Marie MARCHIORI [P075]</t>
        </is>
      </c>
      <c r="C188" s="15">
        <f>IFERROR(MID($B188,FIND("[",$B188)+1,FIND("]",$B188)-FIND("[",$B188)-1),"")</f>
        <v/>
      </c>
      <c r="D188" s="15">
        <f>IFERROR(INDEX(Personnes!$B$5:$B$153,MATCH($C188,Personnes!$A$5:$A$153,0))&amp;"","")</f>
        <v/>
      </c>
      <c r="E188" s="15">
        <f>IFERROR(INDEX(Personnes!$C$5:$C$153,MATCH($C188,Personnes!$A$5:$A$153,0))&amp;"","")</f>
        <v/>
      </c>
      <c r="F188" s="14" t="inlineStr">
        <is>
          <t>DNF</t>
        </is>
      </c>
      <c r="G188" s="14" t="inlineStr">
        <is>
          <t>élève</t>
        </is>
      </c>
      <c r="H188" s="14" t="inlineStr">
        <is>
          <t>classeur</t>
        </is>
      </c>
      <c r="I188" s="16" t="n">
        <v>46272</v>
      </c>
      <c r="J188" s="16" t="n"/>
      <c r="K188" s="18" t="n"/>
      <c r="L188" s="18" t="n"/>
      <c r="M188" s="15">
        <f>IF($B188="","",IF($C188="","personne non reconnue",IF(ISERROR(SEARCH(TRIM($E188&amp;" "&amp;$D188),$B188)),"libellé incohérent avec l’identifiant",IF(COUNTIFS($A$5:$A$500,$A188,$C$5:$C$500,$C188,$F$5:$F$500,$F188,$G$5:$G$500,$G188)&gt;1,"doublon",IF($F188="","groupe manquant",IF($G188="","rôle manquant",IF($H188="","support de saisie manquant",IF(AND($I188&lt;&gt;"",$J188&lt;&gt;"",$J188&lt;$I188),"date de fin antérieure à la date de début",IF(AND($G188="encadrant",IFERROR(INDEX(Personnes!$F$5:$F$153,MATCH($C188,Personnes!$A$5:$A$153,0)),"")=""),"courriel encadrant manquant","ok")))))))))</f>
        <v/>
      </c>
    </row>
    <row r="189">
      <c r="A189" t="inlineStr">
        <is>
          <t>2026-2027</t>
        </is>
      </c>
      <c r="B189" s="14" t="inlineStr">
        <is>
          <t>Mary BAUTISTA [P076]</t>
        </is>
      </c>
      <c r="C189" s="15">
        <f>IFERROR(MID($B189,FIND("[",$B189)+1,FIND("]",$B189)-FIND("[",$B189)-1),"")</f>
        <v/>
      </c>
      <c r="D189" s="15">
        <f>IFERROR(INDEX(Personnes!$B$5:$B$153,MATCH($C189,Personnes!$A$5:$A$153,0))&amp;"","")</f>
        <v/>
      </c>
      <c r="E189" s="15">
        <f>IFERROR(INDEX(Personnes!$C$5:$C$153,MATCH($C189,Personnes!$A$5:$A$153,0))&amp;"","")</f>
        <v/>
      </c>
      <c r="F189" s="14" t="inlineStr">
        <is>
          <t>DNF</t>
        </is>
      </c>
      <c r="G189" s="14" t="inlineStr">
        <is>
          <t>élève</t>
        </is>
      </c>
      <c r="H189" s="14" t="inlineStr">
        <is>
          <t>classeur</t>
        </is>
      </c>
      <c r="I189" s="16" t="n">
        <v>46272</v>
      </c>
      <c r="J189" s="16" t="n"/>
      <c r="K189" s="18" t="n"/>
      <c r="L189" s="18" t="n"/>
      <c r="M189" s="15">
        <f>IF($B189="","",IF($C189="","personne non reconnue",IF(ISERROR(SEARCH(TRIM($E189&amp;" "&amp;$D189),$B189)),"libellé incohérent avec l’identifiant",IF(COUNTIFS($A$5:$A$500,$A189,$C$5:$C$500,$C189,$F$5:$F$500,$F189,$G$5:$G$500,$G189)&gt;1,"doublon",IF($F189="","groupe manquant",IF($G189="","rôle manquant",IF($H189="","support de saisie manquant",IF(AND($I189&lt;&gt;"",$J189&lt;&gt;"",$J189&lt;$I189),"date de fin antérieure à la date de début",IF(AND($G189="encadrant",IFERROR(INDEX(Personnes!$F$5:$F$153,MATCH($C189,Personnes!$A$5:$A$153,0)),"")=""),"courriel encadrant manquant","ok")))))))))</f>
        <v/>
      </c>
    </row>
    <row r="190">
      <c r="A190" t="inlineStr">
        <is>
          <t>2026-2027</t>
        </is>
      </c>
      <c r="B190" s="14" t="inlineStr">
        <is>
          <t>Marc BENDER [P077]</t>
        </is>
      </c>
      <c r="C190" s="15">
        <f>IFERROR(MID($B190,FIND("[",$B190)+1,FIND("]",$B190)-FIND("[",$B190)-1),"")</f>
        <v/>
      </c>
      <c r="D190" s="15">
        <f>IFERROR(INDEX(Personnes!$B$5:$B$153,MATCH($C190,Personnes!$A$5:$A$153,0))&amp;"","")</f>
        <v/>
      </c>
      <c r="E190" s="15">
        <f>IFERROR(INDEX(Personnes!$C$5:$C$153,MATCH($C190,Personnes!$A$5:$A$153,0))&amp;"","")</f>
        <v/>
      </c>
      <c r="F190" s="14" t="inlineStr">
        <is>
          <t>DNF</t>
        </is>
      </c>
      <c r="G190" s="14" t="inlineStr">
        <is>
          <t>élève</t>
        </is>
      </c>
      <c r="H190" s="14" t="inlineStr">
        <is>
          <t>classeur</t>
        </is>
      </c>
      <c r="I190" s="16" t="n">
        <v>46272</v>
      </c>
      <c r="J190" s="16" t="n"/>
      <c r="K190" s="18" t="n"/>
      <c r="L190" s="18" t="n"/>
      <c r="M190" s="15">
        <f>IF($B190="","",IF($C190="","personne non reconnue",IF(ISERROR(SEARCH(TRIM($E190&amp;" "&amp;$D190),$B190)),"libellé incohérent avec l’identifiant",IF(COUNTIFS($A$5:$A$500,$A190,$C$5:$C$500,$C190,$F$5:$F$500,$F190,$G$5:$G$500,$G190)&gt;1,"doublon",IF($F190="","groupe manquant",IF($G190="","rôle manquant",IF($H190="","support de saisie manquant",IF(AND($I190&lt;&gt;"",$J190&lt;&gt;"",$J190&lt;$I190),"date de fin antérieure à la date de début",IF(AND($G190="encadrant",IFERROR(INDEX(Personnes!$F$5:$F$153,MATCH($C190,Personnes!$A$5:$A$153,0)),"")=""),"courriel encadrant manquant","ok")))))))))</f>
        <v/>
      </c>
    </row>
    <row r="191">
      <c r="A191" t="inlineStr">
        <is>
          <t>2026-2027</t>
        </is>
      </c>
      <c r="B191" s="14" t="inlineStr">
        <is>
          <t>Patrick BEZICOT [P078]</t>
        </is>
      </c>
      <c r="C191" s="15">
        <f>IFERROR(MID($B191,FIND("[",$B191)+1,FIND("]",$B191)-FIND("[",$B191)-1),"")</f>
        <v/>
      </c>
      <c r="D191" s="15">
        <f>IFERROR(INDEX(Personnes!$B$5:$B$153,MATCH($C191,Personnes!$A$5:$A$153,0))&amp;"","")</f>
        <v/>
      </c>
      <c r="E191" s="15">
        <f>IFERROR(INDEX(Personnes!$C$5:$C$153,MATCH($C191,Personnes!$A$5:$A$153,0))&amp;"","")</f>
        <v/>
      </c>
      <c r="F191" s="14" t="inlineStr">
        <is>
          <t>DNF</t>
        </is>
      </c>
      <c r="G191" s="14" t="inlineStr">
        <is>
          <t>élève</t>
        </is>
      </c>
      <c r="H191" s="14" t="inlineStr">
        <is>
          <t>classeur</t>
        </is>
      </c>
      <c r="I191" s="16" t="n">
        <v>46272</v>
      </c>
      <c r="J191" s="16" t="n"/>
      <c r="K191" s="18" t="n"/>
      <c r="L191" s="18" t="n"/>
      <c r="M191" s="15">
        <f>IF($B191="","",IF($C191="","personne non reconnue",IF(ISERROR(SEARCH(TRIM($E191&amp;" "&amp;$D191),$B191)),"libellé incohérent avec l’identifiant",IF(COUNTIFS($A$5:$A$500,$A191,$C$5:$C$500,$C191,$F$5:$F$500,$F191,$G$5:$G$500,$G191)&gt;1,"doublon",IF($F191="","groupe manquant",IF($G191="","rôle manquant",IF($H191="","support de saisie manquant",IF(AND($I191&lt;&gt;"",$J191&lt;&gt;"",$J191&lt;$I191),"date de fin antérieure à la date de début",IF(AND($G191="encadrant",IFERROR(INDEX(Personnes!$F$5:$F$153,MATCH($C191,Personnes!$A$5:$A$153,0)),"")=""),"courriel encadrant manquant","ok")))))))))</f>
        <v/>
      </c>
    </row>
    <row r="192">
      <c r="A192" t="inlineStr">
        <is>
          <t>2026-2027</t>
        </is>
      </c>
      <c r="B192" s="14" t="inlineStr">
        <is>
          <t>Christophe BIZON [P079]</t>
        </is>
      </c>
      <c r="C192" s="15">
        <f>IFERROR(MID($B192,FIND("[",$B192)+1,FIND("]",$B192)-FIND("[",$B192)-1),"")</f>
        <v/>
      </c>
      <c r="D192" s="15">
        <f>IFERROR(INDEX(Personnes!$B$5:$B$153,MATCH($C192,Personnes!$A$5:$A$153,0))&amp;"","")</f>
        <v/>
      </c>
      <c r="E192" s="15">
        <f>IFERROR(INDEX(Personnes!$C$5:$C$153,MATCH($C192,Personnes!$A$5:$A$153,0))&amp;"","")</f>
        <v/>
      </c>
      <c r="F192" s="14" t="inlineStr">
        <is>
          <t>DNF</t>
        </is>
      </c>
      <c r="G192" s="14" t="inlineStr">
        <is>
          <t>élève</t>
        </is>
      </c>
      <c r="H192" s="14" t="inlineStr">
        <is>
          <t>classeur</t>
        </is>
      </c>
      <c r="I192" s="16" t="n">
        <v>46272</v>
      </c>
      <c r="J192" s="16" t="n"/>
      <c r="K192" s="18" t="n"/>
      <c r="L192" s="18" t="n"/>
      <c r="M192" s="15">
        <f>IF($B192="","",IF($C192="","personne non reconnue",IF(ISERROR(SEARCH(TRIM($E192&amp;" "&amp;$D192),$B192)),"libellé incohérent avec l’identifiant",IF(COUNTIFS($A$5:$A$500,$A192,$C$5:$C$500,$C192,$F$5:$F$500,$F192,$G$5:$G$500,$G192)&gt;1,"doublon",IF($F192="","groupe manquant",IF($G192="","rôle manquant",IF($H192="","support de saisie manquant",IF(AND($I192&lt;&gt;"",$J192&lt;&gt;"",$J192&lt;$I192),"date de fin antérieure à la date de début",IF(AND($G192="encadrant",IFERROR(INDEX(Personnes!$F$5:$F$153,MATCH($C192,Personnes!$A$5:$A$153,0)),"")=""),"courriel encadrant manquant","ok")))))))))</f>
        <v/>
      </c>
    </row>
    <row r="193">
      <c r="A193" t="inlineStr">
        <is>
          <t>2026-2027</t>
        </is>
      </c>
      <c r="B193" s="14" t="inlineStr">
        <is>
          <t>Beverly BRIAULT [P080]</t>
        </is>
      </c>
      <c r="C193" s="15">
        <f>IFERROR(MID($B193,FIND("[",$B193)+1,FIND("]",$B193)-FIND("[",$B193)-1),"")</f>
        <v/>
      </c>
      <c r="D193" s="15">
        <f>IFERROR(INDEX(Personnes!$B$5:$B$153,MATCH($C193,Personnes!$A$5:$A$153,0))&amp;"","")</f>
        <v/>
      </c>
      <c r="E193" s="15">
        <f>IFERROR(INDEX(Personnes!$C$5:$C$153,MATCH($C193,Personnes!$A$5:$A$153,0))&amp;"","")</f>
        <v/>
      </c>
      <c r="F193" s="14" t="inlineStr">
        <is>
          <t>DNF</t>
        </is>
      </c>
      <c r="G193" s="14" t="inlineStr">
        <is>
          <t>élève</t>
        </is>
      </c>
      <c r="H193" s="14" t="inlineStr">
        <is>
          <t>classeur</t>
        </is>
      </c>
      <c r="I193" s="16" t="n">
        <v>46272</v>
      </c>
      <c r="J193" s="16" t="n"/>
      <c r="K193" s="18" t="n"/>
      <c r="L193" s="18" t="n"/>
      <c r="M193" s="15">
        <f>IF($B193="","",IF($C193="","personne non reconnue",IF(ISERROR(SEARCH(TRIM($E193&amp;" "&amp;$D193),$B193)),"libellé incohérent avec l’identifiant",IF(COUNTIFS($A$5:$A$500,$A193,$C$5:$C$500,$C193,$F$5:$F$500,$F193,$G$5:$G$500,$G193)&gt;1,"doublon",IF($F193="","groupe manquant",IF($G193="","rôle manquant",IF($H193="","support de saisie manquant",IF(AND($I193&lt;&gt;"",$J193&lt;&gt;"",$J193&lt;$I193),"date de fin antérieure à la date de début",IF(AND($G193="encadrant",IFERROR(INDEX(Personnes!$F$5:$F$153,MATCH($C193,Personnes!$A$5:$A$153,0)),"")=""),"courriel encadrant manquant","ok")))))))))</f>
        <v/>
      </c>
    </row>
    <row r="194">
      <c r="A194" t="inlineStr">
        <is>
          <t>2026-2027</t>
        </is>
      </c>
      <c r="B194" s="14" t="inlineStr">
        <is>
          <t>Virginie CATHALA [P081]</t>
        </is>
      </c>
      <c r="C194" s="15">
        <f>IFERROR(MID($B194,FIND("[",$B194)+1,FIND("]",$B194)-FIND("[",$B194)-1),"")</f>
        <v/>
      </c>
      <c r="D194" s="15">
        <f>IFERROR(INDEX(Personnes!$B$5:$B$153,MATCH($C194,Personnes!$A$5:$A$153,0))&amp;"","")</f>
        <v/>
      </c>
      <c r="E194" s="15">
        <f>IFERROR(INDEX(Personnes!$C$5:$C$153,MATCH($C194,Personnes!$A$5:$A$153,0))&amp;"","")</f>
        <v/>
      </c>
      <c r="F194" s="14" t="inlineStr">
        <is>
          <t>DNF</t>
        </is>
      </c>
      <c r="G194" s="14" t="inlineStr">
        <is>
          <t>élève</t>
        </is>
      </c>
      <c r="H194" s="14" t="inlineStr">
        <is>
          <t>classeur</t>
        </is>
      </c>
      <c r="I194" s="16" t="n">
        <v>46272</v>
      </c>
      <c r="J194" s="16" t="n"/>
      <c r="K194" s="18" t="n"/>
      <c r="L194" s="18" t="n"/>
      <c r="M194" s="15">
        <f>IF($B194="","",IF($C194="","personne non reconnue",IF(ISERROR(SEARCH(TRIM($E194&amp;" "&amp;$D194),$B194)),"libellé incohérent avec l’identifiant",IF(COUNTIFS($A$5:$A$500,$A194,$C$5:$C$500,$C194,$F$5:$F$500,$F194,$G$5:$G$500,$G194)&gt;1,"doublon",IF($F194="","groupe manquant",IF($G194="","rôle manquant",IF($H194="","support de saisie manquant",IF(AND($I194&lt;&gt;"",$J194&lt;&gt;"",$J194&lt;$I194),"date de fin antérieure à la date de début",IF(AND($G194="encadrant",IFERROR(INDEX(Personnes!$F$5:$F$153,MATCH($C194,Personnes!$A$5:$A$153,0)),"")=""),"courriel encadrant manquant","ok")))))))))</f>
        <v/>
      </c>
    </row>
    <row r="195">
      <c r="A195" t="inlineStr">
        <is>
          <t>2026-2027</t>
        </is>
      </c>
      <c r="B195" s="14" t="inlineStr">
        <is>
          <t>Franco CODAZZO [P082]</t>
        </is>
      </c>
      <c r="C195" s="15">
        <f>IFERROR(MID($B195,FIND("[",$B195)+1,FIND("]",$B195)-FIND("[",$B195)-1),"")</f>
        <v/>
      </c>
      <c r="D195" s="15">
        <f>IFERROR(INDEX(Personnes!$B$5:$B$153,MATCH($C195,Personnes!$A$5:$A$153,0))&amp;"","")</f>
        <v/>
      </c>
      <c r="E195" s="15">
        <f>IFERROR(INDEX(Personnes!$C$5:$C$153,MATCH($C195,Personnes!$A$5:$A$153,0))&amp;"","")</f>
        <v/>
      </c>
      <c r="F195" s="14" t="inlineStr">
        <is>
          <t>DNF</t>
        </is>
      </c>
      <c r="G195" s="14" t="inlineStr">
        <is>
          <t>élève</t>
        </is>
      </c>
      <c r="H195" s="14" t="inlineStr">
        <is>
          <t>classeur</t>
        </is>
      </c>
      <c r="I195" s="16" t="n">
        <v>46272</v>
      </c>
      <c r="J195" s="16" t="n"/>
      <c r="K195" s="18" t="n"/>
      <c r="L195" s="18" t="n"/>
      <c r="M195" s="15">
        <f>IF($B195="","",IF($C195="","personne non reconnue",IF(ISERROR(SEARCH(TRIM($E195&amp;" "&amp;$D195),$B195)),"libellé incohérent avec l’identifiant",IF(COUNTIFS($A$5:$A$500,$A195,$C$5:$C$500,$C195,$F$5:$F$500,$F195,$G$5:$G$500,$G195)&gt;1,"doublon",IF($F195="","groupe manquant",IF($G195="","rôle manquant",IF($H195="","support de saisie manquant",IF(AND($I195&lt;&gt;"",$J195&lt;&gt;"",$J195&lt;$I195),"date de fin antérieure à la date de début",IF(AND($G195="encadrant",IFERROR(INDEX(Personnes!$F$5:$F$153,MATCH($C195,Personnes!$A$5:$A$153,0)),"")=""),"courriel encadrant manquant","ok")))))))))</f>
        <v/>
      </c>
    </row>
    <row r="196">
      <c r="A196" t="inlineStr">
        <is>
          <t>2026-2027</t>
        </is>
      </c>
      <c r="B196" s="14" t="inlineStr">
        <is>
          <t>Sandra CORNET-VERNET [P083]</t>
        </is>
      </c>
      <c r="C196" s="15">
        <f>IFERROR(MID($B196,FIND("[",$B196)+1,FIND("]",$B196)-FIND("[",$B196)-1),"")</f>
        <v/>
      </c>
      <c r="D196" s="15">
        <f>IFERROR(INDEX(Personnes!$B$5:$B$153,MATCH($C196,Personnes!$A$5:$A$153,0))&amp;"","")</f>
        <v/>
      </c>
      <c r="E196" s="15">
        <f>IFERROR(INDEX(Personnes!$C$5:$C$153,MATCH($C196,Personnes!$A$5:$A$153,0))&amp;"","")</f>
        <v/>
      </c>
      <c r="F196" s="14" t="inlineStr">
        <is>
          <t>DNF</t>
        </is>
      </c>
      <c r="G196" s="14" t="inlineStr">
        <is>
          <t>élève</t>
        </is>
      </c>
      <c r="H196" s="14" t="inlineStr">
        <is>
          <t>classeur</t>
        </is>
      </c>
      <c r="I196" s="16" t="n">
        <v>46272</v>
      </c>
      <c r="J196" s="16" t="n"/>
      <c r="K196" s="18" t="n"/>
      <c r="L196" s="18" t="n"/>
      <c r="M196" s="15">
        <f>IF($B196="","",IF($C196="","personne non reconnue",IF(ISERROR(SEARCH(TRIM($E196&amp;" "&amp;$D196),$B196)),"libellé incohérent avec l’identifiant",IF(COUNTIFS($A$5:$A$500,$A196,$C$5:$C$500,$C196,$F$5:$F$500,$F196,$G$5:$G$500,$G196)&gt;1,"doublon",IF($F196="","groupe manquant",IF($G196="","rôle manquant",IF($H196="","support de saisie manquant",IF(AND($I196&lt;&gt;"",$J196&lt;&gt;"",$J196&lt;$I196),"date de fin antérieure à la date de début",IF(AND($G196="encadrant",IFERROR(INDEX(Personnes!$F$5:$F$153,MATCH($C196,Personnes!$A$5:$A$153,0)),"")=""),"courriel encadrant manquant","ok")))))))))</f>
        <v/>
      </c>
    </row>
    <row r="197">
      <c r="A197" t="inlineStr">
        <is>
          <t>2026-2027</t>
        </is>
      </c>
      <c r="B197" s="14" t="inlineStr">
        <is>
          <t>Monia COSSAIS [P084]</t>
        </is>
      </c>
      <c r="C197" s="15">
        <f>IFERROR(MID($B197,FIND("[",$B197)+1,FIND("]",$B197)-FIND("[",$B197)-1),"")</f>
        <v/>
      </c>
      <c r="D197" s="15">
        <f>IFERROR(INDEX(Personnes!$B$5:$B$153,MATCH($C197,Personnes!$A$5:$A$153,0))&amp;"","")</f>
        <v/>
      </c>
      <c r="E197" s="15">
        <f>IFERROR(INDEX(Personnes!$C$5:$C$153,MATCH($C197,Personnes!$A$5:$A$153,0))&amp;"","")</f>
        <v/>
      </c>
      <c r="F197" s="14" t="inlineStr">
        <is>
          <t>DNF</t>
        </is>
      </c>
      <c r="G197" s="14" t="inlineStr">
        <is>
          <t>élève</t>
        </is>
      </c>
      <c r="H197" s="14" t="inlineStr">
        <is>
          <t>classeur</t>
        </is>
      </c>
      <c r="I197" s="16" t="n">
        <v>46272</v>
      </c>
      <c r="J197" s="16" t="n"/>
      <c r="K197" s="18" t="n"/>
      <c r="L197" s="18" t="n"/>
      <c r="M197" s="15">
        <f>IF($B197="","",IF($C197="","personne non reconnue",IF(ISERROR(SEARCH(TRIM($E197&amp;" "&amp;$D197),$B197)),"libellé incohérent avec l’identifiant",IF(COUNTIFS($A$5:$A$500,$A197,$C$5:$C$500,$C197,$F$5:$F$500,$F197,$G$5:$G$500,$G197)&gt;1,"doublon",IF($F197="","groupe manquant",IF($G197="","rôle manquant",IF($H197="","support de saisie manquant",IF(AND($I197&lt;&gt;"",$J197&lt;&gt;"",$J197&lt;$I197),"date de fin antérieure à la date de début",IF(AND($G197="encadrant",IFERROR(INDEX(Personnes!$F$5:$F$153,MATCH($C197,Personnes!$A$5:$A$153,0)),"")=""),"courriel encadrant manquant","ok")))))))))</f>
        <v/>
      </c>
    </row>
    <row r="198">
      <c r="A198" t="inlineStr">
        <is>
          <t>2026-2027</t>
        </is>
      </c>
      <c r="B198" s="14" t="inlineStr">
        <is>
          <t>Arnaud DE LA BRETESCHE [P085]</t>
        </is>
      </c>
      <c r="C198" s="15">
        <f>IFERROR(MID($B198,FIND("[",$B198)+1,FIND("]",$B198)-FIND("[",$B198)-1),"")</f>
        <v/>
      </c>
      <c r="D198" s="15">
        <f>IFERROR(INDEX(Personnes!$B$5:$B$153,MATCH($C198,Personnes!$A$5:$A$153,0))&amp;"","")</f>
        <v/>
      </c>
      <c r="E198" s="15">
        <f>IFERROR(INDEX(Personnes!$C$5:$C$153,MATCH($C198,Personnes!$A$5:$A$153,0))&amp;"","")</f>
        <v/>
      </c>
      <c r="F198" s="14" t="inlineStr">
        <is>
          <t>DNF</t>
        </is>
      </c>
      <c r="G198" s="14" t="inlineStr">
        <is>
          <t>élève</t>
        </is>
      </c>
      <c r="H198" s="14" t="inlineStr">
        <is>
          <t>classeur</t>
        </is>
      </c>
      <c r="I198" s="16" t="n">
        <v>46272</v>
      </c>
      <c r="J198" s="16" t="n"/>
      <c r="K198" s="18" t="n"/>
      <c r="L198" s="18" t="n"/>
      <c r="M198" s="15">
        <f>IF($B198="","",IF($C198="","personne non reconnue",IF(ISERROR(SEARCH(TRIM($E198&amp;" "&amp;$D198),$B198)),"libellé incohérent avec l’identifiant",IF(COUNTIFS($A$5:$A$500,$A198,$C$5:$C$500,$C198,$F$5:$F$500,$F198,$G$5:$G$500,$G198)&gt;1,"doublon",IF($F198="","groupe manquant",IF($G198="","rôle manquant",IF($H198="","support de saisie manquant",IF(AND($I198&lt;&gt;"",$J198&lt;&gt;"",$J198&lt;$I198),"date de fin antérieure à la date de début",IF(AND($G198="encadrant",IFERROR(INDEX(Personnes!$F$5:$F$153,MATCH($C198,Personnes!$A$5:$A$153,0)),"")=""),"courriel encadrant manquant","ok")))))))))</f>
        <v/>
      </c>
    </row>
    <row r="199">
      <c r="A199" t="inlineStr">
        <is>
          <t>2026-2027</t>
        </is>
      </c>
      <c r="B199" s="14" t="inlineStr">
        <is>
          <t>Alain DEPRETZ [P086]</t>
        </is>
      </c>
      <c r="C199" s="15">
        <f>IFERROR(MID($B199,FIND("[",$B199)+1,FIND("]",$B199)-FIND("[",$B199)-1),"")</f>
        <v/>
      </c>
      <c r="D199" s="15">
        <f>IFERROR(INDEX(Personnes!$B$5:$B$153,MATCH($C199,Personnes!$A$5:$A$153,0))&amp;"","")</f>
        <v/>
      </c>
      <c r="E199" s="15">
        <f>IFERROR(INDEX(Personnes!$C$5:$C$153,MATCH($C199,Personnes!$A$5:$A$153,0))&amp;"","")</f>
        <v/>
      </c>
      <c r="F199" s="14" t="inlineStr">
        <is>
          <t>DNF</t>
        </is>
      </c>
      <c r="G199" s="14" t="inlineStr">
        <is>
          <t>élève</t>
        </is>
      </c>
      <c r="H199" s="14" t="inlineStr">
        <is>
          <t>classeur</t>
        </is>
      </c>
      <c r="I199" s="16" t="n">
        <v>46272</v>
      </c>
      <c r="J199" s="16" t="n"/>
      <c r="K199" s="18" t="n"/>
      <c r="L199" s="18" t="n"/>
      <c r="M199" s="15">
        <f>IF($B199="","",IF($C199="","personne non reconnue",IF(ISERROR(SEARCH(TRIM($E199&amp;" "&amp;$D199),$B199)),"libellé incohérent avec l’identifiant",IF(COUNTIFS($A$5:$A$500,$A199,$C$5:$C$500,$C199,$F$5:$F$500,$F199,$G$5:$G$500,$G199)&gt;1,"doublon",IF($F199="","groupe manquant",IF($G199="","rôle manquant",IF($H199="","support de saisie manquant",IF(AND($I199&lt;&gt;"",$J199&lt;&gt;"",$J199&lt;$I199),"date de fin antérieure à la date de début",IF(AND($G199="encadrant",IFERROR(INDEX(Personnes!$F$5:$F$153,MATCH($C199,Personnes!$A$5:$A$153,0)),"")=""),"courriel encadrant manquant","ok")))))))))</f>
        <v/>
      </c>
    </row>
    <row r="200">
      <c r="A200" t="inlineStr">
        <is>
          <t>2026-2027</t>
        </is>
      </c>
      <c r="B200" s="14" t="inlineStr">
        <is>
          <t>Céline DUBUISSON [P087]</t>
        </is>
      </c>
      <c r="C200" s="15">
        <f>IFERROR(MID($B200,FIND("[",$B200)+1,FIND("]",$B200)-FIND("[",$B200)-1),"")</f>
        <v/>
      </c>
      <c r="D200" s="15">
        <f>IFERROR(INDEX(Personnes!$B$5:$B$153,MATCH($C200,Personnes!$A$5:$A$153,0))&amp;"","")</f>
        <v/>
      </c>
      <c r="E200" s="15">
        <f>IFERROR(INDEX(Personnes!$C$5:$C$153,MATCH($C200,Personnes!$A$5:$A$153,0))&amp;"","")</f>
        <v/>
      </c>
      <c r="F200" s="14" t="inlineStr">
        <is>
          <t>DNF</t>
        </is>
      </c>
      <c r="G200" s="14" t="inlineStr">
        <is>
          <t>élève</t>
        </is>
      </c>
      <c r="H200" s="14" t="inlineStr">
        <is>
          <t>classeur</t>
        </is>
      </c>
      <c r="I200" s="16" t="n">
        <v>46272</v>
      </c>
      <c r="J200" s="16" t="n"/>
      <c r="K200" s="18" t="n"/>
      <c r="L200" s="18" t="n"/>
      <c r="M200" s="15">
        <f>IF($B200="","",IF($C200="","personne non reconnue",IF(ISERROR(SEARCH(TRIM($E200&amp;" "&amp;$D200),$B200)),"libellé incohérent avec l’identifiant",IF(COUNTIFS($A$5:$A$500,$A200,$C$5:$C$500,$C200,$F$5:$F$500,$F200,$G$5:$G$500,$G200)&gt;1,"doublon",IF($F200="","groupe manquant",IF($G200="","rôle manquant",IF($H200="","support de saisie manquant",IF(AND($I200&lt;&gt;"",$J200&lt;&gt;"",$J200&lt;$I200),"date de fin antérieure à la date de début",IF(AND($G200="encadrant",IFERROR(INDEX(Personnes!$F$5:$F$153,MATCH($C200,Personnes!$A$5:$A$153,0)),"")=""),"courriel encadrant manquant","ok")))))))))</f>
        <v/>
      </c>
    </row>
    <row r="201">
      <c r="A201" t="inlineStr">
        <is>
          <t>2026-2027</t>
        </is>
      </c>
      <c r="B201" s="14" t="inlineStr">
        <is>
          <t>Alain FIOR [P088]</t>
        </is>
      </c>
      <c r="C201" s="15">
        <f>IFERROR(MID($B201,FIND("[",$B201)+1,FIND("]",$B201)-FIND("[",$B201)-1),"")</f>
        <v/>
      </c>
      <c r="D201" s="15">
        <f>IFERROR(INDEX(Personnes!$B$5:$B$153,MATCH($C201,Personnes!$A$5:$A$153,0))&amp;"","")</f>
        <v/>
      </c>
      <c r="E201" s="15">
        <f>IFERROR(INDEX(Personnes!$C$5:$C$153,MATCH($C201,Personnes!$A$5:$A$153,0))&amp;"","")</f>
        <v/>
      </c>
      <c r="F201" s="14" t="inlineStr">
        <is>
          <t>DNF</t>
        </is>
      </c>
      <c r="G201" s="14" t="inlineStr">
        <is>
          <t>élève</t>
        </is>
      </c>
      <c r="H201" s="14" t="inlineStr">
        <is>
          <t>classeur</t>
        </is>
      </c>
      <c r="I201" s="16" t="n">
        <v>46272</v>
      </c>
      <c r="J201" s="16" t="n"/>
      <c r="K201" s="18" t="n"/>
      <c r="L201" s="18" t="n"/>
      <c r="M201" s="15">
        <f>IF($B201="","",IF($C201="","personne non reconnue",IF(ISERROR(SEARCH(TRIM($E201&amp;" "&amp;$D201),$B201)),"libellé incohérent avec l’identifiant",IF(COUNTIFS($A$5:$A$500,$A201,$C$5:$C$500,$C201,$F$5:$F$500,$F201,$G$5:$G$500,$G201)&gt;1,"doublon",IF($F201="","groupe manquant",IF($G201="","rôle manquant",IF($H201="","support de saisie manquant",IF(AND($I201&lt;&gt;"",$J201&lt;&gt;"",$J201&lt;$I201),"date de fin antérieure à la date de début",IF(AND($G201="encadrant",IFERROR(INDEX(Personnes!$F$5:$F$153,MATCH($C201,Personnes!$A$5:$A$153,0)),"")=""),"courriel encadrant manquant","ok")))))))))</f>
        <v/>
      </c>
    </row>
    <row r="202">
      <c r="A202" t="inlineStr">
        <is>
          <t>2026-2027</t>
        </is>
      </c>
      <c r="B202" s="14" t="inlineStr">
        <is>
          <t>Laurent GARCIA [P089]</t>
        </is>
      </c>
      <c r="C202" s="15">
        <f>IFERROR(MID($B202,FIND("[",$B202)+1,FIND("]",$B202)-FIND("[",$B202)-1),"")</f>
        <v/>
      </c>
      <c r="D202" s="15">
        <f>IFERROR(INDEX(Personnes!$B$5:$B$153,MATCH($C202,Personnes!$A$5:$A$153,0))&amp;"","")</f>
        <v/>
      </c>
      <c r="E202" s="15">
        <f>IFERROR(INDEX(Personnes!$C$5:$C$153,MATCH($C202,Personnes!$A$5:$A$153,0))&amp;"","")</f>
        <v/>
      </c>
      <c r="F202" s="14" t="inlineStr">
        <is>
          <t>DNF</t>
        </is>
      </c>
      <c r="G202" s="14" t="inlineStr">
        <is>
          <t>élève</t>
        </is>
      </c>
      <c r="H202" s="14" t="inlineStr">
        <is>
          <t>classeur</t>
        </is>
      </c>
      <c r="I202" s="16" t="n">
        <v>46272</v>
      </c>
      <c r="J202" s="16" t="n"/>
      <c r="K202" s="18" t="n"/>
      <c r="L202" s="18" t="n"/>
      <c r="M202" s="15">
        <f>IF($B202="","",IF($C202="","personne non reconnue",IF(ISERROR(SEARCH(TRIM($E202&amp;" "&amp;$D202),$B202)),"libellé incohérent avec l’identifiant",IF(COUNTIFS($A$5:$A$500,$A202,$C$5:$C$500,$C202,$F$5:$F$500,$F202,$G$5:$G$500,$G202)&gt;1,"doublon",IF($F202="","groupe manquant",IF($G202="","rôle manquant",IF($H202="","support de saisie manquant",IF(AND($I202&lt;&gt;"",$J202&lt;&gt;"",$J202&lt;$I202),"date de fin antérieure à la date de début",IF(AND($G202="encadrant",IFERROR(INDEX(Personnes!$F$5:$F$153,MATCH($C202,Personnes!$A$5:$A$153,0)),"")=""),"courriel encadrant manquant","ok")))))))))</f>
        <v/>
      </c>
    </row>
    <row r="203">
      <c r="A203" t="inlineStr">
        <is>
          <t>2026-2027</t>
        </is>
      </c>
      <c r="B203" s="14" t="inlineStr">
        <is>
          <t>Sylvie HERMANS [P090]</t>
        </is>
      </c>
      <c r="C203" s="15">
        <f>IFERROR(MID($B203,FIND("[",$B203)+1,FIND("]",$B203)-FIND("[",$B203)-1),"")</f>
        <v/>
      </c>
      <c r="D203" s="15">
        <f>IFERROR(INDEX(Personnes!$B$5:$B$153,MATCH($C203,Personnes!$A$5:$A$153,0))&amp;"","")</f>
        <v/>
      </c>
      <c r="E203" s="15">
        <f>IFERROR(INDEX(Personnes!$C$5:$C$153,MATCH($C203,Personnes!$A$5:$A$153,0))&amp;"","")</f>
        <v/>
      </c>
      <c r="F203" s="14" t="inlineStr">
        <is>
          <t>DNF</t>
        </is>
      </c>
      <c r="G203" s="14" t="inlineStr">
        <is>
          <t>élève</t>
        </is>
      </c>
      <c r="H203" s="14" t="inlineStr">
        <is>
          <t>classeur</t>
        </is>
      </c>
      <c r="I203" s="16" t="n">
        <v>46272</v>
      </c>
      <c r="J203" s="16" t="n"/>
      <c r="K203" s="18" t="n"/>
      <c r="L203" s="18" t="n"/>
      <c r="M203" s="15">
        <f>IF($B203="","",IF($C203="","personne non reconnue",IF(ISERROR(SEARCH(TRIM($E203&amp;" "&amp;$D203),$B203)),"libellé incohérent avec l’identifiant",IF(COUNTIFS($A$5:$A$500,$A203,$C$5:$C$500,$C203,$F$5:$F$500,$F203,$G$5:$G$500,$G203)&gt;1,"doublon",IF($F203="","groupe manquant",IF($G203="","rôle manquant",IF($H203="","support de saisie manquant",IF(AND($I203&lt;&gt;"",$J203&lt;&gt;"",$J203&lt;$I203),"date de fin antérieure à la date de début",IF(AND($G203="encadrant",IFERROR(INDEX(Personnes!$F$5:$F$153,MATCH($C203,Personnes!$A$5:$A$153,0)),"")=""),"courriel encadrant manquant","ok")))))))))</f>
        <v/>
      </c>
    </row>
    <row r="204">
      <c r="A204" t="inlineStr">
        <is>
          <t>2026-2027</t>
        </is>
      </c>
      <c r="B204" s="14" t="inlineStr">
        <is>
          <t>Kévin MASGRAU [P091]</t>
        </is>
      </c>
      <c r="C204" s="15">
        <f>IFERROR(MID($B204,FIND("[",$B204)+1,FIND("]",$B204)-FIND("[",$B204)-1),"")</f>
        <v/>
      </c>
      <c r="D204" s="15">
        <f>IFERROR(INDEX(Personnes!$B$5:$B$153,MATCH($C204,Personnes!$A$5:$A$153,0))&amp;"","")</f>
        <v/>
      </c>
      <c r="E204" s="15">
        <f>IFERROR(INDEX(Personnes!$C$5:$C$153,MATCH($C204,Personnes!$A$5:$A$153,0))&amp;"","")</f>
        <v/>
      </c>
      <c r="F204" s="14" t="inlineStr">
        <is>
          <t>DNF</t>
        </is>
      </c>
      <c r="G204" s="14" t="inlineStr">
        <is>
          <t>élève</t>
        </is>
      </c>
      <c r="H204" s="14" t="inlineStr">
        <is>
          <t>classeur</t>
        </is>
      </c>
      <c r="I204" s="16" t="n">
        <v>46272</v>
      </c>
      <c r="J204" s="16" t="n"/>
      <c r="K204" s="18" t="n"/>
      <c r="L204" s="18" t="n"/>
      <c r="M204" s="15">
        <f>IF($B204="","",IF($C204="","personne non reconnue",IF(ISERROR(SEARCH(TRIM($E204&amp;" "&amp;$D204),$B204)),"libellé incohérent avec l’identifiant",IF(COUNTIFS($A$5:$A$500,$A204,$C$5:$C$500,$C204,$F$5:$F$500,$F204,$G$5:$G$500,$G204)&gt;1,"doublon",IF($F204="","groupe manquant",IF($G204="","rôle manquant",IF($H204="","support de saisie manquant",IF(AND($I204&lt;&gt;"",$J204&lt;&gt;"",$J204&lt;$I204),"date de fin antérieure à la date de début",IF(AND($G204="encadrant",IFERROR(INDEX(Personnes!$F$5:$F$153,MATCH($C204,Personnes!$A$5:$A$153,0)),"")=""),"courriel encadrant manquant","ok")))))))))</f>
        <v/>
      </c>
    </row>
    <row r="205">
      <c r="A205" t="inlineStr">
        <is>
          <t>2026-2027</t>
        </is>
      </c>
      <c r="B205" s="14" t="inlineStr">
        <is>
          <t>Isabelle NIGEN [P092]</t>
        </is>
      </c>
      <c r="C205" s="15">
        <f>IFERROR(MID($B205,FIND("[",$B205)+1,FIND("]",$B205)-FIND("[",$B205)-1),"")</f>
        <v/>
      </c>
      <c r="D205" s="15">
        <f>IFERROR(INDEX(Personnes!$B$5:$B$153,MATCH($C205,Personnes!$A$5:$A$153,0))&amp;"","")</f>
        <v/>
      </c>
      <c r="E205" s="15">
        <f>IFERROR(INDEX(Personnes!$C$5:$C$153,MATCH($C205,Personnes!$A$5:$A$153,0))&amp;"","")</f>
        <v/>
      </c>
      <c r="F205" s="14" t="inlineStr">
        <is>
          <t>DNF</t>
        </is>
      </c>
      <c r="G205" s="14" t="inlineStr">
        <is>
          <t>élève</t>
        </is>
      </c>
      <c r="H205" s="14" t="inlineStr">
        <is>
          <t>classeur</t>
        </is>
      </c>
      <c r="I205" s="16" t="n">
        <v>46272</v>
      </c>
      <c r="J205" s="16" t="n"/>
      <c r="K205" s="18" t="n"/>
      <c r="L205" s="18" t="n"/>
      <c r="M205" s="15">
        <f>IF($B205="","",IF($C205="","personne non reconnue",IF(ISERROR(SEARCH(TRIM($E205&amp;" "&amp;$D205),$B205)),"libellé incohérent avec l’identifiant",IF(COUNTIFS($A$5:$A$500,$A205,$C$5:$C$500,$C205,$F$5:$F$500,$F205,$G$5:$G$500,$G205)&gt;1,"doublon",IF($F205="","groupe manquant",IF($G205="","rôle manquant",IF($H205="","support de saisie manquant",IF(AND($I205&lt;&gt;"",$J205&lt;&gt;"",$J205&lt;$I205),"date de fin antérieure à la date de début",IF(AND($G205="encadrant",IFERROR(INDEX(Personnes!$F$5:$F$153,MATCH($C205,Personnes!$A$5:$A$153,0)),"")=""),"courriel encadrant manquant","ok")))))))))</f>
        <v/>
      </c>
    </row>
    <row r="206">
      <c r="A206" t="inlineStr">
        <is>
          <t>2026-2027</t>
        </is>
      </c>
      <c r="B206" s="14" t="inlineStr">
        <is>
          <t>Vincent NOËL [P093]</t>
        </is>
      </c>
      <c r="C206" s="15">
        <f>IFERROR(MID($B206,FIND("[",$B206)+1,FIND("]",$B206)-FIND("[",$B206)-1),"")</f>
        <v/>
      </c>
      <c r="D206" s="15">
        <f>IFERROR(INDEX(Personnes!$B$5:$B$153,MATCH($C206,Personnes!$A$5:$A$153,0))&amp;"","")</f>
        <v/>
      </c>
      <c r="E206" s="15">
        <f>IFERROR(INDEX(Personnes!$C$5:$C$153,MATCH($C206,Personnes!$A$5:$A$153,0))&amp;"","")</f>
        <v/>
      </c>
      <c r="F206" s="14" t="inlineStr">
        <is>
          <t>DNF</t>
        </is>
      </c>
      <c r="G206" s="14" t="inlineStr">
        <is>
          <t>élève</t>
        </is>
      </c>
      <c r="H206" s="14" t="inlineStr">
        <is>
          <t>classeur</t>
        </is>
      </c>
      <c r="I206" s="16" t="n">
        <v>46272</v>
      </c>
      <c r="J206" s="16" t="n"/>
      <c r="K206" s="18" t="n"/>
      <c r="L206" s="18" t="n"/>
      <c r="M206" s="15">
        <f>IF($B206="","",IF($C206="","personne non reconnue",IF(ISERROR(SEARCH(TRIM($E206&amp;" "&amp;$D206),$B206)),"libellé incohérent avec l’identifiant",IF(COUNTIFS($A$5:$A$500,$A206,$C$5:$C$500,$C206,$F$5:$F$500,$F206,$G$5:$G$500,$G206)&gt;1,"doublon",IF($F206="","groupe manquant",IF($G206="","rôle manquant",IF($H206="","support de saisie manquant",IF(AND($I206&lt;&gt;"",$J206&lt;&gt;"",$J206&lt;$I206),"date de fin antérieure à la date de début",IF(AND($G206="encadrant",IFERROR(INDEX(Personnes!$F$5:$F$153,MATCH($C206,Personnes!$A$5:$A$153,0)),"")=""),"courriel encadrant manquant","ok")))))))))</f>
        <v/>
      </c>
    </row>
    <row r="207">
      <c r="A207" t="inlineStr">
        <is>
          <t>2026-2027</t>
        </is>
      </c>
      <c r="B207" s="14" t="inlineStr">
        <is>
          <t>Theo SEVEDO [P094]</t>
        </is>
      </c>
      <c r="C207" s="15">
        <f>IFERROR(MID($B207,FIND("[",$B207)+1,FIND("]",$B207)-FIND("[",$B207)-1),"")</f>
        <v/>
      </c>
      <c r="D207" s="15">
        <f>IFERROR(INDEX(Personnes!$B$5:$B$153,MATCH($C207,Personnes!$A$5:$A$153,0))&amp;"","")</f>
        <v/>
      </c>
      <c r="E207" s="15">
        <f>IFERROR(INDEX(Personnes!$C$5:$C$153,MATCH($C207,Personnes!$A$5:$A$153,0))&amp;"","")</f>
        <v/>
      </c>
      <c r="F207" s="14" t="inlineStr">
        <is>
          <t>DNF</t>
        </is>
      </c>
      <c r="G207" s="14" t="inlineStr">
        <is>
          <t>élève</t>
        </is>
      </c>
      <c r="H207" s="14" t="inlineStr">
        <is>
          <t>classeur</t>
        </is>
      </c>
      <c r="I207" s="16" t="n">
        <v>46272</v>
      </c>
      <c r="J207" s="16" t="n"/>
      <c r="K207" s="18" t="n"/>
      <c r="L207" s="18" t="n"/>
      <c r="M207" s="15">
        <f>IF($B207="","",IF($C207="","personne non reconnue",IF(ISERROR(SEARCH(TRIM($E207&amp;" "&amp;$D207),$B207)),"libellé incohérent avec l’identifiant",IF(COUNTIFS($A$5:$A$500,$A207,$C$5:$C$500,$C207,$F$5:$F$500,$F207,$G$5:$G$500,$G207)&gt;1,"doublon",IF($F207="","groupe manquant",IF($G207="","rôle manquant",IF($H207="","support de saisie manquant",IF(AND($I207&lt;&gt;"",$J207&lt;&gt;"",$J207&lt;$I207),"date de fin antérieure à la date de début",IF(AND($G207="encadrant",IFERROR(INDEX(Personnes!$F$5:$F$153,MATCH($C207,Personnes!$A$5:$A$153,0)),"")=""),"courriel encadrant manquant","ok")))))))))</f>
        <v/>
      </c>
    </row>
    <row r="208">
      <c r="A208" t="inlineStr">
        <is>
          <t>2026-2027</t>
        </is>
      </c>
      <c r="B208" s="14" t="inlineStr">
        <is>
          <t>Marine TESSON [P095]</t>
        </is>
      </c>
      <c r="C208" s="15">
        <f>IFERROR(MID($B208,FIND("[",$B208)+1,FIND("]",$B208)-FIND("[",$B208)-1),"")</f>
        <v/>
      </c>
      <c r="D208" s="15">
        <f>IFERROR(INDEX(Personnes!$B$5:$B$153,MATCH($C208,Personnes!$A$5:$A$153,0))&amp;"","")</f>
        <v/>
      </c>
      <c r="E208" s="15">
        <f>IFERROR(INDEX(Personnes!$C$5:$C$153,MATCH($C208,Personnes!$A$5:$A$153,0))&amp;"","")</f>
        <v/>
      </c>
      <c r="F208" s="14" t="inlineStr">
        <is>
          <t>DNF</t>
        </is>
      </c>
      <c r="G208" s="14" t="inlineStr">
        <is>
          <t>élève</t>
        </is>
      </c>
      <c r="H208" s="14" t="inlineStr">
        <is>
          <t>classeur</t>
        </is>
      </c>
      <c r="I208" s="16" t="n">
        <v>46272</v>
      </c>
      <c r="J208" s="16" t="n"/>
      <c r="K208" s="18" t="n"/>
      <c r="L208" s="18" t="n"/>
      <c r="M208" s="15">
        <f>IF($B208="","",IF($C208="","personne non reconnue",IF(ISERROR(SEARCH(TRIM($E208&amp;" "&amp;$D208),$B208)),"libellé incohérent avec l’identifiant",IF(COUNTIFS($A$5:$A$500,$A208,$C$5:$C$500,$C208,$F$5:$F$500,$F208,$G$5:$G$500,$G208)&gt;1,"doublon",IF($F208="","groupe manquant",IF($G208="","rôle manquant",IF($H208="","support de saisie manquant",IF(AND($I208&lt;&gt;"",$J208&lt;&gt;"",$J208&lt;$I208),"date de fin antérieure à la date de début",IF(AND($G208="encadrant",IFERROR(INDEX(Personnes!$F$5:$F$153,MATCH($C208,Personnes!$A$5:$A$153,0)),"")=""),"courriel encadrant manquant","ok")))))))))</f>
        <v/>
      </c>
    </row>
    <row r="209">
      <c r="A209" t="inlineStr">
        <is>
          <t>2026-2027</t>
        </is>
      </c>
      <c r="B209" s="14" t="inlineStr">
        <is>
          <t>Sylvie WALLON [P096]</t>
        </is>
      </c>
      <c r="C209" s="15">
        <f>IFERROR(MID($B209,FIND("[",$B209)+1,FIND("]",$B209)-FIND("[",$B209)-1),"")</f>
        <v/>
      </c>
      <c r="D209" s="15">
        <f>IFERROR(INDEX(Personnes!$B$5:$B$153,MATCH($C209,Personnes!$A$5:$A$153,0))&amp;"","")</f>
        <v/>
      </c>
      <c r="E209" s="15">
        <f>IFERROR(INDEX(Personnes!$C$5:$C$153,MATCH($C209,Personnes!$A$5:$A$153,0))&amp;"","")</f>
        <v/>
      </c>
      <c r="F209" s="14" t="inlineStr">
        <is>
          <t>DNF</t>
        </is>
      </c>
      <c r="G209" s="14" t="inlineStr">
        <is>
          <t>élève</t>
        </is>
      </c>
      <c r="H209" s="14" t="inlineStr">
        <is>
          <t>classeur</t>
        </is>
      </c>
      <c r="I209" s="16" t="n">
        <v>46272</v>
      </c>
      <c r="J209" s="16" t="n"/>
      <c r="K209" s="18" t="n"/>
      <c r="L209" s="18" t="n"/>
      <c r="M209" s="15">
        <f>IF($B209="","",IF($C209="","personne non reconnue",IF(ISERROR(SEARCH(TRIM($E209&amp;" "&amp;$D209),$B209)),"libellé incohérent avec l’identifiant",IF(COUNTIFS($A$5:$A$500,$A209,$C$5:$C$500,$C209,$F$5:$F$500,$F209,$G$5:$G$500,$G209)&gt;1,"doublon",IF($F209="","groupe manquant",IF($G209="","rôle manquant",IF($H209="","support de saisie manquant",IF(AND($I209&lt;&gt;"",$J209&lt;&gt;"",$J209&lt;$I209),"date de fin antérieure à la date de début",IF(AND($G209="encadrant",IFERROR(INDEX(Personnes!$F$5:$F$153,MATCH($C209,Personnes!$A$5:$A$153,0)),"")=""),"courriel encadrant manquant","ok")))))))))</f>
        <v/>
      </c>
    </row>
    <row r="210">
      <c r="A210" t="inlineStr">
        <is>
          <t>2026-2027</t>
        </is>
      </c>
      <c r="B210" s="14" t="inlineStr">
        <is>
          <t>Christophe CHABERNAUD [P097]</t>
        </is>
      </c>
      <c r="C210" s="15">
        <f>IFERROR(MID($B210,FIND("[",$B210)+1,FIND("]",$B210)-FIND("[",$B210)-1),"")</f>
        <v/>
      </c>
      <c r="D210" s="15">
        <f>IFERROR(INDEX(Personnes!$B$5:$B$153,MATCH($C210,Personnes!$A$5:$A$153,0))&amp;"","")</f>
        <v/>
      </c>
      <c r="E210" s="15">
        <f>IFERROR(INDEX(Personnes!$C$5:$C$153,MATCH($C210,Personnes!$A$5:$A$153,0))&amp;"","")</f>
        <v/>
      </c>
      <c r="F210" s="14" t="inlineStr">
        <is>
          <t>DNF</t>
        </is>
      </c>
      <c r="G210" s="14" t="inlineStr">
        <is>
          <t>élève</t>
        </is>
      </c>
      <c r="H210" s="14" t="inlineStr">
        <is>
          <t>classeur</t>
        </is>
      </c>
      <c r="I210" s="16" t="n">
        <v>46272</v>
      </c>
      <c r="J210" s="16" t="n"/>
      <c r="K210" s="18" t="n"/>
      <c r="L210" s="18" t="n"/>
      <c r="M210" s="15">
        <f>IF($B210="","",IF($C210="","personne non reconnue",IF(ISERROR(SEARCH(TRIM($E210&amp;" "&amp;$D210),$B210)),"libellé incohérent avec l’identifiant",IF(COUNTIFS($A$5:$A$500,$A210,$C$5:$C$500,$C210,$F$5:$F$500,$F210,$G$5:$G$500,$G210)&gt;1,"doublon",IF($F210="","groupe manquant",IF($G210="","rôle manquant",IF($H210="","support de saisie manquant",IF(AND($I210&lt;&gt;"",$J210&lt;&gt;"",$J210&lt;$I210),"date de fin antérieure à la date de début",IF(AND($G210="encadrant",IFERROR(INDEX(Personnes!$F$5:$F$153,MATCH($C210,Personnes!$A$5:$A$153,0)),"")=""),"courriel encadrant manquant","ok")))))))))</f>
        <v/>
      </c>
    </row>
    <row r="211">
      <c r="A211" t="inlineStr">
        <is>
          <t>2026-2027</t>
        </is>
      </c>
      <c r="B211" s="14" t="inlineStr">
        <is>
          <t>Thomas HENRY [P098]</t>
        </is>
      </c>
      <c r="C211" s="15">
        <f>IFERROR(MID($B211,FIND("[",$B211)+1,FIND("]",$B211)-FIND("[",$B211)-1),"")</f>
        <v/>
      </c>
      <c r="D211" s="15">
        <f>IFERROR(INDEX(Personnes!$B$5:$B$153,MATCH($C211,Personnes!$A$5:$A$153,0))&amp;"","")</f>
        <v/>
      </c>
      <c r="E211" s="15">
        <f>IFERROR(INDEX(Personnes!$C$5:$C$153,MATCH($C211,Personnes!$A$5:$A$153,0))&amp;"","")</f>
        <v/>
      </c>
      <c r="F211" s="14" t="inlineStr">
        <is>
          <t>DNF</t>
        </is>
      </c>
      <c r="G211" s="14" t="inlineStr">
        <is>
          <t>élève</t>
        </is>
      </c>
      <c r="H211" s="14" t="inlineStr">
        <is>
          <t>classeur</t>
        </is>
      </c>
      <c r="I211" s="16" t="n">
        <v>46272</v>
      </c>
      <c r="J211" s="16" t="n"/>
      <c r="K211" s="18" t="n"/>
      <c r="L211" s="18" t="n"/>
      <c r="M211" s="15">
        <f>IF($B211="","",IF($C211="","personne non reconnue",IF(ISERROR(SEARCH(TRIM($E211&amp;" "&amp;$D211),$B211)),"libellé incohérent avec l’identifiant",IF(COUNTIFS($A$5:$A$500,$A211,$C$5:$C$500,$C211,$F$5:$F$500,$F211,$G$5:$G$500,$G211)&gt;1,"doublon",IF($F211="","groupe manquant",IF($G211="","rôle manquant",IF($H211="","support de saisie manquant",IF(AND($I211&lt;&gt;"",$J211&lt;&gt;"",$J211&lt;$I211),"date de fin antérieure à la date de début",IF(AND($G211="encadrant",IFERROR(INDEX(Personnes!$F$5:$F$153,MATCH($C211,Personnes!$A$5:$A$153,0)),"")=""),"courriel encadrant manquant","ok")))))))))</f>
        <v/>
      </c>
    </row>
    <row r="212">
      <c r="A212" t="inlineStr">
        <is>
          <t>2026-2027</t>
        </is>
      </c>
      <c r="B212" s="14" t="inlineStr">
        <is>
          <t>Viktor SIKORA [P099]</t>
        </is>
      </c>
      <c r="C212" s="15">
        <f>IFERROR(MID($B212,FIND("[",$B212)+1,FIND("]",$B212)-FIND("[",$B212)-1),"")</f>
        <v/>
      </c>
      <c r="D212" s="15">
        <f>IFERROR(INDEX(Personnes!$B$5:$B$153,MATCH($C212,Personnes!$A$5:$A$153,0))&amp;"","")</f>
        <v/>
      </c>
      <c r="E212" s="15">
        <f>IFERROR(INDEX(Personnes!$C$5:$C$153,MATCH($C212,Personnes!$A$5:$A$153,0))&amp;"","")</f>
        <v/>
      </c>
      <c r="F212" s="14" t="inlineStr">
        <is>
          <t>DNF</t>
        </is>
      </c>
      <c r="G212" s="14" t="inlineStr">
        <is>
          <t>élève</t>
        </is>
      </c>
      <c r="H212" s="14" t="inlineStr">
        <is>
          <t>classeur</t>
        </is>
      </c>
      <c r="I212" s="16" t="n">
        <v>46272</v>
      </c>
      <c r="J212" s="16" t="n"/>
      <c r="K212" s="18" t="n"/>
      <c r="L212" s="18" t="n"/>
      <c r="M212" s="15">
        <f>IF($B212="","",IF($C212="","personne non reconnue",IF(ISERROR(SEARCH(TRIM($E212&amp;" "&amp;$D212),$B212)),"libellé incohérent avec l’identifiant",IF(COUNTIFS($A$5:$A$500,$A212,$C$5:$C$500,$C212,$F$5:$F$500,$F212,$G$5:$G$500,$G212)&gt;1,"doublon",IF($F212="","groupe manquant",IF($G212="","rôle manquant",IF($H212="","support de saisie manquant",IF(AND($I212&lt;&gt;"",$J212&lt;&gt;"",$J212&lt;$I212),"date de fin antérieure à la date de début",IF(AND($G212="encadrant",IFERROR(INDEX(Personnes!$F$5:$F$153,MATCH($C212,Personnes!$A$5:$A$153,0)),"")=""),"courriel encadrant manquant","ok")))))))))</f>
        <v/>
      </c>
    </row>
    <row r="213">
      <c r="A213" t="inlineStr">
        <is>
          <t>2026-2027</t>
        </is>
      </c>
      <c r="B213" s="14" t="inlineStr">
        <is>
          <t>Sebastien AUBERT [P100]</t>
        </is>
      </c>
      <c r="C213" s="15">
        <f>IFERROR(MID($B213,FIND("[",$B213)+1,FIND("]",$B213)-FIND("[",$B213)-1),"")</f>
        <v/>
      </c>
      <c r="D213" s="15">
        <f>IFERROR(INDEX(Personnes!$B$5:$B$153,MATCH($C213,Personnes!$A$5:$A$153,0))&amp;"","")</f>
        <v/>
      </c>
      <c r="E213" s="15">
        <f>IFERROR(INDEX(Personnes!$C$5:$C$153,MATCH($C213,Personnes!$A$5:$A$153,0))&amp;"","")</f>
        <v/>
      </c>
      <c r="F213" s="14" t="inlineStr">
        <is>
          <t>DNF</t>
        </is>
      </c>
      <c r="G213" s="14" t="inlineStr">
        <is>
          <t>élève</t>
        </is>
      </c>
      <c r="H213" s="14" t="inlineStr">
        <is>
          <t>classeur</t>
        </is>
      </c>
      <c r="I213" s="16" t="n">
        <v>46272</v>
      </c>
      <c r="J213" s="16" t="n"/>
      <c r="K213" s="18" t="n"/>
      <c r="L213" s="18" t="n"/>
      <c r="M213" s="15">
        <f>IF($B213="","",IF($C213="","personne non reconnue",IF(ISERROR(SEARCH(TRIM($E213&amp;" "&amp;$D213),$B213)),"libellé incohérent avec l’identifiant",IF(COUNTIFS($A$5:$A$500,$A213,$C$5:$C$500,$C213,$F$5:$F$500,$F213,$G$5:$G$500,$G213)&gt;1,"doublon",IF($F213="","groupe manquant",IF($G213="","rôle manquant",IF($H213="","support de saisie manquant",IF(AND($I213&lt;&gt;"",$J213&lt;&gt;"",$J213&lt;$I213),"date de fin antérieure à la date de début",IF(AND($G213="encadrant",IFERROR(INDEX(Personnes!$F$5:$F$153,MATCH($C213,Personnes!$A$5:$A$153,0)),"")=""),"courriel encadrant manquant","ok")))))))))</f>
        <v/>
      </c>
    </row>
    <row r="214">
      <c r="A214" t="inlineStr">
        <is>
          <t>2026-2027</t>
        </is>
      </c>
      <c r="B214" s="14" t="inlineStr">
        <is>
          <t>Mohammed BELHADJ KACEM [P101]</t>
        </is>
      </c>
      <c r="C214" s="15">
        <f>IFERROR(MID($B214,FIND("[",$B214)+1,FIND("]",$B214)-FIND("[",$B214)-1),"")</f>
        <v/>
      </c>
      <c r="D214" s="15">
        <f>IFERROR(INDEX(Personnes!$B$5:$B$153,MATCH($C214,Personnes!$A$5:$A$153,0))&amp;"","")</f>
        <v/>
      </c>
      <c r="E214" s="15">
        <f>IFERROR(INDEX(Personnes!$C$5:$C$153,MATCH($C214,Personnes!$A$5:$A$153,0))&amp;"","")</f>
        <v/>
      </c>
      <c r="F214" s="14" t="inlineStr">
        <is>
          <t>DNF</t>
        </is>
      </c>
      <c r="G214" s="14" t="inlineStr">
        <is>
          <t>élève</t>
        </is>
      </c>
      <c r="H214" s="14" t="inlineStr">
        <is>
          <t>classeur</t>
        </is>
      </c>
      <c r="I214" s="16" t="n">
        <v>46272</v>
      </c>
      <c r="J214" s="16" t="n"/>
      <c r="K214" s="18" t="n"/>
      <c r="L214" s="18" t="n"/>
      <c r="M214" s="15">
        <f>IF($B214="","",IF($C214="","personne non reconnue",IF(ISERROR(SEARCH(TRIM($E214&amp;" "&amp;$D214),$B214)),"libellé incohérent avec l’identifiant",IF(COUNTIFS($A$5:$A$500,$A214,$C$5:$C$500,$C214,$F$5:$F$500,$F214,$G$5:$G$500,$G214)&gt;1,"doublon",IF($F214="","groupe manquant",IF($G214="","rôle manquant",IF($H214="","support de saisie manquant",IF(AND($I214&lt;&gt;"",$J214&lt;&gt;"",$J214&lt;$I214),"date de fin antérieure à la date de début",IF(AND($G214="encadrant",IFERROR(INDEX(Personnes!$F$5:$F$153,MATCH($C214,Personnes!$A$5:$A$153,0)),"")=""),"courriel encadrant manquant","ok")))))))))</f>
        <v/>
      </c>
    </row>
    <row r="215">
      <c r="A215" t="inlineStr">
        <is>
          <t>2026-2027</t>
        </is>
      </c>
      <c r="B215" s="14" t="inlineStr">
        <is>
          <t>Sebastien DUSSAUD [P102]</t>
        </is>
      </c>
      <c r="C215" s="15">
        <f>IFERROR(MID($B215,FIND("[",$B215)+1,FIND("]",$B215)-FIND("[",$B215)-1),"")</f>
        <v/>
      </c>
      <c r="D215" s="15">
        <f>IFERROR(INDEX(Personnes!$B$5:$B$153,MATCH($C215,Personnes!$A$5:$A$153,0))&amp;"","")</f>
        <v/>
      </c>
      <c r="E215" s="15">
        <f>IFERROR(INDEX(Personnes!$C$5:$C$153,MATCH($C215,Personnes!$A$5:$A$153,0))&amp;"","")</f>
        <v/>
      </c>
      <c r="F215" s="14" t="inlineStr">
        <is>
          <t>DNF</t>
        </is>
      </c>
      <c r="G215" s="14" t="inlineStr">
        <is>
          <t>élève</t>
        </is>
      </c>
      <c r="H215" s="14" t="inlineStr">
        <is>
          <t>classeur</t>
        </is>
      </c>
      <c r="I215" s="16" t="n">
        <v>46272</v>
      </c>
      <c r="J215" s="16" t="n"/>
      <c r="K215" s="18" t="n"/>
      <c r="L215" s="18" t="n"/>
      <c r="M215" s="15">
        <f>IF($B215="","",IF($C215="","personne non reconnue",IF(ISERROR(SEARCH(TRIM($E215&amp;" "&amp;$D215),$B215)),"libellé incohérent avec l’identifiant",IF(COUNTIFS($A$5:$A$500,$A215,$C$5:$C$500,$C215,$F$5:$F$500,$F215,$G$5:$G$500,$G215)&gt;1,"doublon",IF($F215="","groupe manquant",IF($G215="","rôle manquant",IF($H215="","support de saisie manquant",IF(AND($I215&lt;&gt;"",$J215&lt;&gt;"",$J215&lt;$I215),"date de fin antérieure à la date de début",IF(AND($G215="encadrant",IFERROR(INDEX(Personnes!$F$5:$F$153,MATCH($C215,Personnes!$A$5:$A$153,0)),"")=""),"courriel encadrant manquant","ok")))))))))</f>
        <v/>
      </c>
    </row>
    <row r="216">
      <c r="A216" t="inlineStr">
        <is>
          <t>2026-2027</t>
        </is>
      </c>
      <c r="B216" s="14" t="inlineStr">
        <is>
          <t>Karim NOURA [P103]</t>
        </is>
      </c>
      <c r="C216" s="15">
        <f>IFERROR(MID($B216,FIND("[",$B216)+1,FIND("]",$B216)-FIND("[",$B216)-1),"")</f>
        <v/>
      </c>
      <c r="D216" s="15">
        <f>IFERROR(INDEX(Personnes!$B$5:$B$153,MATCH($C216,Personnes!$A$5:$A$153,0))&amp;"","")</f>
        <v/>
      </c>
      <c r="E216" s="15">
        <f>IFERROR(INDEX(Personnes!$C$5:$C$153,MATCH($C216,Personnes!$A$5:$A$153,0))&amp;"","")</f>
        <v/>
      </c>
      <c r="F216" s="14" t="inlineStr">
        <is>
          <t>DNF</t>
        </is>
      </c>
      <c r="G216" s="14" t="inlineStr">
        <is>
          <t>élève</t>
        </is>
      </c>
      <c r="H216" s="14" t="inlineStr">
        <is>
          <t>classeur</t>
        </is>
      </c>
      <c r="I216" s="16" t="n">
        <v>46272</v>
      </c>
      <c r="J216" s="16" t="n"/>
      <c r="K216" s="18" t="n"/>
      <c r="L216" s="18" t="n"/>
      <c r="M216" s="15">
        <f>IF($B216="","",IF($C216="","personne non reconnue",IF(ISERROR(SEARCH(TRIM($E216&amp;" "&amp;$D216),$B216)),"libellé incohérent avec l’identifiant",IF(COUNTIFS($A$5:$A$500,$A216,$C$5:$C$500,$C216,$F$5:$F$500,$F216,$G$5:$G$500,$G216)&gt;1,"doublon",IF($F216="","groupe manquant",IF($G216="","rôle manquant",IF($H216="","support de saisie manquant",IF(AND($I216&lt;&gt;"",$J216&lt;&gt;"",$J216&lt;$I216),"date de fin antérieure à la date de début",IF(AND($G216="encadrant",IFERROR(INDEX(Personnes!$F$5:$F$153,MATCH($C216,Personnes!$A$5:$A$153,0)),"")=""),"courriel encadrant manquant","ok")))))))))</f>
        <v/>
      </c>
    </row>
    <row r="217">
      <c r="A217" t="inlineStr">
        <is>
          <t>2026-2027</t>
        </is>
      </c>
      <c r="B217" s="14" t="inlineStr">
        <is>
          <t>Alain GUEVEL [P001]</t>
        </is>
      </c>
      <c r="C217" s="15">
        <f>IFERROR(MID($B217,FIND("[",$B217)+1,FIND("]",$B217)-FIND("[",$B217)-1),"")</f>
        <v/>
      </c>
      <c r="D217" s="15">
        <f>IFERROR(INDEX(Personnes!$B$5:$B$153,MATCH($C217,Personnes!$A$5:$A$153,0))&amp;"","")</f>
        <v/>
      </c>
      <c r="E217" s="15">
        <f>IFERROR(INDEX(Personnes!$C$5:$C$153,MATCH($C217,Personnes!$A$5:$A$153,0))&amp;"","")</f>
        <v/>
      </c>
      <c r="F217" s="14" t="inlineStr">
        <is>
          <t>STA</t>
        </is>
      </c>
      <c r="G217" s="14" t="inlineStr">
        <is>
          <t>élève</t>
        </is>
      </c>
      <c r="H217" s="14" t="inlineStr">
        <is>
          <t>classeur</t>
        </is>
      </c>
      <c r="I217" s="16" t="n">
        <v>46272</v>
      </c>
      <c r="J217" s="16" t="n"/>
      <c r="K217" s="18" t="n"/>
      <c r="L217" s="18" t="n"/>
      <c r="M217" s="15">
        <f>IF($B217="","",IF($C217="","personne non reconnue",IF(ISERROR(SEARCH(TRIM($E217&amp;" "&amp;$D217),$B217)),"libellé incohérent avec l’identifiant",IF(COUNTIFS($A$5:$A$500,$A217,$C$5:$C$500,$C217,$F$5:$F$500,$F217,$G$5:$G$500,$G217)&gt;1,"doublon",IF($F217="","groupe manquant",IF($G217="","rôle manquant",IF($H217="","support de saisie manquant",IF(AND($I217&lt;&gt;"",$J217&lt;&gt;"",$J217&lt;$I217),"date de fin antérieure à la date de début",IF(AND($G217="encadrant",IFERROR(INDEX(Personnes!$F$5:$F$153,MATCH($C217,Personnes!$A$5:$A$153,0)),"")=""),"courriel encadrant manquant","ok")))))))))</f>
        <v/>
      </c>
    </row>
    <row r="218">
      <c r="A218" t="inlineStr">
        <is>
          <t>2026-2027</t>
        </is>
      </c>
      <c r="B218" s="14" t="inlineStr">
        <is>
          <t>Antonin DESMERGES [P002]</t>
        </is>
      </c>
      <c r="C218" s="15">
        <f>IFERROR(MID($B218,FIND("[",$B218)+1,FIND("]",$B218)-FIND("[",$B218)-1),"")</f>
        <v/>
      </c>
      <c r="D218" s="15">
        <f>IFERROR(INDEX(Personnes!$B$5:$B$153,MATCH($C218,Personnes!$A$5:$A$153,0))&amp;"","")</f>
        <v/>
      </c>
      <c r="E218" s="15">
        <f>IFERROR(INDEX(Personnes!$C$5:$C$153,MATCH($C218,Personnes!$A$5:$A$153,0))&amp;"","")</f>
        <v/>
      </c>
      <c r="F218" s="14" t="inlineStr">
        <is>
          <t>STA</t>
        </is>
      </c>
      <c r="G218" s="14" t="inlineStr">
        <is>
          <t>élève</t>
        </is>
      </c>
      <c r="H218" s="14" t="inlineStr">
        <is>
          <t>classeur</t>
        </is>
      </c>
      <c r="I218" s="16" t="n">
        <v>46272</v>
      </c>
      <c r="J218" s="16" t="n"/>
      <c r="K218" s="18" t="n"/>
      <c r="L218" s="18" t="n"/>
      <c r="M218" s="15">
        <f>IF($B218="","",IF($C218="","personne non reconnue",IF(ISERROR(SEARCH(TRIM($E218&amp;" "&amp;$D218),$B218)),"libellé incohérent avec l’identifiant",IF(COUNTIFS($A$5:$A$500,$A218,$C$5:$C$500,$C218,$F$5:$F$500,$F218,$G$5:$G$500,$G218)&gt;1,"doublon",IF($F218="","groupe manquant",IF($G218="","rôle manquant",IF($H218="","support de saisie manquant",IF(AND($I218&lt;&gt;"",$J218&lt;&gt;"",$J218&lt;$I218),"date de fin antérieure à la date de début",IF(AND($G218="encadrant",IFERROR(INDEX(Personnes!$F$5:$F$153,MATCH($C218,Personnes!$A$5:$A$153,0)),"")=""),"courriel encadrant manquant","ok")))))))))</f>
        <v/>
      </c>
    </row>
    <row r="219">
      <c r="A219" t="inlineStr">
        <is>
          <t>2026-2027</t>
        </is>
      </c>
      <c r="B219" s="14" t="inlineStr">
        <is>
          <t>Aurelien BARBIER [P003]</t>
        </is>
      </c>
      <c r="C219" s="15">
        <f>IFERROR(MID($B219,FIND("[",$B219)+1,FIND("]",$B219)-FIND("[",$B219)-1),"")</f>
        <v/>
      </c>
      <c r="D219" s="15">
        <f>IFERROR(INDEX(Personnes!$B$5:$B$153,MATCH($C219,Personnes!$A$5:$A$153,0))&amp;"","")</f>
        <v/>
      </c>
      <c r="E219" s="15">
        <f>IFERROR(INDEX(Personnes!$C$5:$C$153,MATCH($C219,Personnes!$A$5:$A$153,0))&amp;"","")</f>
        <v/>
      </c>
      <c r="F219" s="14" t="inlineStr">
        <is>
          <t>STA</t>
        </is>
      </c>
      <c r="G219" s="14" t="inlineStr">
        <is>
          <t>élève</t>
        </is>
      </c>
      <c r="H219" s="14" t="inlineStr">
        <is>
          <t>classeur</t>
        </is>
      </c>
      <c r="I219" s="16" t="n">
        <v>46272</v>
      </c>
      <c r="J219" s="16" t="n"/>
      <c r="K219" s="18" t="n"/>
      <c r="L219" s="18" t="n"/>
      <c r="M219" s="15">
        <f>IF($B219="","",IF($C219="","personne non reconnue",IF(ISERROR(SEARCH(TRIM($E219&amp;" "&amp;$D219),$B219)),"libellé incohérent avec l’identifiant",IF(COUNTIFS($A$5:$A$500,$A219,$C$5:$C$500,$C219,$F$5:$F$500,$F219,$G$5:$G$500,$G219)&gt;1,"doublon",IF($F219="","groupe manquant",IF($G219="","rôle manquant",IF($H219="","support de saisie manquant",IF(AND($I219&lt;&gt;"",$J219&lt;&gt;"",$J219&lt;$I219),"date de fin antérieure à la date de début",IF(AND($G219="encadrant",IFERROR(INDEX(Personnes!$F$5:$F$153,MATCH($C219,Personnes!$A$5:$A$153,0)),"")=""),"courriel encadrant manquant","ok")))))))))</f>
        <v/>
      </c>
    </row>
    <row r="220">
      <c r="A220" t="inlineStr">
        <is>
          <t>2026-2027</t>
        </is>
      </c>
      <c r="B220" s="14" t="inlineStr">
        <is>
          <t>Béatrice GOUSSARD [P004]</t>
        </is>
      </c>
      <c r="C220" s="15">
        <f>IFERROR(MID($B220,FIND("[",$B220)+1,FIND("]",$B220)-FIND("[",$B220)-1),"")</f>
        <v/>
      </c>
      <c r="D220" s="15">
        <f>IFERROR(INDEX(Personnes!$B$5:$B$153,MATCH($C220,Personnes!$A$5:$A$153,0))&amp;"","")</f>
        <v/>
      </c>
      <c r="E220" s="15">
        <f>IFERROR(INDEX(Personnes!$C$5:$C$153,MATCH($C220,Personnes!$A$5:$A$153,0))&amp;"","")</f>
        <v/>
      </c>
      <c r="F220" s="14" t="inlineStr">
        <is>
          <t>STA</t>
        </is>
      </c>
      <c r="G220" s="14" t="inlineStr">
        <is>
          <t>élève</t>
        </is>
      </c>
      <c r="H220" s="14" t="inlineStr">
        <is>
          <t>classeur</t>
        </is>
      </c>
      <c r="I220" s="16" t="n">
        <v>46272</v>
      </c>
      <c r="J220" s="16" t="n"/>
      <c r="K220" s="18" t="n"/>
      <c r="L220" s="18" t="n"/>
      <c r="M220" s="15">
        <f>IF($B220="","",IF($C220="","personne non reconnue",IF(ISERROR(SEARCH(TRIM($E220&amp;" "&amp;$D220),$B220)),"libellé incohérent avec l’identifiant",IF(COUNTIFS($A$5:$A$500,$A220,$C$5:$C$500,$C220,$F$5:$F$500,$F220,$G$5:$G$500,$G220)&gt;1,"doublon",IF($F220="","groupe manquant",IF($G220="","rôle manquant",IF($H220="","support de saisie manquant",IF(AND($I220&lt;&gt;"",$J220&lt;&gt;"",$J220&lt;$I220),"date de fin antérieure à la date de début",IF(AND($G220="encadrant",IFERROR(INDEX(Personnes!$F$5:$F$153,MATCH($C220,Personnes!$A$5:$A$153,0)),"")=""),"courriel encadrant manquant","ok")))))))))</f>
        <v/>
      </c>
    </row>
    <row r="221">
      <c r="A221" t="inlineStr">
        <is>
          <t>2026-2027</t>
        </is>
      </c>
      <c r="B221" s="14" t="inlineStr">
        <is>
          <t>Benjamin FRASCA [P005]</t>
        </is>
      </c>
      <c r="C221" s="15">
        <f>IFERROR(MID($B221,FIND("[",$B221)+1,FIND("]",$B221)-FIND("[",$B221)-1),"")</f>
        <v/>
      </c>
      <c r="D221" s="15">
        <f>IFERROR(INDEX(Personnes!$B$5:$B$153,MATCH($C221,Personnes!$A$5:$A$153,0))&amp;"","")</f>
        <v/>
      </c>
      <c r="E221" s="15">
        <f>IFERROR(INDEX(Personnes!$C$5:$C$153,MATCH($C221,Personnes!$A$5:$A$153,0))&amp;"","")</f>
        <v/>
      </c>
      <c r="F221" s="14" t="inlineStr">
        <is>
          <t>STA</t>
        </is>
      </c>
      <c r="G221" s="14" t="inlineStr">
        <is>
          <t>élève</t>
        </is>
      </c>
      <c r="H221" s="14" t="inlineStr">
        <is>
          <t>classeur</t>
        </is>
      </c>
      <c r="I221" s="16" t="n">
        <v>46272</v>
      </c>
      <c r="J221" s="16" t="n"/>
      <c r="K221" s="18" t="n"/>
      <c r="L221" s="18" t="n"/>
      <c r="M221" s="15">
        <f>IF($B221="","",IF($C221="","personne non reconnue",IF(ISERROR(SEARCH(TRIM($E221&amp;" "&amp;$D221),$B221)),"libellé incohérent avec l’identifiant",IF(COUNTIFS($A$5:$A$500,$A221,$C$5:$C$500,$C221,$F$5:$F$500,$F221,$G$5:$G$500,$G221)&gt;1,"doublon",IF($F221="","groupe manquant",IF($G221="","rôle manquant",IF($H221="","support de saisie manquant",IF(AND($I221&lt;&gt;"",$J221&lt;&gt;"",$J221&lt;$I221),"date de fin antérieure à la date de début",IF(AND($G221="encadrant",IFERROR(INDEX(Personnes!$F$5:$F$153,MATCH($C221,Personnes!$A$5:$A$153,0)),"")=""),"courriel encadrant manquant","ok")))))))))</f>
        <v/>
      </c>
    </row>
    <row r="222">
      <c r="A222" t="inlineStr">
        <is>
          <t>2026-2027</t>
        </is>
      </c>
      <c r="B222" s="14" t="inlineStr">
        <is>
          <t>Caroline COLIN DE VERDIERE [P006]</t>
        </is>
      </c>
      <c r="C222" s="15">
        <f>IFERROR(MID($B222,FIND("[",$B222)+1,FIND("]",$B222)-FIND("[",$B222)-1),"")</f>
        <v/>
      </c>
      <c r="D222" s="15">
        <f>IFERROR(INDEX(Personnes!$B$5:$B$153,MATCH($C222,Personnes!$A$5:$A$153,0))&amp;"","")</f>
        <v/>
      </c>
      <c r="E222" s="15">
        <f>IFERROR(INDEX(Personnes!$C$5:$C$153,MATCH($C222,Personnes!$A$5:$A$153,0))&amp;"","")</f>
        <v/>
      </c>
      <c r="F222" s="14" t="inlineStr">
        <is>
          <t>STA</t>
        </is>
      </c>
      <c r="G222" s="14" t="inlineStr">
        <is>
          <t>élève</t>
        </is>
      </c>
      <c r="H222" s="14" t="inlineStr">
        <is>
          <t>classeur</t>
        </is>
      </c>
      <c r="I222" s="16" t="n">
        <v>46272</v>
      </c>
      <c r="J222" s="16" t="n"/>
      <c r="K222" s="18" t="n"/>
      <c r="L222" s="18" t="n"/>
      <c r="M222" s="15">
        <f>IF($B222="","",IF($C222="","personne non reconnue",IF(ISERROR(SEARCH(TRIM($E222&amp;" "&amp;$D222),$B222)),"libellé incohérent avec l’identifiant",IF(COUNTIFS($A$5:$A$500,$A222,$C$5:$C$500,$C222,$F$5:$F$500,$F222,$G$5:$G$500,$G222)&gt;1,"doublon",IF($F222="","groupe manquant",IF($G222="","rôle manquant",IF($H222="","support de saisie manquant",IF(AND($I222&lt;&gt;"",$J222&lt;&gt;"",$J222&lt;$I222),"date de fin antérieure à la date de début",IF(AND($G222="encadrant",IFERROR(INDEX(Personnes!$F$5:$F$153,MATCH($C222,Personnes!$A$5:$A$153,0)),"")=""),"courriel encadrant manquant","ok")))))))))</f>
        <v/>
      </c>
    </row>
    <row r="223">
      <c r="A223" t="inlineStr">
        <is>
          <t>2026-2027</t>
        </is>
      </c>
      <c r="B223" s="14" t="inlineStr">
        <is>
          <t>Charline DANSEUX [P007]</t>
        </is>
      </c>
      <c r="C223" s="15">
        <f>IFERROR(MID($B223,FIND("[",$B223)+1,FIND("]",$B223)-FIND("[",$B223)-1),"")</f>
        <v/>
      </c>
      <c r="D223" s="15">
        <f>IFERROR(INDEX(Personnes!$B$5:$B$153,MATCH($C223,Personnes!$A$5:$A$153,0))&amp;"","")</f>
        <v/>
      </c>
      <c r="E223" s="15">
        <f>IFERROR(INDEX(Personnes!$C$5:$C$153,MATCH($C223,Personnes!$A$5:$A$153,0))&amp;"","")</f>
        <v/>
      </c>
      <c r="F223" s="14" t="inlineStr">
        <is>
          <t>STA</t>
        </is>
      </c>
      <c r="G223" s="14" t="inlineStr">
        <is>
          <t>élève</t>
        </is>
      </c>
      <c r="H223" s="14" t="inlineStr">
        <is>
          <t>classeur</t>
        </is>
      </c>
      <c r="I223" s="16" t="n">
        <v>46272</v>
      </c>
      <c r="J223" s="16" t="n"/>
      <c r="K223" s="18" t="n"/>
      <c r="L223" s="18" t="n"/>
      <c r="M223" s="15">
        <f>IF($B223="","",IF($C223="","personne non reconnue",IF(ISERROR(SEARCH(TRIM($E223&amp;" "&amp;$D223),$B223)),"libellé incohérent avec l’identifiant",IF(COUNTIFS($A$5:$A$500,$A223,$C$5:$C$500,$C223,$F$5:$F$500,$F223,$G$5:$G$500,$G223)&gt;1,"doublon",IF($F223="","groupe manquant",IF($G223="","rôle manquant",IF($H223="","support de saisie manquant",IF(AND($I223&lt;&gt;"",$J223&lt;&gt;"",$J223&lt;$I223),"date de fin antérieure à la date de début",IF(AND($G223="encadrant",IFERROR(INDEX(Personnes!$F$5:$F$153,MATCH($C223,Personnes!$A$5:$A$153,0)),"")=""),"courriel encadrant manquant","ok")))))))))</f>
        <v/>
      </c>
    </row>
    <row r="224">
      <c r="A224" t="inlineStr">
        <is>
          <t>2026-2027</t>
        </is>
      </c>
      <c r="B224" s="14" t="inlineStr">
        <is>
          <t>Cyril LABROSSE [P008]</t>
        </is>
      </c>
      <c r="C224" s="15">
        <f>IFERROR(MID($B224,FIND("[",$B224)+1,FIND("]",$B224)-FIND("[",$B224)-1),"")</f>
        <v/>
      </c>
      <c r="D224" s="15">
        <f>IFERROR(INDEX(Personnes!$B$5:$B$153,MATCH($C224,Personnes!$A$5:$A$153,0))&amp;"","")</f>
        <v/>
      </c>
      <c r="E224" s="15">
        <f>IFERROR(INDEX(Personnes!$C$5:$C$153,MATCH($C224,Personnes!$A$5:$A$153,0))&amp;"","")</f>
        <v/>
      </c>
      <c r="F224" s="14" t="inlineStr">
        <is>
          <t>STA</t>
        </is>
      </c>
      <c r="G224" s="14" t="inlineStr">
        <is>
          <t>élève</t>
        </is>
      </c>
      <c r="H224" s="14" t="inlineStr">
        <is>
          <t>classeur</t>
        </is>
      </c>
      <c r="I224" s="16" t="n">
        <v>46272</v>
      </c>
      <c r="J224" s="16" t="n"/>
      <c r="K224" s="18" t="n"/>
      <c r="L224" s="18" t="n"/>
      <c r="M224" s="15">
        <f>IF($B224="","",IF($C224="","personne non reconnue",IF(ISERROR(SEARCH(TRIM($E224&amp;" "&amp;$D224),$B224)),"libellé incohérent avec l’identifiant",IF(COUNTIFS($A$5:$A$500,$A224,$C$5:$C$500,$C224,$F$5:$F$500,$F224,$G$5:$G$500,$G224)&gt;1,"doublon",IF($F224="","groupe manquant",IF($G224="","rôle manquant",IF($H224="","support de saisie manquant",IF(AND($I224&lt;&gt;"",$J224&lt;&gt;"",$J224&lt;$I224),"date de fin antérieure à la date de début",IF(AND($G224="encadrant",IFERROR(INDEX(Personnes!$F$5:$F$153,MATCH($C224,Personnes!$A$5:$A$153,0)),"")=""),"courriel encadrant manquant","ok")))))))))</f>
        <v/>
      </c>
    </row>
    <row r="225">
      <c r="A225" t="inlineStr">
        <is>
          <t>2026-2027</t>
        </is>
      </c>
      <c r="B225" s="14" t="inlineStr">
        <is>
          <t>Cyrille HANNOU [P009]</t>
        </is>
      </c>
      <c r="C225" s="15">
        <f>IFERROR(MID($B225,FIND("[",$B225)+1,FIND("]",$B225)-FIND("[",$B225)-1),"")</f>
        <v/>
      </c>
      <c r="D225" s="15">
        <f>IFERROR(INDEX(Personnes!$B$5:$B$153,MATCH($C225,Personnes!$A$5:$A$153,0))&amp;"","")</f>
        <v/>
      </c>
      <c r="E225" s="15">
        <f>IFERROR(INDEX(Personnes!$C$5:$C$153,MATCH($C225,Personnes!$A$5:$A$153,0))&amp;"","")</f>
        <v/>
      </c>
      <c r="F225" s="14" t="inlineStr">
        <is>
          <t>STA</t>
        </is>
      </c>
      <c r="G225" s="14" t="inlineStr">
        <is>
          <t>élève</t>
        </is>
      </c>
      <c r="H225" s="14" t="inlineStr">
        <is>
          <t>classeur</t>
        </is>
      </c>
      <c r="I225" s="16" t="n">
        <v>46272</v>
      </c>
      <c r="J225" s="16" t="n"/>
      <c r="K225" s="18" t="n"/>
      <c r="L225" s="18" t="n"/>
      <c r="M225" s="15">
        <f>IF($B225="","",IF($C225="","personne non reconnue",IF(ISERROR(SEARCH(TRIM($E225&amp;" "&amp;$D225),$B225)),"libellé incohérent avec l’identifiant",IF(COUNTIFS($A$5:$A$500,$A225,$C$5:$C$500,$C225,$F$5:$F$500,$F225,$G$5:$G$500,$G225)&gt;1,"doublon",IF($F225="","groupe manquant",IF($G225="","rôle manquant",IF($H225="","support de saisie manquant",IF(AND($I225&lt;&gt;"",$J225&lt;&gt;"",$J225&lt;$I225),"date de fin antérieure à la date de début",IF(AND($G225="encadrant",IFERROR(INDEX(Personnes!$F$5:$F$153,MATCH($C225,Personnes!$A$5:$A$153,0)),"")=""),"courriel encadrant manquant","ok")))))))))</f>
        <v/>
      </c>
    </row>
    <row r="226">
      <c r="A226" t="inlineStr">
        <is>
          <t>2026-2027</t>
        </is>
      </c>
      <c r="B226" s="14" t="inlineStr">
        <is>
          <t>Edward LICHTNER [P010]</t>
        </is>
      </c>
      <c r="C226" s="15">
        <f>IFERROR(MID($B226,FIND("[",$B226)+1,FIND("]",$B226)-FIND("[",$B226)-1),"")</f>
        <v/>
      </c>
      <c r="D226" s="15">
        <f>IFERROR(INDEX(Personnes!$B$5:$B$153,MATCH($C226,Personnes!$A$5:$A$153,0))&amp;"","")</f>
        <v/>
      </c>
      <c r="E226" s="15">
        <f>IFERROR(INDEX(Personnes!$C$5:$C$153,MATCH($C226,Personnes!$A$5:$A$153,0))&amp;"","")</f>
        <v/>
      </c>
      <c r="F226" s="14" t="inlineStr">
        <is>
          <t>STA</t>
        </is>
      </c>
      <c r="G226" s="14" t="inlineStr">
        <is>
          <t>élève</t>
        </is>
      </c>
      <c r="H226" s="14" t="inlineStr">
        <is>
          <t>classeur</t>
        </is>
      </c>
      <c r="I226" s="16" t="n">
        <v>46272</v>
      </c>
      <c r="J226" s="16" t="n"/>
      <c r="K226" s="18" t="n"/>
      <c r="L226" s="18" t="n"/>
      <c r="M226" s="15">
        <f>IF($B226="","",IF($C226="","personne non reconnue",IF(ISERROR(SEARCH(TRIM($E226&amp;" "&amp;$D226),$B226)),"libellé incohérent avec l’identifiant",IF(COUNTIFS($A$5:$A$500,$A226,$C$5:$C$500,$C226,$F$5:$F$500,$F226,$G$5:$G$500,$G226)&gt;1,"doublon",IF($F226="","groupe manquant",IF($G226="","rôle manquant",IF($H226="","support de saisie manquant",IF(AND($I226&lt;&gt;"",$J226&lt;&gt;"",$J226&lt;$I226),"date de fin antérieure à la date de début",IF(AND($G226="encadrant",IFERROR(INDEX(Personnes!$F$5:$F$153,MATCH($C226,Personnes!$A$5:$A$153,0)),"")=""),"courriel encadrant manquant","ok")))))))))</f>
        <v/>
      </c>
    </row>
    <row r="227">
      <c r="A227" t="inlineStr">
        <is>
          <t>2026-2027</t>
        </is>
      </c>
      <c r="B227" s="14" t="inlineStr">
        <is>
          <t>Etienne COLIN DE VERDIERE [P011]</t>
        </is>
      </c>
      <c r="C227" s="15">
        <f>IFERROR(MID($B227,FIND("[",$B227)+1,FIND("]",$B227)-FIND("[",$B227)-1),"")</f>
        <v/>
      </c>
      <c r="D227" s="15">
        <f>IFERROR(INDEX(Personnes!$B$5:$B$153,MATCH($C227,Personnes!$A$5:$A$153,0))&amp;"","")</f>
        <v/>
      </c>
      <c r="E227" s="15">
        <f>IFERROR(INDEX(Personnes!$C$5:$C$153,MATCH($C227,Personnes!$A$5:$A$153,0))&amp;"","")</f>
        <v/>
      </c>
      <c r="F227" s="14" t="inlineStr">
        <is>
          <t>STA</t>
        </is>
      </c>
      <c r="G227" s="14" t="inlineStr">
        <is>
          <t>élève</t>
        </is>
      </c>
      <c r="H227" s="14" t="inlineStr">
        <is>
          <t>classeur</t>
        </is>
      </c>
      <c r="I227" s="16" t="n">
        <v>46272</v>
      </c>
      <c r="J227" s="16" t="n"/>
      <c r="K227" s="18" t="n"/>
      <c r="L227" s="18" t="n"/>
      <c r="M227" s="15">
        <f>IF($B227="","",IF($C227="","personne non reconnue",IF(ISERROR(SEARCH(TRIM($E227&amp;" "&amp;$D227),$B227)),"libellé incohérent avec l’identifiant",IF(COUNTIFS($A$5:$A$500,$A227,$C$5:$C$500,$C227,$F$5:$F$500,$F227,$G$5:$G$500,$G227)&gt;1,"doublon",IF($F227="","groupe manquant",IF($G227="","rôle manquant",IF($H227="","support de saisie manquant",IF(AND($I227&lt;&gt;"",$J227&lt;&gt;"",$J227&lt;$I227),"date de fin antérieure à la date de début",IF(AND($G227="encadrant",IFERROR(INDEX(Personnes!$F$5:$F$153,MATCH($C227,Personnes!$A$5:$A$153,0)),"")=""),"courriel encadrant manquant","ok")))))))))</f>
        <v/>
      </c>
    </row>
    <row r="228">
      <c r="A228" t="inlineStr">
        <is>
          <t>2026-2027</t>
        </is>
      </c>
      <c r="B228" s="14" t="inlineStr">
        <is>
          <t>Etienne LACOUR [P012]</t>
        </is>
      </c>
      <c r="C228" s="15">
        <f>IFERROR(MID($B228,FIND("[",$B228)+1,FIND("]",$B228)-FIND("[",$B228)-1),"")</f>
        <v/>
      </c>
      <c r="D228" s="15">
        <f>IFERROR(INDEX(Personnes!$B$5:$B$153,MATCH($C228,Personnes!$A$5:$A$153,0))&amp;"","")</f>
        <v/>
      </c>
      <c r="E228" s="15">
        <f>IFERROR(INDEX(Personnes!$C$5:$C$153,MATCH($C228,Personnes!$A$5:$A$153,0))&amp;"","")</f>
        <v/>
      </c>
      <c r="F228" s="14" t="inlineStr">
        <is>
          <t>STA</t>
        </is>
      </c>
      <c r="G228" s="14" t="inlineStr">
        <is>
          <t>élève</t>
        </is>
      </c>
      <c r="H228" s="14" t="inlineStr">
        <is>
          <t>classeur</t>
        </is>
      </c>
      <c r="I228" s="16" t="n">
        <v>46272</v>
      </c>
      <c r="J228" s="16" t="n"/>
      <c r="K228" s="18" t="n"/>
      <c r="L228" s="18" t="n"/>
      <c r="M228" s="15">
        <f>IF($B228="","",IF($C228="","personne non reconnue",IF(ISERROR(SEARCH(TRIM($E228&amp;" "&amp;$D228),$B228)),"libellé incohérent avec l’identifiant",IF(COUNTIFS($A$5:$A$500,$A228,$C$5:$C$500,$C228,$F$5:$F$500,$F228,$G$5:$G$500,$G228)&gt;1,"doublon",IF($F228="","groupe manquant",IF($G228="","rôle manquant",IF($H228="","support de saisie manquant",IF(AND($I228&lt;&gt;"",$J228&lt;&gt;"",$J228&lt;$I228),"date de fin antérieure à la date de début",IF(AND($G228="encadrant",IFERROR(INDEX(Personnes!$F$5:$F$153,MATCH($C228,Personnes!$A$5:$A$153,0)),"")=""),"courriel encadrant manquant","ok")))))))))</f>
        <v/>
      </c>
    </row>
    <row r="229">
      <c r="A229" t="inlineStr">
        <is>
          <t>2026-2027</t>
        </is>
      </c>
      <c r="B229" s="14" t="inlineStr">
        <is>
          <t>Francis WANG [P013]</t>
        </is>
      </c>
      <c r="C229" s="15">
        <f>IFERROR(MID($B229,FIND("[",$B229)+1,FIND("]",$B229)-FIND("[",$B229)-1),"")</f>
        <v/>
      </c>
      <c r="D229" s="15">
        <f>IFERROR(INDEX(Personnes!$B$5:$B$153,MATCH($C229,Personnes!$A$5:$A$153,0))&amp;"","")</f>
        <v/>
      </c>
      <c r="E229" s="15">
        <f>IFERROR(INDEX(Personnes!$C$5:$C$153,MATCH($C229,Personnes!$A$5:$A$153,0))&amp;"","")</f>
        <v/>
      </c>
      <c r="F229" s="14" t="inlineStr">
        <is>
          <t>STA</t>
        </is>
      </c>
      <c r="G229" s="14" t="inlineStr">
        <is>
          <t>élève</t>
        </is>
      </c>
      <c r="H229" s="14" t="inlineStr">
        <is>
          <t>classeur</t>
        </is>
      </c>
      <c r="I229" s="16" t="n">
        <v>46272</v>
      </c>
      <c r="J229" s="16" t="n"/>
      <c r="K229" s="18" t="n"/>
      <c r="L229" s="18" t="n"/>
      <c r="M229" s="15">
        <f>IF($B229="","",IF($C229="","personne non reconnue",IF(ISERROR(SEARCH(TRIM($E229&amp;" "&amp;$D229),$B229)),"libellé incohérent avec l’identifiant",IF(COUNTIFS($A$5:$A$500,$A229,$C$5:$C$500,$C229,$F$5:$F$500,$F229,$G$5:$G$500,$G229)&gt;1,"doublon",IF($F229="","groupe manquant",IF($G229="","rôle manquant",IF($H229="","support de saisie manquant",IF(AND($I229&lt;&gt;"",$J229&lt;&gt;"",$J229&lt;$I229),"date de fin antérieure à la date de début",IF(AND($G229="encadrant",IFERROR(INDEX(Personnes!$F$5:$F$153,MATCH($C229,Personnes!$A$5:$A$153,0)),"")=""),"courriel encadrant manquant","ok")))))))))</f>
        <v/>
      </c>
    </row>
    <row r="230">
      <c r="A230" t="inlineStr">
        <is>
          <t>2026-2027</t>
        </is>
      </c>
      <c r="B230" s="14" t="inlineStr">
        <is>
          <t>Hélène LABAYE [P014]</t>
        </is>
      </c>
      <c r="C230" s="15">
        <f>IFERROR(MID($B230,FIND("[",$B230)+1,FIND("]",$B230)-FIND("[",$B230)-1),"")</f>
        <v/>
      </c>
      <c r="D230" s="15">
        <f>IFERROR(INDEX(Personnes!$B$5:$B$153,MATCH($C230,Personnes!$A$5:$A$153,0))&amp;"","")</f>
        <v/>
      </c>
      <c r="E230" s="15">
        <f>IFERROR(INDEX(Personnes!$C$5:$C$153,MATCH($C230,Personnes!$A$5:$A$153,0))&amp;"","")</f>
        <v/>
      </c>
      <c r="F230" s="14" t="inlineStr">
        <is>
          <t>STA</t>
        </is>
      </c>
      <c r="G230" s="14" t="inlineStr">
        <is>
          <t>élève</t>
        </is>
      </c>
      <c r="H230" s="14" t="inlineStr">
        <is>
          <t>classeur</t>
        </is>
      </c>
      <c r="I230" s="16" t="n">
        <v>46272</v>
      </c>
      <c r="J230" s="16" t="n"/>
      <c r="K230" s="18" t="n"/>
      <c r="L230" s="18" t="n"/>
      <c r="M230" s="15">
        <f>IF($B230="","",IF($C230="","personne non reconnue",IF(ISERROR(SEARCH(TRIM($E230&amp;" "&amp;$D230),$B230)),"libellé incohérent avec l’identifiant",IF(COUNTIFS($A$5:$A$500,$A230,$C$5:$C$500,$C230,$F$5:$F$500,$F230,$G$5:$G$500,$G230)&gt;1,"doublon",IF($F230="","groupe manquant",IF($G230="","rôle manquant",IF($H230="","support de saisie manquant",IF(AND($I230&lt;&gt;"",$J230&lt;&gt;"",$J230&lt;$I230),"date de fin antérieure à la date de début",IF(AND($G230="encadrant",IFERROR(INDEX(Personnes!$F$5:$F$153,MATCH($C230,Personnes!$A$5:$A$153,0)),"")=""),"courriel encadrant manquant","ok")))))))))</f>
        <v/>
      </c>
    </row>
    <row r="231">
      <c r="A231" t="inlineStr">
        <is>
          <t>2026-2027</t>
        </is>
      </c>
      <c r="B231" s="14" t="inlineStr">
        <is>
          <t>Jean-François GOUDOU [P015]</t>
        </is>
      </c>
      <c r="C231" s="15">
        <f>IFERROR(MID($B231,FIND("[",$B231)+1,FIND("]",$B231)-FIND("[",$B231)-1),"")</f>
        <v/>
      </c>
      <c r="D231" s="15">
        <f>IFERROR(INDEX(Personnes!$B$5:$B$153,MATCH($C231,Personnes!$A$5:$A$153,0))&amp;"","")</f>
        <v/>
      </c>
      <c r="E231" s="15">
        <f>IFERROR(INDEX(Personnes!$C$5:$C$153,MATCH($C231,Personnes!$A$5:$A$153,0))&amp;"","")</f>
        <v/>
      </c>
      <c r="F231" s="14" t="inlineStr">
        <is>
          <t>STA</t>
        </is>
      </c>
      <c r="G231" s="14" t="inlineStr">
        <is>
          <t>élève</t>
        </is>
      </c>
      <c r="H231" s="14" t="inlineStr">
        <is>
          <t>classeur</t>
        </is>
      </c>
      <c r="I231" s="16" t="n">
        <v>46272</v>
      </c>
      <c r="J231" s="16" t="n"/>
      <c r="K231" s="18" t="n"/>
      <c r="L231" s="18" t="n"/>
      <c r="M231" s="15">
        <f>IF($B231="","",IF($C231="","personne non reconnue",IF(ISERROR(SEARCH(TRIM($E231&amp;" "&amp;$D231),$B231)),"libellé incohérent avec l’identifiant",IF(COUNTIFS($A$5:$A$500,$A231,$C$5:$C$500,$C231,$F$5:$F$500,$F231,$G$5:$G$500,$G231)&gt;1,"doublon",IF($F231="","groupe manquant",IF($G231="","rôle manquant",IF($H231="","support de saisie manquant",IF(AND($I231&lt;&gt;"",$J231&lt;&gt;"",$J231&lt;$I231),"date de fin antérieure à la date de début",IF(AND($G231="encadrant",IFERROR(INDEX(Personnes!$F$5:$F$153,MATCH($C231,Personnes!$A$5:$A$153,0)),"")=""),"courriel encadrant manquant","ok")))))))))</f>
        <v/>
      </c>
    </row>
    <row r="232">
      <c r="A232" t="inlineStr">
        <is>
          <t>2026-2027</t>
        </is>
      </c>
      <c r="B232" s="14" t="inlineStr">
        <is>
          <t>Jérémy PEINADO [P016]</t>
        </is>
      </c>
      <c r="C232" s="15">
        <f>IFERROR(MID($B232,FIND("[",$B232)+1,FIND("]",$B232)-FIND("[",$B232)-1),"")</f>
        <v/>
      </c>
      <c r="D232" s="15">
        <f>IFERROR(INDEX(Personnes!$B$5:$B$153,MATCH($C232,Personnes!$A$5:$A$153,0))&amp;"","")</f>
        <v/>
      </c>
      <c r="E232" s="15">
        <f>IFERROR(INDEX(Personnes!$C$5:$C$153,MATCH($C232,Personnes!$A$5:$A$153,0))&amp;"","")</f>
        <v/>
      </c>
      <c r="F232" s="14" t="inlineStr">
        <is>
          <t>STA</t>
        </is>
      </c>
      <c r="G232" s="14" t="inlineStr">
        <is>
          <t>élève</t>
        </is>
      </c>
      <c r="H232" s="14" t="inlineStr">
        <is>
          <t>classeur</t>
        </is>
      </c>
      <c r="I232" s="16" t="n">
        <v>46272</v>
      </c>
      <c r="J232" s="16" t="n"/>
      <c r="K232" s="18" t="n"/>
      <c r="L232" s="18" t="n"/>
      <c r="M232" s="15">
        <f>IF($B232="","",IF($C232="","personne non reconnue",IF(ISERROR(SEARCH(TRIM($E232&amp;" "&amp;$D232),$B232)),"libellé incohérent avec l’identifiant",IF(COUNTIFS($A$5:$A$500,$A232,$C$5:$C$500,$C232,$F$5:$F$500,$F232,$G$5:$G$500,$G232)&gt;1,"doublon",IF($F232="","groupe manquant",IF($G232="","rôle manquant",IF($H232="","support de saisie manquant",IF(AND($I232&lt;&gt;"",$J232&lt;&gt;"",$J232&lt;$I232),"date de fin antérieure à la date de début",IF(AND($G232="encadrant",IFERROR(INDEX(Personnes!$F$5:$F$153,MATCH($C232,Personnes!$A$5:$A$153,0)),"")=""),"courriel encadrant manquant","ok")))))))))</f>
        <v/>
      </c>
    </row>
    <row r="233">
      <c r="A233" t="inlineStr">
        <is>
          <t>2026-2027</t>
        </is>
      </c>
      <c r="B233" s="14" t="inlineStr">
        <is>
          <t>Jérôme LEFEBVRE [P017]</t>
        </is>
      </c>
      <c r="C233" s="15">
        <f>IFERROR(MID($B233,FIND("[",$B233)+1,FIND("]",$B233)-FIND("[",$B233)-1),"")</f>
        <v/>
      </c>
      <c r="D233" s="15">
        <f>IFERROR(INDEX(Personnes!$B$5:$B$153,MATCH($C233,Personnes!$A$5:$A$153,0))&amp;"","")</f>
        <v/>
      </c>
      <c r="E233" s="15">
        <f>IFERROR(INDEX(Personnes!$C$5:$C$153,MATCH($C233,Personnes!$A$5:$A$153,0))&amp;"","")</f>
        <v/>
      </c>
      <c r="F233" s="14" t="inlineStr">
        <is>
          <t>STA</t>
        </is>
      </c>
      <c r="G233" s="14" t="inlineStr">
        <is>
          <t>élève</t>
        </is>
      </c>
      <c r="H233" s="14" t="inlineStr">
        <is>
          <t>classeur</t>
        </is>
      </c>
      <c r="I233" s="16" t="n">
        <v>46272</v>
      </c>
      <c r="J233" s="16" t="n"/>
      <c r="K233" s="18" t="n"/>
      <c r="L233" s="18" t="n"/>
      <c r="M233" s="15">
        <f>IF($B233="","",IF($C233="","personne non reconnue",IF(ISERROR(SEARCH(TRIM($E233&amp;" "&amp;$D233),$B233)),"libellé incohérent avec l’identifiant",IF(COUNTIFS($A$5:$A$500,$A233,$C$5:$C$500,$C233,$F$5:$F$500,$F233,$G$5:$G$500,$G233)&gt;1,"doublon",IF($F233="","groupe manquant",IF($G233="","rôle manquant",IF($H233="","support de saisie manquant",IF(AND($I233&lt;&gt;"",$J233&lt;&gt;"",$J233&lt;$I233),"date de fin antérieure à la date de début",IF(AND($G233="encadrant",IFERROR(INDEX(Personnes!$F$5:$F$153,MATCH($C233,Personnes!$A$5:$A$153,0)),"")=""),"courriel encadrant manquant","ok")))))))))</f>
        <v/>
      </c>
    </row>
    <row r="234">
      <c r="A234" t="inlineStr">
        <is>
          <t>2026-2027</t>
        </is>
      </c>
      <c r="B234" s="14" t="inlineStr">
        <is>
          <t>Jérôme MADE [P018]</t>
        </is>
      </c>
      <c r="C234" s="15">
        <f>IFERROR(MID($B234,FIND("[",$B234)+1,FIND("]",$B234)-FIND("[",$B234)-1),"")</f>
        <v/>
      </c>
      <c r="D234" s="15">
        <f>IFERROR(INDEX(Personnes!$B$5:$B$153,MATCH($C234,Personnes!$A$5:$A$153,0))&amp;"","")</f>
        <v/>
      </c>
      <c r="E234" s="15">
        <f>IFERROR(INDEX(Personnes!$C$5:$C$153,MATCH($C234,Personnes!$A$5:$A$153,0))&amp;"","")</f>
        <v/>
      </c>
      <c r="F234" s="14" t="inlineStr">
        <is>
          <t>STA</t>
        </is>
      </c>
      <c r="G234" s="14" t="inlineStr">
        <is>
          <t>élève</t>
        </is>
      </c>
      <c r="H234" s="14" t="inlineStr">
        <is>
          <t>classeur</t>
        </is>
      </c>
      <c r="I234" s="16" t="n">
        <v>46272</v>
      </c>
      <c r="J234" s="16" t="n"/>
      <c r="K234" s="18" t="n"/>
      <c r="L234" s="18" t="n"/>
      <c r="M234" s="15">
        <f>IF($B234="","",IF($C234="","personne non reconnue",IF(ISERROR(SEARCH(TRIM($E234&amp;" "&amp;$D234),$B234)),"libellé incohérent avec l’identifiant",IF(COUNTIFS($A$5:$A$500,$A234,$C$5:$C$500,$C234,$F$5:$F$500,$F234,$G$5:$G$500,$G234)&gt;1,"doublon",IF($F234="","groupe manquant",IF($G234="","rôle manquant",IF($H234="","support de saisie manquant",IF(AND($I234&lt;&gt;"",$J234&lt;&gt;"",$J234&lt;$I234),"date de fin antérieure à la date de début",IF(AND($G234="encadrant",IFERROR(INDEX(Personnes!$F$5:$F$153,MATCH($C234,Personnes!$A$5:$A$153,0)),"")=""),"courriel encadrant manquant","ok")))))))))</f>
        <v/>
      </c>
    </row>
    <row r="235">
      <c r="A235" t="inlineStr">
        <is>
          <t>2026-2027</t>
        </is>
      </c>
      <c r="B235" s="14" t="inlineStr">
        <is>
          <t>Lionel BECHARA [P019]</t>
        </is>
      </c>
      <c r="C235" s="15">
        <f>IFERROR(MID($B235,FIND("[",$B235)+1,FIND("]",$B235)-FIND("[",$B235)-1),"")</f>
        <v/>
      </c>
      <c r="D235" s="15">
        <f>IFERROR(INDEX(Personnes!$B$5:$B$153,MATCH($C235,Personnes!$A$5:$A$153,0))&amp;"","")</f>
        <v/>
      </c>
      <c r="E235" s="15">
        <f>IFERROR(INDEX(Personnes!$C$5:$C$153,MATCH($C235,Personnes!$A$5:$A$153,0))&amp;"","")</f>
        <v/>
      </c>
      <c r="F235" s="14" t="inlineStr">
        <is>
          <t>STA</t>
        </is>
      </c>
      <c r="G235" s="14" t="inlineStr">
        <is>
          <t>élève</t>
        </is>
      </c>
      <c r="H235" s="14" t="inlineStr">
        <is>
          <t>classeur</t>
        </is>
      </c>
      <c r="I235" s="16" t="n">
        <v>46272</v>
      </c>
      <c r="J235" s="16" t="n"/>
      <c r="K235" s="18" t="n"/>
      <c r="L235" s="18" t="n"/>
      <c r="M235" s="15">
        <f>IF($B235="","",IF($C235="","personne non reconnue",IF(ISERROR(SEARCH(TRIM($E235&amp;" "&amp;$D235),$B235)),"libellé incohérent avec l’identifiant",IF(COUNTIFS($A$5:$A$500,$A235,$C$5:$C$500,$C235,$F$5:$F$500,$F235,$G$5:$G$500,$G235)&gt;1,"doublon",IF($F235="","groupe manquant",IF($G235="","rôle manquant",IF($H235="","support de saisie manquant",IF(AND($I235&lt;&gt;"",$J235&lt;&gt;"",$J235&lt;$I235),"date de fin antérieure à la date de début",IF(AND($G235="encadrant",IFERROR(INDEX(Personnes!$F$5:$F$153,MATCH($C235,Personnes!$A$5:$A$153,0)),"")=""),"courriel encadrant manquant","ok")))))))))</f>
        <v/>
      </c>
    </row>
    <row r="236">
      <c r="A236" t="inlineStr">
        <is>
          <t>2026-2027</t>
        </is>
      </c>
      <c r="B236" s="14" t="inlineStr">
        <is>
          <t>Mariem YOUNSSI [P021]</t>
        </is>
      </c>
      <c r="C236" s="15">
        <f>IFERROR(MID($B236,FIND("[",$B236)+1,FIND("]",$B236)-FIND("[",$B236)-1),"")</f>
        <v/>
      </c>
      <c r="D236" s="15">
        <f>IFERROR(INDEX(Personnes!$B$5:$B$153,MATCH($C236,Personnes!$A$5:$A$153,0))&amp;"","")</f>
        <v/>
      </c>
      <c r="E236" s="15">
        <f>IFERROR(INDEX(Personnes!$C$5:$C$153,MATCH($C236,Personnes!$A$5:$A$153,0))&amp;"","")</f>
        <v/>
      </c>
      <c r="F236" s="14" t="inlineStr">
        <is>
          <t>STA</t>
        </is>
      </c>
      <c r="G236" s="14" t="inlineStr">
        <is>
          <t>élève</t>
        </is>
      </c>
      <c r="H236" s="14" t="inlineStr">
        <is>
          <t>classeur</t>
        </is>
      </c>
      <c r="I236" s="16" t="n">
        <v>46272</v>
      </c>
      <c r="J236" s="16" t="n"/>
      <c r="K236" s="18" t="n"/>
      <c r="L236" s="18" t="n"/>
      <c r="M236" s="15">
        <f>IF($B236="","",IF($C236="","personne non reconnue",IF(ISERROR(SEARCH(TRIM($E236&amp;" "&amp;$D236),$B236)),"libellé incohérent avec l’identifiant",IF(COUNTIFS($A$5:$A$500,$A236,$C$5:$C$500,$C236,$F$5:$F$500,$F236,$G$5:$G$500,$G236)&gt;1,"doublon",IF($F236="","groupe manquant",IF($G236="","rôle manquant",IF($H236="","support de saisie manquant",IF(AND($I236&lt;&gt;"",$J236&lt;&gt;"",$J236&lt;$I236),"date de fin antérieure à la date de début",IF(AND($G236="encadrant",IFERROR(INDEX(Personnes!$F$5:$F$153,MATCH($C236,Personnes!$A$5:$A$153,0)),"")=""),"courriel encadrant manquant","ok")))))))))</f>
        <v/>
      </c>
    </row>
    <row r="237">
      <c r="A237" t="inlineStr">
        <is>
          <t>2026-2027</t>
        </is>
      </c>
      <c r="B237" s="14" t="inlineStr">
        <is>
          <t>Matthieu CHIARAMONTE [P022]</t>
        </is>
      </c>
      <c r="C237" s="15">
        <f>IFERROR(MID($B237,FIND("[",$B237)+1,FIND("]",$B237)-FIND("[",$B237)-1),"")</f>
        <v/>
      </c>
      <c r="D237" s="15">
        <f>IFERROR(INDEX(Personnes!$B$5:$B$153,MATCH($C237,Personnes!$A$5:$A$153,0))&amp;"","")</f>
        <v/>
      </c>
      <c r="E237" s="15">
        <f>IFERROR(INDEX(Personnes!$C$5:$C$153,MATCH($C237,Personnes!$A$5:$A$153,0))&amp;"","")</f>
        <v/>
      </c>
      <c r="F237" s="14" t="inlineStr">
        <is>
          <t>STA</t>
        </is>
      </c>
      <c r="G237" s="14" t="inlineStr">
        <is>
          <t>élève</t>
        </is>
      </c>
      <c r="H237" s="14" t="inlineStr">
        <is>
          <t>classeur</t>
        </is>
      </c>
      <c r="I237" s="16" t="n">
        <v>46272</v>
      </c>
      <c r="J237" s="16" t="n"/>
      <c r="K237" s="18" t="n"/>
      <c r="L237" s="18" t="n"/>
      <c r="M237" s="15">
        <f>IF($B237="","",IF($C237="","personne non reconnue",IF(ISERROR(SEARCH(TRIM($E237&amp;" "&amp;$D237),$B237)),"libellé incohérent avec l’identifiant",IF(COUNTIFS($A$5:$A$500,$A237,$C$5:$C$500,$C237,$F$5:$F$500,$F237,$G$5:$G$500,$G237)&gt;1,"doublon",IF($F237="","groupe manquant",IF($G237="","rôle manquant",IF($H237="","support de saisie manquant",IF(AND($I237&lt;&gt;"",$J237&lt;&gt;"",$J237&lt;$I237),"date de fin antérieure à la date de début",IF(AND($G237="encadrant",IFERROR(INDEX(Personnes!$F$5:$F$153,MATCH($C237,Personnes!$A$5:$A$153,0)),"")=""),"courriel encadrant manquant","ok")))))))))</f>
        <v/>
      </c>
    </row>
    <row r="238">
      <c r="A238" t="inlineStr">
        <is>
          <t>2026-2027</t>
        </is>
      </c>
      <c r="B238" s="14" t="inlineStr">
        <is>
          <t>Matthieu GUEGUEN [P023]</t>
        </is>
      </c>
      <c r="C238" s="15">
        <f>IFERROR(MID($B238,FIND("[",$B238)+1,FIND("]",$B238)-FIND("[",$B238)-1),"")</f>
        <v/>
      </c>
      <c r="D238" s="15">
        <f>IFERROR(INDEX(Personnes!$B$5:$B$153,MATCH($C238,Personnes!$A$5:$A$153,0))&amp;"","")</f>
        <v/>
      </c>
      <c r="E238" s="15">
        <f>IFERROR(INDEX(Personnes!$C$5:$C$153,MATCH($C238,Personnes!$A$5:$A$153,0))&amp;"","")</f>
        <v/>
      </c>
      <c r="F238" s="14" t="inlineStr">
        <is>
          <t>STA</t>
        </is>
      </c>
      <c r="G238" s="14" t="inlineStr">
        <is>
          <t>élève</t>
        </is>
      </c>
      <c r="H238" s="14" t="inlineStr">
        <is>
          <t>classeur</t>
        </is>
      </c>
      <c r="I238" s="16" t="n">
        <v>46272</v>
      </c>
      <c r="J238" s="16" t="n"/>
      <c r="K238" s="18" t="n"/>
      <c r="L238" s="18" t="n"/>
      <c r="M238" s="15">
        <f>IF($B238="","",IF($C238="","personne non reconnue",IF(ISERROR(SEARCH(TRIM($E238&amp;" "&amp;$D238),$B238)),"libellé incohérent avec l’identifiant",IF(COUNTIFS($A$5:$A$500,$A238,$C$5:$C$500,$C238,$F$5:$F$500,$F238,$G$5:$G$500,$G238)&gt;1,"doublon",IF($F238="","groupe manquant",IF($G238="","rôle manquant",IF($H238="","support de saisie manquant",IF(AND($I238&lt;&gt;"",$J238&lt;&gt;"",$J238&lt;$I238),"date de fin antérieure à la date de début",IF(AND($G238="encadrant",IFERROR(INDEX(Personnes!$F$5:$F$153,MATCH($C238,Personnes!$A$5:$A$153,0)),"")=""),"courriel encadrant manquant","ok")))))))))</f>
        <v/>
      </c>
    </row>
    <row r="239">
      <c r="A239" t="inlineStr">
        <is>
          <t>2026-2027</t>
        </is>
      </c>
      <c r="B239" s="14" t="inlineStr">
        <is>
          <t>Nelly JACQUEMOT [P024]</t>
        </is>
      </c>
      <c r="C239" s="15">
        <f>IFERROR(MID($B239,FIND("[",$B239)+1,FIND("]",$B239)-FIND("[",$B239)-1),"")</f>
        <v/>
      </c>
      <c r="D239" s="15">
        <f>IFERROR(INDEX(Personnes!$B$5:$B$153,MATCH($C239,Personnes!$A$5:$A$153,0))&amp;"","")</f>
        <v/>
      </c>
      <c r="E239" s="15">
        <f>IFERROR(INDEX(Personnes!$C$5:$C$153,MATCH($C239,Personnes!$A$5:$A$153,0))&amp;"","")</f>
        <v/>
      </c>
      <c r="F239" s="14" t="inlineStr">
        <is>
          <t>STA</t>
        </is>
      </c>
      <c r="G239" s="14" t="inlineStr">
        <is>
          <t>élève</t>
        </is>
      </c>
      <c r="H239" s="14" t="inlineStr">
        <is>
          <t>classeur</t>
        </is>
      </c>
      <c r="I239" s="16" t="n">
        <v>46272</v>
      </c>
      <c r="J239" s="16" t="n"/>
      <c r="K239" s="18" t="n"/>
      <c r="L239" s="18" t="n"/>
      <c r="M239" s="15">
        <f>IF($B239="","",IF($C239="","personne non reconnue",IF(ISERROR(SEARCH(TRIM($E239&amp;" "&amp;$D239),$B239)),"libellé incohérent avec l’identifiant",IF(COUNTIFS($A$5:$A$500,$A239,$C$5:$C$500,$C239,$F$5:$F$500,$F239,$G$5:$G$500,$G239)&gt;1,"doublon",IF($F239="","groupe manquant",IF($G239="","rôle manquant",IF($H239="","support de saisie manquant",IF(AND($I239&lt;&gt;"",$J239&lt;&gt;"",$J239&lt;$I239),"date de fin antérieure à la date de début",IF(AND($G239="encadrant",IFERROR(INDEX(Personnes!$F$5:$F$153,MATCH($C239,Personnes!$A$5:$A$153,0)),"")=""),"courriel encadrant manquant","ok")))))))))</f>
        <v/>
      </c>
    </row>
    <row r="240">
      <c r="A240" t="inlineStr">
        <is>
          <t>2026-2027</t>
        </is>
      </c>
      <c r="B240" s="14" t="inlineStr">
        <is>
          <t>Oman LAMBERT [P025]</t>
        </is>
      </c>
      <c r="C240" s="15">
        <f>IFERROR(MID($B240,FIND("[",$B240)+1,FIND("]",$B240)-FIND("[",$B240)-1),"")</f>
        <v/>
      </c>
      <c r="D240" s="15">
        <f>IFERROR(INDEX(Personnes!$B$5:$B$153,MATCH($C240,Personnes!$A$5:$A$153,0))&amp;"","")</f>
        <v/>
      </c>
      <c r="E240" s="15">
        <f>IFERROR(INDEX(Personnes!$C$5:$C$153,MATCH($C240,Personnes!$A$5:$A$153,0))&amp;"","")</f>
        <v/>
      </c>
      <c r="F240" s="14" t="inlineStr">
        <is>
          <t>STA</t>
        </is>
      </c>
      <c r="G240" s="14" t="inlineStr">
        <is>
          <t>élève</t>
        </is>
      </c>
      <c r="H240" s="14" t="inlineStr">
        <is>
          <t>classeur</t>
        </is>
      </c>
      <c r="I240" s="16" t="n">
        <v>46272</v>
      </c>
      <c r="J240" s="16" t="n"/>
      <c r="K240" s="18" t="n"/>
      <c r="L240" s="18" t="n"/>
      <c r="M240" s="15">
        <f>IF($B240="","",IF($C240="","personne non reconnue",IF(ISERROR(SEARCH(TRIM($E240&amp;" "&amp;$D240),$B240)),"libellé incohérent avec l’identifiant",IF(COUNTIFS($A$5:$A$500,$A240,$C$5:$C$500,$C240,$F$5:$F$500,$F240,$G$5:$G$500,$G240)&gt;1,"doublon",IF($F240="","groupe manquant",IF($G240="","rôle manquant",IF($H240="","support de saisie manquant",IF(AND($I240&lt;&gt;"",$J240&lt;&gt;"",$J240&lt;$I240),"date de fin antérieure à la date de début",IF(AND($G240="encadrant",IFERROR(INDEX(Personnes!$F$5:$F$153,MATCH($C240,Personnes!$A$5:$A$153,0)),"")=""),"courriel encadrant manquant","ok")))))))))</f>
        <v/>
      </c>
    </row>
    <row r="241">
      <c r="A241" t="inlineStr">
        <is>
          <t>2026-2027</t>
        </is>
      </c>
      <c r="B241" s="14" t="inlineStr">
        <is>
          <t>Pauline VALENTINI [P026]</t>
        </is>
      </c>
      <c r="C241" s="15">
        <f>IFERROR(MID($B241,FIND("[",$B241)+1,FIND("]",$B241)-FIND("[",$B241)-1),"")</f>
        <v/>
      </c>
      <c r="D241" s="15">
        <f>IFERROR(INDEX(Personnes!$B$5:$B$153,MATCH($C241,Personnes!$A$5:$A$153,0))&amp;"","")</f>
        <v/>
      </c>
      <c r="E241" s="15">
        <f>IFERROR(INDEX(Personnes!$C$5:$C$153,MATCH($C241,Personnes!$A$5:$A$153,0))&amp;"","")</f>
        <v/>
      </c>
      <c r="F241" s="14" t="inlineStr">
        <is>
          <t>STA</t>
        </is>
      </c>
      <c r="G241" s="14" t="inlineStr">
        <is>
          <t>élève</t>
        </is>
      </c>
      <c r="H241" s="14" t="inlineStr">
        <is>
          <t>classeur</t>
        </is>
      </c>
      <c r="I241" s="16" t="n">
        <v>46272</v>
      </c>
      <c r="J241" s="16" t="n"/>
      <c r="K241" s="18" t="n"/>
      <c r="L241" s="18" t="n"/>
      <c r="M241" s="15">
        <f>IF($B241="","",IF($C241="","personne non reconnue",IF(ISERROR(SEARCH(TRIM($E241&amp;" "&amp;$D241),$B241)),"libellé incohérent avec l’identifiant",IF(COUNTIFS($A$5:$A$500,$A241,$C$5:$C$500,$C241,$F$5:$F$500,$F241,$G$5:$G$500,$G241)&gt;1,"doublon",IF($F241="","groupe manquant",IF($G241="","rôle manquant",IF($H241="","support de saisie manquant",IF(AND($I241&lt;&gt;"",$J241&lt;&gt;"",$J241&lt;$I241),"date de fin antérieure à la date de début",IF(AND($G241="encadrant",IFERROR(INDEX(Personnes!$F$5:$F$153,MATCH($C241,Personnes!$A$5:$A$153,0)),"")=""),"courriel encadrant manquant","ok")))))))))</f>
        <v/>
      </c>
    </row>
    <row r="242">
      <c r="A242" t="inlineStr">
        <is>
          <t>2026-2027</t>
        </is>
      </c>
      <c r="B242" s="14" t="inlineStr">
        <is>
          <t>Samy GOBAA [P027]</t>
        </is>
      </c>
      <c r="C242" s="15">
        <f>IFERROR(MID($B242,FIND("[",$B242)+1,FIND("]",$B242)-FIND("[",$B242)-1),"")</f>
        <v/>
      </c>
      <c r="D242" s="15">
        <f>IFERROR(INDEX(Personnes!$B$5:$B$153,MATCH($C242,Personnes!$A$5:$A$153,0))&amp;"","")</f>
        <v/>
      </c>
      <c r="E242" s="15">
        <f>IFERROR(INDEX(Personnes!$C$5:$C$153,MATCH($C242,Personnes!$A$5:$A$153,0))&amp;"","")</f>
        <v/>
      </c>
      <c r="F242" s="14" t="inlineStr">
        <is>
          <t>STA</t>
        </is>
      </c>
      <c r="G242" s="14" t="inlineStr">
        <is>
          <t>élève</t>
        </is>
      </c>
      <c r="H242" s="14" t="inlineStr">
        <is>
          <t>classeur</t>
        </is>
      </c>
      <c r="I242" s="16" t="n">
        <v>46272</v>
      </c>
      <c r="J242" s="16" t="n"/>
      <c r="K242" s="18" t="n"/>
      <c r="L242" s="18" t="n"/>
      <c r="M242" s="15">
        <f>IF($B242="","",IF($C242="","personne non reconnue",IF(ISERROR(SEARCH(TRIM($E242&amp;" "&amp;$D242),$B242)),"libellé incohérent avec l’identifiant",IF(COUNTIFS($A$5:$A$500,$A242,$C$5:$C$500,$C242,$F$5:$F$500,$F242,$G$5:$G$500,$G242)&gt;1,"doublon",IF($F242="","groupe manquant",IF($G242="","rôle manquant",IF($H242="","support de saisie manquant",IF(AND($I242&lt;&gt;"",$J242&lt;&gt;"",$J242&lt;$I242),"date de fin antérieure à la date de début",IF(AND($G242="encadrant",IFERROR(INDEX(Personnes!$F$5:$F$153,MATCH($C242,Personnes!$A$5:$A$153,0)),"")=""),"courriel encadrant manquant","ok")))))))))</f>
        <v/>
      </c>
    </row>
    <row r="243">
      <c r="A243" t="inlineStr">
        <is>
          <t>2026-2027</t>
        </is>
      </c>
      <c r="B243" s="14" t="inlineStr">
        <is>
          <t>Sophie LANDEAU [P028]</t>
        </is>
      </c>
      <c r="C243" s="15">
        <f>IFERROR(MID($B243,FIND("[",$B243)+1,FIND("]",$B243)-FIND("[",$B243)-1),"")</f>
        <v/>
      </c>
      <c r="D243" s="15">
        <f>IFERROR(INDEX(Personnes!$B$5:$B$153,MATCH($C243,Personnes!$A$5:$A$153,0))&amp;"","")</f>
        <v/>
      </c>
      <c r="E243" s="15">
        <f>IFERROR(INDEX(Personnes!$C$5:$C$153,MATCH($C243,Personnes!$A$5:$A$153,0))&amp;"","")</f>
        <v/>
      </c>
      <c r="F243" s="14" t="inlineStr">
        <is>
          <t>STA</t>
        </is>
      </c>
      <c r="G243" s="14" t="inlineStr">
        <is>
          <t>élève</t>
        </is>
      </c>
      <c r="H243" s="14" t="inlineStr">
        <is>
          <t>classeur</t>
        </is>
      </c>
      <c r="I243" s="16" t="n">
        <v>46272</v>
      </c>
      <c r="J243" s="16" t="n"/>
      <c r="K243" s="18" t="n"/>
      <c r="L243" s="18" t="n"/>
      <c r="M243" s="15">
        <f>IF($B243="","",IF($C243="","personne non reconnue",IF(ISERROR(SEARCH(TRIM($E243&amp;" "&amp;$D243),$B243)),"libellé incohérent avec l’identifiant",IF(COUNTIFS($A$5:$A$500,$A243,$C$5:$C$500,$C243,$F$5:$F$500,$F243,$G$5:$G$500,$G243)&gt;1,"doublon",IF($F243="","groupe manquant",IF($G243="","rôle manquant",IF($H243="","support de saisie manquant",IF(AND($I243&lt;&gt;"",$J243&lt;&gt;"",$J243&lt;$I243),"date de fin antérieure à la date de début",IF(AND($G243="encadrant",IFERROR(INDEX(Personnes!$F$5:$F$153,MATCH($C243,Personnes!$A$5:$A$153,0)),"")=""),"courriel encadrant manquant","ok")))))))))</f>
        <v/>
      </c>
    </row>
    <row r="244">
      <c r="A244" t="inlineStr">
        <is>
          <t>2026-2027</t>
        </is>
      </c>
      <c r="B244" s="14" t="inlineStr">
        <is>
          <t>Stephane GUEGUEN [P029]</t>
        </is>
      </c>
      <c r="C244" s="15">
        <f>IFERROR(MID($B244,FIND("[",$B244)+1,FIND("]",$B244)-FIND("[",$B244)-1),"")</f>
        <v/>
      </c>
      <c r="D244" s="15">
        <f>IFERROR(INDEX(Personnes!$B$5:$B$153,MATCH($C244,Personnes!$A$5:$A$153,0))&amp;"","")</f>
        <v/>
      </c>
      <c r="E244" s="15">
        <f>IFERROR(INDEX(Personnes!$C$5:$C$153,MATCH($C244,Personnes!$A$5:$A$153,0))&amp;"","")</f>
        <v/>
      </c>
      <c r="F244" s="14" t="inlineStr">
        <is>
          <t>STA</t>
        </is>
      </c>
      <c r="G244" s="14" t="inlineStr">
        <is>
          <t>élève</t>
        </is>
      </c>
      <c r="H244" s="14" t="inlineStr">
        <is>
          <t>classeur</t>
        </is>
      </c>
      <c r="I244" s="16" t="n">
        <v>46272</v>
      </c>
      <c r="J244" s="16" t="n"/>
      <c r="K244" s="18" t="n"/>
      <c r="L244" s="18" t="n"/>
      <c r="M244" s="15">
        <f>IF($B244="","",IF($C244="","personne non reconnue",IF(ISERROR(SEARCH(TRIM($E244&amp;" "&amp;$D244),$B244)),"libellé incohérent avec l’identifiant",IF(COUNTIFS($A$5:$A$500,$A244,$C$5:$C$500,$C244,$F$5:$F$500,$F244,$G$5:$G$500,$G244)&gt;1,"doublon",IF($F244="","groupe manquant",IF($G244="","rôle manquant",IF($H244="","support de saisie manquant",IF(AND($I244&lt;&gt;"",$J244&lt;&gt;"",$J244&lt;$I244),"date de fin antérieure à la date de début",IF(AND($G244="encadrant",IFERROR(INDEX(Personnes!$F$5:$F$153,MATCH($C244,Personnes!$A$5:$A$153,0)),"")=""),"courriel encadrant manquant","ok")))))))))</f>
        <v/>
      </c>
    </row>
    <row r="245">
      <c r="A245" t="inlineStr">
        <is>
          <t>2026-2027</t>
        </is>
      </c>
      <c r="B245" s="14" t="inlineStr">
        <is>
          <t>Dominique BEAUVALLET [P030]</t>
        </is>
      </c>
      <c r="C245" s="15">
        <f>IFERROR(MID($B245,FIND("[",$B245)+1,FIND("]",$B245)-FIND("[",$B245)-1),"")</f>
        <v/>
      </c>
      <c r="D245" s="15">
        <f>IFERROR(INDEX(Personnes!$B$5:$B$153,MATCH($C245,Personnes!$A$5:$A$153,0))&amp;"","")</f>
        <v/>
      </c>
      <c r="E245" s="15">
        <f>IFERROR(INDEX(Personnes!$C$5:$C$153,MATCH($C245,Personnes!$A$5:$A$153,0))&amp;"","")</f>
        <v/>
      </c>
      <c r="F245" s="14" t="inlineStr">
        <is>
          <t>STA</t>
        </is>
      </c>
      <c r="G245" s="14" t="inlineStr">
        <is>
          <t>élève</t>
        </is>
      </c>
      <c r="H245" s="14" t="inlineStr">
        <is>
          <t>classeur</t>
        </is>
      </c>
      <c r="I245" s="16" t="n">
        <v>46272</v>
      </c>
      <c r="J245" s="16" t="n"/>
      <c r="K245" s="18" t="n"/>
      <c r="L245" s="18" t="n"/>
      <c r="M245" s="15">
        <f>IF($B245="","",IF($C245="","personne non reconnue",IF(ISERROR(SEARCH(TRIM($E245&amp;" "&amp;$D245),$B245)),"libellé incohérent avec l’identifiant",IF(COUNTIFS($A$5:$A$500,$A245,$C$5:$C$500,$C245,$F$5:$F$500,$F245,$G$5:$G$500,$G245)&gt;1,"doublon",IF($F245="","groupe manquant",IF($G245="","rôle manquant",IF($H245="","support de saisie manquant",IF(AND($I245&lt;&gt;"",$J245&lt;&gt;"",$J245&lt;$I245),"date de fin antérieure à la date de début",IF(AND($G245="encadrant",IFERROR(INDEX(Personnes!$F$5:$F$153,MATCH($C245,Personnes!$A$5:$A$153,0)),"")=""),"courriel encadrant manquant","ok")))))))))</f>
        <v/>
      </c>
    </row>
    <row r="246">
      <c r="A246" t="inlineStr">
        <is>
          <t>2026-2027</t>
        </is>
      </c>
      <c r="B246" s="14" t="inlineStr">
        <is>
          <t>Victorinne CHARDONNET [P031]</t>
        </is>
      </c>
      <c r="C246" s="15">
        <f>IFERROR(MID($B246,FIND("[",$B246)+1,FIND("]",$B246)-FIND("[",$B246)-1),"")</f>
        <v/>
      </c>
      <c r="D246" s="15">
        <f>IFERROR(INDEX(Personnes!$B$5:$B$153,MATCH($C246,Personnes!$A$5:$A$153,0))&amp;"","")</f>
        <v/>
      </c>
      <c r="E246" s="15">
        <f>IFERROR(INDEX(Personnes!$C$5:$C$153,MATCH($C246,Personnes!$A$5:$A$153,0))&amp;"","")</f>
        <v/>
      </c>
      <c r="F246" s="14" t="inlineStr">
        <is>
          <t>STA</t>
        </is>
      </c>
      <c r="G246" s="14" t="inlineStr">
        <is>
          <t>élève</t>
        </is>
      </c>
      <c r="H246" s="14" t="inlineStr">
        <is>
          <t>classeur</t>
        </is>
      </c>
      <c r="I246" s="16" t="n">
        <v>46272</v>
      </c>
      <c r="J246" s="16" t="n"/>
      <c r="K246" s="18" t="n"/>
      <c r="L246" s="18" t="n"/>
      <c r="M246" s="15">
        <f>IF($B246="","",IF($C246="","personne non reconnue",IF(ISERROR(SEARCH(TRIM($E246&amp;" "&amp;$D246),$B246)),"libellé incohérent avec l’identifiant",IF(COUNTIFS($A$5:$A$500,$A246,$C$5:$C$500,$C246,$F$5:$F$500,$F246,$G$5:$G$500,$G246)&gt;1,"doublon",IF($F246="","groupe manquant",IF($G246="","rôle manquant",IF($H246="","support de saisie manquant",IF(AND($I246&lt;&gt;"",$J246&lt;&gt;"",$J246&lt;$I246),"date de fin antérieure à la date de début",IF(AND($G246="encadrant",IFERROR(INDEX(Personnes!$F$5:$F$153,MATCH($C246,Personnes!$A$5:$A$153,0)),"")=""),"courriel encadrant manquant","ok")))))))))</f>
        <v/>
      </c>
    </row>
    <row r="247">
      <c r="A247" t="inlineStr">
        <is>
          <t>2026-2027</t>
        </is>
      </c>
      <c r="B247" s="14" t="inlineStr">
        <is>
          <t>Michael GRENIER [P032]</t>
        </is>
      </c>
      <c r="C247" s="15">
        <f>IFERROR(MID($B247,FIND("[",$B247)+1,FIND("]",$B247)-FIND("[",$B247)-1),"")</f>
        <v/>
      </c>
      <c r="D247" s="15">
        <f>IFERROR(INDEX(Personnes!$B$5:$B$153,MATCH($C247,Personnes!$A$5:$A$153,0))&amp;"","")</f>
        <v/>
      </c>
      <c r="E247" s="15">
        <f>IFERROR(INDEX(Personnes!$C$5:$C$153,MATCH($C247,Personnes!$A$5:$A$153,0))&amp;"","")</f>
        <v/>
      </c>
      <c r="F247" s="14" t="inlineStr">
        <is>
          <t>STA</t>
        </is>
      </c>
      <c r="G247" s="14" t="inlineStr">
        <is>
          <t>élève</t>
        </is>
      </c>
      <c r="H247" s="14" t="inlineStr">
        <is>
          <t>classeur</t>
        </is>
      </c>
      <c r="I247" s="16" t="n">
        <v>46272</v>
      </c>
      <c r="J247" s="16" t="n"/>
      <c r="K247" s="18" t="n"/>
      <c r="L247" s="18" t="n"/>
      <c r="M247" s="15">
        <f>IF($B247="","",IF($C247="","personne non reconnue",IF(ISERROR(SEARCH(TRIM($E247&amp;" "&amp;$D247),$B247)),"libellé incohérent avec l’identifiant",IF(COUNTIFS($A$5:$A$500,$A247,$C$5:$C$500,$C247,$F$5:$F$500,$F247,$G$5:$G$500,$G247)&gt;1,"doublon",IF($F247="","groupe manquant",IF($G247="","rôle manquant",IF($H247="","support de saisie manquant",IF(AND($I247&lt;&gt;"",$J247&lt;&gt;"",$J247&lt;$I247),"date de fin antérieure à la date de début",IF(AND($G247="encadrant",IFERROR(INDEX(Personnes!$F$5:$F$153,MATCH($C247,Personnes!$A$5:$A$153,0)),"")=""),"courriel encadrant manquant","ok")))))))))</f>
        <v/>
      </c>
    </row>
    <row r="248">
      <c r="A248" t="inlineStr">
        <is>
          <t>2026-2027</t>
        </is>
      </c>
      <c r="B248" s="14" t="inlineStr">
        <is>
          <t>François MEMHELD [P033]</t>
        </is>
      </c>
      <c r="C248" s="15">
        <f>IFERROR(MID($B248,FIND("[",$B248)+1,FIND("]",$B248)-FIND("[",$B248)-1),"")</f>
        <v/>
      </c>
      <c r="D248" s="15">
        <f>IFERROR(INDEX(Personnes!$B$5:$B$153,MATCH($C248,Personnes!$A$5:$A$153,0))&amp;"","")</f>
        <v/>
      </c>
      <c r="E248" s="15">
        <f>IFERROR(INDEX(Personnes!$C$5:$C$153,MATCH($C248,Personnes!$A$5:$A$153,0))&amp;"","")</f>
        <v/>
      </c>
      <c r="F248" s="14" t="inlineStr">
        <is>
          <t>STA</t>
        </is>
      </c>
      <c r="G248" s="14" t="inlineStr">
        <is>
          <t>élève</t>
        </is>
      </c>
      <c r="H248" s="14" t="inlineStr">
        <is>
          <t>classeur</t>
        </is>
      </c>
      <c r="I248" s="16" t="n">
        <v>46272</v>
      </c>
      <c r="J248" s="16" t="n"/>
      <c r="K248" s="18" t="n"/>
      <c r="L248" s="18" t="n"/>
      <c r="M248" s="15">
        <f>IF($B248="","",IF($C248="","personne non reconnue",IF(ISERROR(SEARCH(TRIM($E248&amp;" "&amp;$D248),$B248)),"libellé incohérent avec l’identifiant",IF(COUNTIFS($A$5:$A$500,$A248,$C$5:$C$500,$C248,$F$5:$F$500,$F248,$G$5:$G$500,$G248)&gt;1,"doublon",IF($F248="","groupe manquant",IF($G248="","rôle manquant",IF($H248="","support de saisie manquant",IF(AND($I248&lt;&gt;"",$J248&lt;&gt;"",$J248&lt;$I248),"date de fin antérieure à la date de début",IF(AND($G248="encadrant",IFERROR(INDEX(Personnes!$F$5:$F$153,MATCH($C248,Personnes!$A$5:$A$153,0)),"")=""),"courriel encadrant manquant","ok")))))))))</f>
        <v/>
      </c>
    </row>
    <row r="249">
      <c r="A249" t="inlineStr">
        <is>
          <t>2026-2027</t>
        </is>
      </c>
      <c r="B249" s="14" t="inlineStr">
        <is>
          <t>Gabrielle BEYL [P035]</t>
        </is>
      </c>
      <c r="C249" s="15">
        <f>IFERROR(MID($B249,FIND("[",$B249)+1,FIND("]",$B249)-FIND("[",$B249)-1),"")</f>
        <v/>
      </c>
      <c r="D249" s="15">
        <f>IFERROR(INDEX(Personnes!$B$5:$B$153,MATCH($C249,Personnes!$A$5:$A$153,0))&amp;"","")</f>
        <v/>
      </c>
      <c r="E249" s="15">
        <f>IFERROR(INDEX(Personnes!$C$5:$C$153,MATCH($C249,Personnes!$A$5:$A$153,0))&amp;"","")</f>
        <v/>
      </c>
      <c r="F249" s="14" t="inlineStr">
        <is>
          <t>STA</t>
        </is>
      </c>
      <c r="G249" s="14" t="inlineStr">
        <is>
          <t>élève</t>
        </is>
      </c>
      <c r="H249" s="14" t="inlineStr">
        <is>
          <t>classeur</t>
        </is>
      </c>
      <c r="I249" s="16" t="n">
        <v>46272</v>
      </c>
      <c r="J249" s="16" t="n"/>
      <c r="K249" s="18" t="n"/>
      <c r="L249" s="18" t="n"/>
      <c r="M249" s="15">
        <f>IF($B249="","",IF($C249="","personne non reconnue",IF(ISERROR(SEARCH(TRIM($E249&amp;" "&amp;$D249),$B249)),"libellé incohérent avec l’identifiant",IF(COUNTIFS($A$5:$A$500,$A249,$C$5:$C$500,$C249,$F$5:$F$500,$F249,$G$5:$G$500,$G249)&gt;1,"doublon",IF($F249="","groupe manquant",IF($G249="","rôle manquant",IF($H249="","support de saisie manquant",IF(AND($I249&lt;&gt;"",$J249&lt;&gt;"",$J249&lt;$I249),"date de fin antérieure à la date de début",IF(AND($G249="encadrant",IFERROR(INDEX(Personnes!$F$5:$F$153,MATCH($C249,Personnes!$A$5:$A$153,0)),"")=""),"courriel encadrant manquant","ok")))))))))</f>
        <v/>
      </c>
    </row>
    <row r="250">
      <c r="A250" t="inlineStr">
        <is>
          <t>2026-2027</t>
        </is>
      </c>
      <c r="B250" s="14" t="inlineStr">
        <is>
          <t>Sandry WALLON [P036]</t>
        </is>
      </c>
      <c r="C250" s="15">
        <f>IFERROR(MID($B250,FIND("[",$B250)+1,FIND("]",$B250)-FIND("[",$B250)-1),"")</f>
        <v/>
      </c>
      <c r="D250" s="15">
        <f>IFERROR(INDEX(Personnes!$B$5:$B$153,MATCH($C250,Personnes!$A$5:$A$153,0))&amp;"","")</f>
        <v/>
      </c>
      <c r="E250" s="15">
        <f>IFERROR(INDEX(Personnes!$C$5:$C$153,MATCH($C250,Personnes!$A$5:$A$153,0))&amp;"","")</f>
        <v/>
      </c>
      <c r="F250" s="14" t="inlineStr">
        <is>
          <t>STA</t>
        </is>
      </c>
      <c r="G250" s="14" t="inlineStr">
        <is>
          <t>élève</t>
        </is>
      </c>
      <c r="H250" s="14" t="inlineStr">
        <is>
          <t>classeur</t>
        </is>
      </c>
      <c r="I250" s="16" t="n">
        <v>46272</v>
      </c>
      <c r="J250" s="16" t="n"/>
      <c r="K250" s="18" t="n"/>
      <c r="L250" s="18" t="n"/>
      <c r="M250" s="15">
        <f>IF($B250="","",IF($C250="","personne non reconnue",IF(ISERROR(SEARCH(TRIM($E250&amp;" "&amp;$D250),$B250)),"libellé incohérent avec l’identifiant",IF(COUNTIFS($A$5:$A$500,$A250,$C$5:$C$500,$C250,$F$5:$F$500,$F250,$G$5:$G$500,$G250)&gt;1,"doublon",IF($F250="","groupe manquant",IF($G250="","rôle manquant",IF($H250="","support de saisie manquant",IF(AND($I250&lt;&gt;"",$J250&lt;&gt;"",$J250&lt;$I250),"date de fin antérieure à la date de début",IF(AND($G250="encadrant",IFERROR(INDEX(Personnes!$F$5:$F$153,MATCH($C250,Personnes!$A$5:$A$153,0)),"")=""),"courriel encadrant manquant","ok")))))))))</f>
        <v/>
      </c>
    </row>
    <row r="251">
      <c r="A251" t="inlineStr">
        <is>
          <t>2026-2027</t>
        </is>
      </c>
      <c r="B251" s="14" t="inlineStr">
        <is>
          <t>Fred LE BRIGAND [P037]</t>
        </is>
      </c>
      <c r="C251" s="15">
        <f>IFERROR(MID($B251,FIND("[",$B251)+1,FIND("]",$B251)-FIND("[",$B251)-1),"")</f>
        <v/>
      </c>
      <c r="D251" s="15">
        <f>IFERROR(INDEX(Personnes!$B$5:$B$153,MATCH($C251,Personnes!$A$5:$A$153,0))&amp;"","")</f>
        <v/>
      </c>
      <c r="E251" s="15">
        <f>IFERROR(INDEX(Personnes!$C$5:$C$153,MATCH($C251,Personnes!$A$5:$A$153,0))&amp;"","")</f>
        <v/>
      </c>
      <c r="F251" s="14" t="inlineStr">
        <is>
          <t>STA</t>
        </is>
      </c>
      <c r="G251" s="14" t="inlineStr">
        <is>
          <t>élève</t>
        </is>
      </c>
      <c r="H251" s="14" t="inlineStr">
        <is>
          <t>classeur</t>
        </is>
      </c>
      <c r="I251" s="16" t="n">
        <v>46272</v>
      </c>
      <c r="J251" s="16" t="n"/>
      <c r="K251" s="18" t="n"/>
      <c r="L251" s="18" t="n"/>
      <c r="M251" s="15">
        <f>IF($B251="","",IF($C251="","personne non reconnue",IF(ISERROR(SEARCH(TRIM($E251&amp;" "&amp;$D251),$B251)),"libellé incohérent avec l’identifiant",IF(COUNTIFS($A$5:$A$500,$A251,$C$5:$C$500,$C251,$F$5:$F$500,$F251,$G$5:$G$500,$G251)&gt;1,"doublon",IF($F251="","groupe manquant",IF($G251="","rôle manquant",IF($H251="","support de saisie manquant",IF(AND($I251&lt;&gt;"",$J251&lt;&gt;"",$J251&lt;$I251),"date de fin antérieure à la date de début",IF(AND($G251="encadrant",IFERROR(INDEX(Personnes!$F$5:$F$153,MATCH($C251,Personnes!$A$5:$A$153,0)),"")=""),"courriel encadrant manquant","ok")))))))))</f>
        <v/>
      </c>
    </row>
    <row r="252">
      <c r="A252" t="inlineStr">
        <is>
          <t>2026-2027</t>
        </is>
      </c>
      <c r="B252" s="14" t="inlineStr">
        <is>
          <t>Philippe FREDON [P039]</t>
        </is>
      </c>
      <c r="C252" s="15">
        <f>IFERROR(MID($B252,FIND("[",$B252)+1,FIND("]",$B252)-FIND("[",$B252)-1),"")</f>
        <v/>
      </c>
      <c r="D252" s="15">
        <f>IFERROR(INDEX(Personnes!$B$5:$B$153,MATCH($C252,Personnes!$A$5:$A$153,0))&amp;"","")</f>
        <v/>
      </c>
      <c r="E252" s="15">
        <f>IFERROR(INDEX(Personnes!$C$5:$C$153,MATCH($C252,Personnes!$A$5:$A$153,0))&amp;"","")</f>
        <v/>
      </c>
      <c r="F252" s="14" t="inlineStr">
        <is>
          <t>STA</t>
        </is>
      </c>
      <c r="G252" s="14" t="inlineStr">
        <is>
          <t>élève</t>
        </is>
      </c>
      <c r="H252" s="14" t="inlineStr">
        <is>
          <t>classeur</t>
        </is>
      </c>
      <c r="I252" s="16" t="n">
        <v>46272</v>
      </c>
      <c r="J252" s="16" t="n"/>
      <c r="K252" s="18" t="n"/>
      <c r="L252" s="18" t="n"/>
      <c r="M252" s="15">
        <f>IF($B252="","",IF($C252="","personne non reconnue",IF(ISERROR(SEARCH(TRIM($E252&amp;" "&amp;$D252),$B252)),"libellé incohérent avec l’identifiant",IF(COUNTIFS($A$5:$A$500,$A252,$C$5:$C$500,$C252,$F$5:$F$500,$F252,$G$5:$G$500,$G252)&gt;1,"doublon",IF($F252="","groupe manquant",IF($G252="","rôle manquant",IF($H252="","support de saisie manquant",IF(AND($I252&lt;&gt;"",$J252&lt;&gt;"",$J252&lt;$I252),"date de fin antérieure à la date de début",IF(AND($G252="encadrant",IFERROR(INDEX(Personnes!$F$5:$F$153,MATCH($C252,Personnes!$A$5:$A$153,0)),"")=""),"courriel encadrant manquant","ok")))))))))</f>
        <v/>
      </c>
    </row>
    <row r="253">
      <c r="A253" t="inlineStr">
        <is>
          <t>2026-2027</t>
        </is>
      </c>
      <c r="B253" s="14" t="inlineStr">
        <is>
          <t>Anthony GUGLIELMO [P040]</t>
        </is>
      </c>
      <c r="C253" s="15">
        <f>IFERROR(MID($B253,FIND("[",$B253)+1,FIND("]",$B253)-FIND("[",$B253)-1),"")</f>
        <v/>
      </c>
      <c r="D253" s="15">
        <f>IFERROR(INDEX(Personnes!$B$5:$B$153,MATCH($C253,Personnes!$A$5:$A$153,0))&amp;"","")</f>
        <v/>
      </c>
      <c r="E253" s="15">
        <f>IFERROR(INDEX(Personnes!$C$5:$C$153,MATCH($C253,Personnes!$A$5:$A$153,0))&amp;"","")</f>
        <v/>
      </c>
      <c r="F253" s="14" t="inlineStr">
        <is>
          <t>STA</t>
        </is>
      </c>
      <c r="G253" s="14" t="inlineStr">
        <is>
          <t>élève</t>
        </is>
      </c>
      <c r="H253" s="14" t="inlineStr">
        <is>
          <t>classeur</t>
        </is>
      </c>
      <c r="I253" s="16" t="n">
        <v>46272</v>
      </c>
      <c r="J253" s="16" t="n"/>
      <c r="K253" s="18" t="n"/>
      <c r="L253" s="18" t="n"/>
      <c r="M253" s="15">
        <f>IF($B253="","",IF($C253="","personne non reconnue",IF(ISERROR(SEARCH(TRIM($E253&amp;" "&amp;$D253),$B253)),"libellé incohérent avec l’identifiant",IF(COUNTIFS($A$5:$A$500,$A253,$C$5:$C$500,$C253,$F$5:$F$500,$F253,$G$5:$G$500,$G253)&gt;1,"doublon",IF($F253="","groupe manquant",IF($G253="","rôle manquant",IF($H253="","support de saisie manquant",IF(AND($I253&lt;&gt;"",$J253&lt;&gt;"",$J253&lt;$I253),"date de fin antérieure à la date de début",IF(AND($G253="encadrant",IFERROR(INDEX(Personnes!$F$5:$F$153,MATCH($C253,Personnes!$A$5:$A$153,0)),"")=""),"courriel encadrant manquant","ok")))))))))</f>
        <v/>
      </c>
    </row>
    <row r="254">
      <c r="A254" t="inlineStr">
        <is>
          <t>2026-2027</t>
        </is>
      </c>
      <c r="B254" s="14" t="inlineStr">
        <is>
          <t>Pierre-Alain HOYAU [P041]</t>
        </is>
      </c>
      <c r="C254" s="15">
        <f>IFERROR(MID($B254,FIND("[",$B254)+1,FIND("]",$B254)-FIND("[",$B254)-1),"")</f>
        <v/>
      </c>
      <c r="D254" s="15">
        <f>IFERROR(INDEX(Personnes!$B$5:$B$153,MATCH($C254,Personnes!$A$5:$A$153,0))&amp;"","")</f>
        <v/>
      </c>
      <c r="E254" s="15">
        <f>IFERROR(INDEX(Personnes!$C$5:$C$153,MATCH($C254,Personnes!$A$5:$A$153,0))&amp;"","")</f>
        <v/>
      </c>
      <c r="F254" s="14" t="inlineStr">
        <is>
          <t>STA</t>
        </is>
      </c>
      <c r="G254" s="14" t="inlineStr">
        <is>
          <t>élève</t>
        </is>
      </c>
      <c r="H254" s="14" t="inlineStr">
        <is>
          <t>classeur</t>
        </is>
      </c>
      <c r="I254" s="16" t="n">
        <v>46272</v>
      </c>
      <c r="J254" s="16" t="n"/>
      <c r="K254" s="18" t="n"/>
      <c r="L254" s="18" t="n"/>
      <c r="M254" s="15">
        <f>IF($B254="","",IF($C254="","personne non reconnue",IF(ISERROR(SEARCH(TRIM($E254&amp;" "&amp;$D254),$B254)),"libellé incohérent avec l’identifiant",IF(COUNTIFS($A$5:$A$500,$A254,$C$5:$C$500,$C254,$F$5:$F$500,$F254,$G$5:$G$500,$G254)&gt;1,"doublon",IF($F254="","groupe manquant",IF($G254="","rôle manquant",IF($H254="","support de saisie manquant",IF(AND($I254&lt;&gt;"",$J254&lt;&gt;"",$J254&lt;$I254),"date de fin antérieure à la date de début",IF(AND($G254="encadrant",IFERROR(INDEX(Personnes!$F$5:$F$153,MATCH($C254,Personnes!$A$5:$A$153,0)),"")=""),"courriel encadrant manquant","ok")))))))))</f>
        <v/>
      </c>
    </row>
    <row r="255">
      <c r="A255" t="inlineStr">
        <is>
          <t>2026-2027</t>
        </is>
      </c>
      <c r="B255" s="14" t="inlineStr">
        <is>
          <t>David INSERGUET [P042]</t>
        </is>
      </c>
      <c r="C255" s="15">
        <f>IFERROR(MID($B255,FIND("[",$B255)+1,FIND("]",$B255)-FIND("[",$B255)-1),"")</f>
        <v/>
      </c>
      <c r="D255" s="15">
        <f>IFERROR(INDEX(Personnes!$B$5:$B$153,MATCH($C255,Personnes!$A$5:$A$153,0))&amp;"","")</f>
        <v/>
      </c>
      <c r="E255" s="15">
        <f>IFERROR(INDEX(Personnes!$C$5:$C$153,MATCH($C255,Personnes!$A$5:$A$153,0))&amp;"","")</f>
        <v/>
      </c>
      <c r="F255" s="14" t="inlineStr">
        <is>
          <t>STA</t>
        </is>
      </c>
      <c r="G255" s="14" t="inlineStr">
        <is>
          <t>élève</t>
        </is>
      </c>
      <c r="H255" s="14" t="inlineStr">
        <is>
          <t>classeur</t>
        </is>
      </c>
      <c r="I255" s="16" t="n">
        <v>46272</v>
      </c>
      <c r="J255" s="16" t="n"/>
      <c r="K255" s="18" t="n"/>
      <c r="L255" s="18" t="n"/>
      <c r="M255" s="15">
        <f>IF($B255="","",IF($C255="","personne non reconnue",IF(ISERROR(SEARCH(TRIM($E255&amp;" "&amp;$D255),$B255)),"libellé incohérent avec l’identifiant",IF(COUNTIFS($A$5:$A$500,$A255,$C$5:$C$500,$C255,$F$5:$F$500,$F255,$G$5:$G$500,$G255)&gt;1,"doublon",IF($F255="","groupe manquant",IF($G255="","rôle manquant",IF($H255="","support de saisie manquant",IF(AND($I255&lt;&gt;"",$J255&lt;&gt;"",$J255&lt;$I255),"date de fin antérieure à la date de début",IF(AND($G255="encadrant",IFERROR(INDEX(Personnes!$F$5:$F$153,MATCH($C255,Personnes!$A$5:$A$153,0)),"")=""),"courriel encadrant manquant","ok")))))))))</f>
        <v/>
      </c>
    </row>
    <row r="256">
      <c r="A256" t="inlineStr">
        <is>
          <t>2026-2027</t>
        </is>
      </c>
      <c r="B256" s="14" t="inlineStr">
        <is>
          <t>Céline DUMONT [P043]</t>
        </is>
      </c>
      <c r="C256" s="15">
        <f>IFERROR(MID($B256,FIND("[",$B256)+1,FIND("]",$B256)-FIND("[",$B256)-1),"")</f>
        <v/>
      </c>
      <c r="D256" s="15">
        <f>IFERROR(INDEX(Personnes!$B$5:$B$153,MATCH($C256,Personnes!$A$5:$A$153,0))&amp;"","")</f>
        <v/>
      </c>
      <c r="E256" s="15">
        <f>IFERROR(INDEX(Personnes!$C$5:$C$153,MATCH($C256,Personnes!$A$5:$A$153,0))&amp;"","")</f>
        <v/>
      </c>
      <c r="F256" s="14" t="inlineStr">
        <is>
          <t>STA</t>
        </is>
      </c>
      <c r="G256" s="14" t="inlineStr">
        <is>
          <t>élève</t>
        </is>
      </c>
      <c r="H256" s="14" t="inlineStr">
        <is>
          <t>classeur</t>
        </is>
      </c>
      <c r="I256" s="16" t="n">
        <v>46272</v>
      </c>
      <c r="J256" s="16" t="n"/>
      <c r="K256" s="18" t="n"/>
      <c r="L256" s="18" t="n"/>
      <c r="M256" s="15">
        <f>IF($B256="","",IF($C256="","personne non reconnue",IF(ISERROR(SEARCH(TRIM($E256&amp;" "&amp;$D256),$B256)),"libellé incohérent avec l’identifiant",IF(COUNTIFS($A$5:$A$500,$A256,$C$5:$C$500,$C256,$F$5:$F$500,$F256,$G$5:$G$500,$G256)&gt;1,"doublon",IF($F256="","groupe manquant",IF($G256="","rôle manquant",IF($H256="","support de saisie manquant",IF(AND($I256&lt;&gt;"",$J256&lt;&gt;"",$J256&lt;$I256),"date de fin antérieure à la date de début",IF(AND($G256="encadrant",IFERROR(INDEX(Personnes!$F$5:$F$153,MATCH($C256,Personnes!$A$5:$A$153,0)),"")=""),"courriel encadrant manquant","ok")))))))))</f>
        <v/>
      </c>
    </row>
    <row r="257">
      <c r="A257" t="inlineStr">
        <is>
          <t>2026-2027</t>
        </is>
      </c>
      <c r="B257" s="14" t="inlineStr">
        <is>
          <t>Alain PASCAL [P044]</t>
        </is>
      </c>
      <c r="C257" s="15">
        <f>IFERROR(MID($B257,FIND("[",$B257)+1,FIND("]",$B257)-FIND("[",$B257)-1),"")</f>
        <v/>
      </c>
      <c r="D257" s="15">
        <f>IFERROR(INDEX(Personnes!$B$5:$B$153,MATCH($C257,Personnes!$A$5:$A$153,0))&amp;"","")</f>
        <v/>
      </c>
      <c r="E257" s="15">
        <f>IFERROR(INDEX(Personnes!$C$5:$C$153,MATCH($C257,Personnes!$A$5:$A$153,0))&amp;"","")</f>
        <v/>
      </c>
      <c r="F257" s="14" t="inlineStr">
        <is>
          <t>STA</t>
        </is>
      </c>
      <c r="G257" s="14" t="inlineStr">
        <is>
          <t>élève</t>
        </is>
      </c>
      <c r="H257" s="14" t="inlineStr">
        <is>
          <t>classeur</t>
        </is>
      </c>
      <c r="I257" s="16" t="n">
        <v>46272</v>
      </c>
      <c r="J257" s="16" t="n"/>
      <c r="K257" s="18" t="n"/>
      <c r="L257" s="18" t="n"/>
      <c r="M257" s="15">
        <f>IF($B257="","",IF($C257="","personne non reconnue",IF(ISERROR(SEARCH(TRIM($E257&amp;" "&amp;$D257),$B257)),"libellé incohérent avec l’identifiant",IF(COUNTIFS($A$5:$A$500,$A257,$C$5:$C$500,$C257,$F$5:$F$500,$F257,$G$5:$G$500,$G257)&gt;1,"doublon",IF($F257="","groupe manquant",IF($G257="","rôle manquant",IF($H257="","support de saisie manquant",IF(AND($I257&lt;&gt;"",$J257&lt;&gt;"",$J257&lt;$I257),"date de fin antérieure à la date de début",IF(AND($G257="encadrant",IFERROR(INDEX(Personnes!$F$5:$F$153,MATCH($C257,Personnes!$A$5:$A$153,0)),"")=""),"courriel encadrant manquant","ok")))))))))</f>
        <v/>
      </c>
    </row>
    <row r="258">
      <c r="A258" t="inlineStr">
        <is>
          <t>2026-2027</t>
        </is>
      </c>
      <c r="B258" s="14" t="inlineStr">
        <is>
          <t>Yvan MEASSON [P046]</t>
        </is>
      </c>
      <c r="C258" s="15">
        <f>IFERROR(MID($B258,FIND("[",$B258)+1,FIND("]",$B258)-FIND("[",$B258)-1),"")</f>
        <v/>
      </c>
      <c r="D258" s="15">
        <f>IFERROR(INDEX(Personnes!$B$5:$B$153,MATCH($C258,Personnes!$A$5:$A$153,0))&amp;"","")</f>
        <v/>
      </c>
      <c r="E258" s="15">
        <f>IFERROR(INDEX(Personnes!$C$5:$C$153,MATCH($C258,Personnes!$A$5:$A$153,0))&amp;"","")</f>
        <v/>
      </c>
      <c r="F258" s="14" t="inlineStr">
        <is>
          <t>STA</t>
        </is>
      </c>
      <c r="G258" s="14" t="inlineStr">
        <is>
          <t>élève</t>
        </is>
      </c>
      <c r="H258" s="14" t="inlineStr">
        <is>
          <t>classeur</t>
        </is>
      </c>
      <c r="I258" s="16" t="n">
        <v>46272</v>
      </c>
      <c r="J258" s="16" t="n"/>
      <c r="K258" s="18" t="n"/>
      <c r="L258" s="18" t="n"/>
      <c r="M258" s="15">
        <f>IF($B258="","",IF($C258="","personne non reconnue",IF(ISERROR(SEARCH(TRIM($E258&amp;" "&amp;$D258),$B258)),"libellé incohérent avec l’identifiant",IF(COUNTIFS($A$5:$A$500,$A258,$C$5:$C$500,$C258,$F$5:$F$500,$F258,$G$5:$G$500,$G258)&gt;1,"doublon",IF($F258="","groupe manquant",IF($G258="","rôle manquant",IF($H258="","support de saisie manquant",IF(AND($I258&lt;&gt;"",$J258&lt;&gt;"",$J258&lt;$I258),"date de fin antérieure à la date de début",IF(AND($G258="encadrant",IFERROR(INDEX(Personnes!$F$5:$F$153,MATCH($C258,Personnes!$A$5:$A$153,0)),"")=""),"courriel encadrant manquant","ok")))))))))</f>
        <v/>
      </c>
    </row>
    <row r="259">
      <c r="A259" t="inlineStr">
        <is>
          <t>2026-2027</t>
        </is>
      </c>
      <c r="B259" s="14" t="inlineStr">
        <is>
          <t>Katarina STANKIEWICZ [P047]</t>
        </is>
      </c>
      <c r="C259" s="15">
        <f>IFERROR(MID($B259,FIND("[",$B259)+1,FIND("]",$B259)-FIND("[",$B259)-1),"")</f>
        <v/>
      </c>
      <c r="D259" s="15">
        <f>IFERROR(INDEX(Personnes!$B$5:$B$153,MATCH($C259,Personnes!$A$5:$A$153,0))&amp;"","")</f>
        <v/>
      </c>
      <c r="E259" s="15">
        <f>IFERROR(INDEX(Personnes!$C$5:$C$153,MATCH($C259,Personnes!$A$5:$A$153,0))&amp;"","")</f>
        <v/>
      </c>
      <c r="F259" s="14" t="inlineStr">
        <is>
          <t>STA</t>
        </is>
      </c>
      <c r="G259" s="14" t="inlineStr">
        <is>
          <t>élève</t>
        </is>
      </c>
      <c r="H259" s="14" t="inlineStr">
        <is>
          <t>classeur</t>
        </is>
      </c>
      <c r="I259" s="16" t="n">
        <v>46272</v>
      </c>
      <c r="J259" s="16" t="n"/>
      <c r="K259" s="18" t="n"/>
      <c r="L259" s="18" t="n"/>
      <c r="M259" s="15">
        <f>IF($B259="","",IF($C259="","personne non reconnue",IF(ISERROR(SEARCH(TRIM($E259&amp;" "&amp;$D259),$B259)),"libellé incohérent avec l’identifiant",IF(COUNTIFS($A$5:$A$500,$A259,$C$5:$C$500,$C259,$F$5:$F$500,$F259,$G$5:$G$500,$G259)&gt;1,"doublon",IF($F259="","groupe manquant",IF($G259="","rôle manquant",IF($H259="","support de saisie manquant",IF(AND($I259&lt;&gt;"",$J259&lt;&gt;"",$J259&lt;$I259),"date de fin antérieure à la date de début",IF(AND($G259="encadrant",IFERROR(INDEX(Personnes!$F$5:$F$153,MATCH($C259,Personnes!$A$5:$A$153,0)),"")=""),"courriel encadrant manquant","ok")))))))))</f>
        <v/>
      </c>
    </row>
    <row r="260">
      <c r="A260" t="inlineStr">
        <is>
          <t>2026-2027</t>
        </is>
      </c>
      <c r="B260" s="14" t="inlineStr">
        <is>
          <t>Gérald LELARGE [P050]</t>
        </is>
      </c>
      <c r="C260" s="15">
        <f>IFERROR(MID($B260,FIND("[",$B260)+1,FIND("]",$B260)-FIND("[",$B260)-1),"")</f>
        <v/>
      </c>
      <c r="D260" s="15">
        <f>IFERROR(INDEX(Personnes!$B$5:$B$153,MATCH($C260,Personnes!$A$5:$A$153,0))&amp;"","")</f>
        <v/>
      </c>
      <c r="E260" s="15">
        <f>IFERROR(INDEX(Personnes!$C$5:$C$153,MATCH($C260,Personnes!$A$5:$A$153,0))&amp;"","")</f>
        <v/>
      </c>
      <c r="F260" s="14" t="inlineStr">
        <is>
          <t>STA</t>
        </is>
      </c>
      <c r="G260" s="14" t="inlineStr">
        <is>
          <t>élève</t>
        </is>
      </c>
      <c r="H260" s="14" t="inlineStr">
        <is>
          <t>classeur</t>
        </is>
      </c>
      <c r="I260" s="16" t="n">
        <v>46272</v>
      </c>
      <c r="J260" s="16" t="n"/>
      <c r="K260" s="18" t="n"/>
      <c r="L260" s="18" t="n"/>
      <c r="M260" s="15">
        <f>IF($B260="","",IF($C260="","personne non reconnue",IF(ISERROR(SEARCH(TRIM($E260&amp;" "&amp;$D260),$B260)),"libellé incohérent avec l’identifiant",IF(COUNTIFS($A$5:$A$500,$A260,$C$5:$C$500,$C260,$F$5:$F$500,$F260,$G$5:$G$500,$G260)&gt;1,"doublon",IF($F260="","groupe manquant",IF($G260="","rôle manquant",IF($H260="","support de saisie manquant",IF(AND($I260&lt;&gt;"",$J260&lt;&gt;"",$J260&lt;$I260),"date de fin antérieure à la date de début",IF(AND($G260="encadrant",IFERROR(INDEX(Personnes!$F$5:$F$153,MATCH($C260,Personnes!$A$5:$A$153,0)),"")=""),"courriel encadrant manquant","ok")))))))))</f>
        <v/>
      </c>
    </row>
    <row r="261">
      <c r="A261" t="inlineStr">
        <is>
          <t>2026-2027</t>
        </is>
      </c>
      <c r="B261" s="14" t="inlineStr">
        <is>
          <t>Corinne LE BRIGAND [P052]</t>
        </is>
      </c>
      <c r="C261" s="15">
        <f>IFERROR(MID($B261,FIND("[",$B261)+1,FIND("]",$B261)-FIND("[",$B261)-1),"")</f>
        <v/>
      </c>
      <c r="D261" s="15">
        <f>IFERROR(INDEX(Personnes!$B$5:$B$153,MATCH($C261,Personnes!$A$5:$A$153,0))&amp;"","")</f>
        <v/>
      </c>
      <c r="E261" s="15">
        <f>IFERROR(INDEX(Personnes!$C$5:$C$153,MATCH($C261,Personnes!$A$5:$A$153,0))&amp;"","")</f>
        <v/>
      </c>
      <c r="F261" s="14" t="inlineStr">
        <is>
          <t>STA</t>
        </is>
      </c>
      <c r="G261" s="14" t="inlineStr">
        <is>
          <t>élève</t>
        </is>
      </c>
      <c r="H261" s="14" t="inlineStr">
        <is>
          <t>classeur</t>
        </is>
      </c>
      <c r="I261" s="16" t="n">
        <v>46272</v>
      </c>
      <c r="J261" s="16" t="n"/>
      <c r="K261" s="18" t="n"/>
      <c r="L261" s="18" t="n"/>
      <c r="M261" s="15">
        <f>IF($B261="","",IF($C261="","personne non reconnue",IF(ISERROR(SEARCH(TRIM($E261&amp;" "&amp;$D261),$B261)),"libellé incohérent avec l’identifiant",IF(COUNTIFS($A$5:$A$500,$A261,$C$5:$C$500,$C261,$F$5:$F$500,$F261,$G$5:$G$500,$G261)&gt;1,"doublon",IF($F261="","groupe manquant",IF($G261="","rôle manquant",IF($H261="","support de saisie manquant",IF(AND($I261&lt;&gt;"",$J261&lt;&gt;"",$J261&lt;$I261),"date de fin antérieure à la date de début",IF(AND($G261="encadrant",IFERROR(INDEX(Personnes!$F$5:$F$153,MATCH($C261,Personnes!$A$5:$A$153,0)),"")=""),"courriel encadrant manquant","ok")))))))))</f>
        <v/>
      </c>
    </row>
    <row r="262">
      <c r="A262" t="inlineStr">
        <is>
          <t>2026-2027</t>
        </is>
      </c>
      <c r="B262" s="14" t="inlineStr">
        <is>
          <t>Achour BACHA [P053]</t>
        </is>
      </c>
      <c r="C262" s="15">
        <f>IFERROR(MID($B262,FIND("[",$B262)+1,FIND("]",$B262)-FIND("[",$B262)-1),"")</f>
        <v/>
      </c>
      <c r="D262" s="15">
        <f>IFERROR(INDEX(Personnes!$B$5:$B$153,MATCH($C262,Personnes!$A$5:$A$153,0))&amp;"","")</f>
        <v/>
      </c>
      <c r="E262" s="15">
        <f>IFERROR(INDEX(Personnes!$C$5:$C$153,MATCH($C262,Personnes!$A$5:$A$153,0))&amp;"","")</f>
        <v/>
      </c>
      <c r="F262" s="14" t="inlineStr">
        <is>
          <t>STA</t>
        </is>
      </c>
      <c r="G262" s="14" t="inlineStr">
        <is>
          <t>élève</t>
        </is>
      </c>
      <c r="H262" s="14" t="inlineStr">
        <is>
          <t>classeur</t>
        </is>
      </c>
      <c r="I262" s="16" t="n">
        <v>46272</v>
      </c>
      <c r="J262" s="16" t="n"/>
      <c r="K262" s="18" t="n"/>
      <c r="L262" s="18" t="n"/>
      <c r="M262" s="15">
        <f>IF($B262="","",IF($C262="","personne non reconnue",IF(ISERROR(SEARCH(TRIM($E262&amp;" "&amp;$D262),$B262)),"libellé incohérent avec l’identifiant",IF(COUNTIFS($A$5:$A$500,$A262,$C$5:$C$500,$C262,$F$5:$F$500,$F262,$G$5:$G$500,$G262)&gt;1,"doublon",IF($F262="","groupe manquant",IF($G262="","rôle manquant",IF($H262="","support de saisie manquant",IF(AND($I262&lt;&gt;"",$J262&lt;&gt;"",$J262&lt;$I262),"date de fin antérieure à la date de début",IF(AND($G262="encadrant",IFERROR(INDEX(Personnes!$F$5:$F$153,MATCH($C262,Personnes!$A$5:$A$153,0)),"")=""),"courriel encadrant manquant","ok")))))))))</f>
        <v/>
      </c>
    </row>
    <row r="263">
      <c r="A263" t="inlineStr">
        <is>
          <t>2026-2027</t>
        </is>
      </c>
      <c r="B263" s="14" t="inlineStr">
        <is>
          <t>Hervé MEMAIN [P054]</t>
        </is>
      </c>
      <c r="C263" s="15">
        <f>IFERROR(MID($B263,FIND("[",$B263)+1,FIND("]",$B263)-FIND("[",$B263)-1),"")</f>
        <v/>
      </c>
      <c r="D263" s="15">
        <f>IFERROR(INDEX(Personnes!$B$5:$B$153,MATCH($C263,Personnes!$A$5:$A$153,0))&amp;"","")</f>
        <v/>
      </c>
      <c r="E263" s="15">
        <f>IFERROR(INDEX(Personnes!$C$5:$C$153,MATCH($C263,Personnes!$A$5:$A$153,0))&amp;"","")</f>
        <v/>
      </c>
      <c r="F263" s="14" t="inlineStr">
        <is>
          <t>STA</t>
        </is>
      </c>
      <c r="G263" s="14" t="inlineStr">
        <is>
          <t>élève</t>
        </is>
      </c>
      <c r="H263" s="14" t="inlineStr">
        <is>
          <t>classeur</t>
        </is>
      </c>
      <c r="I263" s="16" t="n">
        <v>46272</v>
      </c>
      <c r="J263" s="16" t="n"/>
      <c r="K263" s="18" t="n"/>
      <c r="L263" s="18" t="n"/>
      <c r="M263" s="15">
        <f>IF($B263="","",IF($C263="","personne non reconnue",IF(ISERROR(SEARCH(TRIM($E263&amp;" "&amp;$D263),$B263)),"libellé incohérent avec l’identifiant",IF(COUNTIFS($A$5:$A$500,$A263,$C$5:$C$500,$C263,$F$5:$F$500,$F263,$G$5:$G$500,$G263)&gt;1,"doublon",IF($F263="","groupe manquant",IF($G263="","rôle manquant",IF($H263="","support de saisie manquant",IF(AND($I263&lt;&gt;"",$J263&lt;&gt;"",$J263&lt;$I263),"date de fin antérieure à la date de début",IF(AND($G263="encadrant",IFERROR(INDEX(Personnes!$F$5:$F$153,MATCH($C263,Personnes!$A$5:$A$153,0)),"")=""),"courriel encadrant manquant","ok")))))))))</f>
        <v/>
      </c>
    </row>
    <row r="264">
      <c r="A264" t="inlineStr">
        <is>
          <t>2026-2027</t>
        </is>
      </c>
      <c r="B264" s="14" t="inlineStr">
        <is>
          <t>Ouafa BENMANSOUR [P055]</t>
        </is>
      </c>
      <c r="C264" s="15">
        <f>IFERROR(MID($B264,FIND("[",$B264)+1,FIND("]",$B264)-FIND("[",$B264)-1),"")</f>
        <v/>
      </c>
      <c r="D264" s="15">
        <f>IFERROR(INDEX(Personnes!$B$5:$B$153,MATCH($C264,Personnes!$A$5:$A$153,0))&amp;"","")</f>
        <v/>
      </c>
      <c r="E264" s="15">
        <f>IFERROR(INDEX(Personnes!$C$5:$C$153,MATCH($C264,Personnes!$A$5:$A$153,0))&amp;"","")</f>
        <v/>
      </c>
      <c r="F264" s="14" t="inlineStr">
        <is>
          <t>STA</t>
        </is>
      </c>
      <c r="G264" s="14" t="inlineStr">
        <is>
          <t>élève</t>
        </is>
      </c>
      <c r="H264" s="14" t="inlineStr">
        <is>
          <t>classeur</t>
        </is>
      </c>
      <c r="I264" s="16" t="n">
        <v>46272</v>
      </c>
      <c r="J264" s="16" t="n"/>
      <c r="K264" s="18" t="n"/>
      <c r="L264" s="18" t="n"/>
      <c r="M264" s="15">
        <f>IF($B264="","",IF($C264="","personne non reconnue",IF(ISERROR(SEARCH(TRIM($E264&amp;" "&amp;$D264),$B264)),"libellé incohérent avec l’identifiant",IF(COUNTIFS($A$5:$A$500,$A264,$C$5:$C$500,$C264,$F$5:$F$500,$F264,$G$5:$G$500,$G264)&gt;1,"doublon",IF($F264="","groupe manquant",IF($G264="","rôle manquant",IF($H264="","support de saisie manquant",IF(AND($I264&lt;&gt;"",$J264&lt;&gt;"",$J264&lt;$I264),"date de fin antérieure à la date de début",IF(AND($G264="encadrant",IFERROR(INDEX(Personnes!$F$5:$F$153,MATCH($C264,Personnes!$A$5:$A$153,0)),"")=""),"courriel encadrant manquant","ok")))))))))</f>
        <v/>
      </c>
    </row>
    <row r="265">
      <c r="A265" t="inlineStr">
        <is>
          <t>2026-2027</t>
        </is>
      </c>
      <c r="B265" s="14" t="inlineStr">
        <is>
          <t>Philippe BRIDENNE [P056]</t>
        </is>
      </c>
      <c r="C265" s="15">
        <f>IFERROR(MID($B265,FIND("[",$B265)+1,FIND("]",$B265)-FIND("[",$B265)-1),"")</f>
        <v/>
      </c>
      <c r="D265" s="15">
        <f>IFERROR(INDEX(Personnes!$B$5:$B$153,MATCH($C265,Personnes!$A$5:$A$153,0))&amp;"","")</f>
        <v/>
      </c>
      <c r="E265" s="15">
        <f>IFERROR(INDEX(Personnes!$C$5:$C$153,MATCH($C265,Personnes!$A$5:$A$153,0))&amp;"","")</f>
        <v/>
      </c>
      <c r="F265" s="14" t="inlineStr">
        <is>
          <t>STA</t>
        </is>
      </c>
      <c r="G265" s="14" t="inlineStr">
        <is>
          <t>élève</t>
        </is>
      </c>
      <c r="H265" s="14" t="inlineStr">
        <is>
          <t>classeur</t>
        </is>
      </c>
      <c r="I265" s="16" t="n">
        <v>46272</v>
      </c>
      <c r="J265" s="16" t="n"/>
      <c r="K265" s="18" t="n"/>
      <c r="L265" s="18" t="n"/>
      <c r="M265" s="15">
        <f>IF($B265="","",IF($C265="","personne non reconnue",IF(ISERROR(SEARCH(TRIM($E265&amp;" "&amp;$D265),$B265)),"libellé incohérent avec l’identifiant",IF(COUNTIFS($A$5:$A$500,$A265,$C$5:$C$500,$C265,$F$5:$F$500,$F265,$G$5:$G$500,$G265)&gt;1,"doublon",IF($F265="","groupe manquant",IF($G265="","rôle manquant",IF($H265="","support de saisie manquant",IF(AND($I265&lt;&gt;"",$J265&lt;&gt;"",$J265&lt;$I265),"date de fin antérieure à la date de début",IF(AND($G265="encadrant",IFERROR(INDEX(Personnes!$F$5:$F$153,MATCH($C265,Personnes!$A$5:$A$153,0)),"")=""),"courriel encadrant manquant","ok")))))))))</f>
        <v/>
      </c>
    </row>
    <row r="266">
      <c r="A266" t="inlineStr">
        <is>
          <t>2026-2027</t>
        </is>
      </c>
      <c r="B266" s="14" t="inlineStr">
        <is>
          <t>Sébastien PALUD [P059]</t>
        </is>
      </c>
      <c r="C266" s="15">
        <f>IFERROR(MID($B266,FIND("[",$B266)+1,FIND("]",$B266)-FIND("[",$B266)-1),"")</f>
        <v/>
      </c>
      <c r="D266" s="15">
        <f>IFERROR(INDEX(Personnes!$B$5:$B$153,MATCH($C266,Personnes!$A$5:$A$153,0))&amp;"","")</f>
        <v/>
      </c>
      <c r="E266" s="15">
        <f>IFERROR(INDEX(Personnes!$C$5:$C$153,MATCH($C266,Personnes!$A$5:$A$153,0))&amp;"","")</f>
        <v/>
      </c>
      <c r="F266" s="14" t="inlineStr">
        <is>
          <t>STA</t>
        </is>
      </c>
      <c r="G266" s="14" t="inlineStr">
        <is>
          <t>élève</t>
        </is>
      </c>
      <c r="H266" s="14" t="inlineStr">
        <is>
          <t>classeur</t>
        </is>
      </c>
      <c r="I266" s="16" t="n">
        <v>46272</v>
      </c>
      <c r="J266" s="16" t="n"/>
      <c r="K266" s="18" t="n"/>
      <c r="L266" s="18" t="n"/>
      <c r="M266" s="15">
        <f>IF($B266="","",IF($C266="","personne non reconnue",IF(ISERROR(SEARCH(TRIM($E266&amp;" "&amp;$D266),$B266)),"libellé incohérent avec l’identifiant",IF(COUNTIFS($A$5:$A$500,$A266,$C$5:$C$500,$C266,$F$5:$F$500,$F266,$G$5:$G$500,$G266)&gt;1,"doublon",IF($F266="","groupe manquant",IF($G266="","rôle manquant",IF($H266="","support de saisie manquant",IF(AND($I266&lt;&gt;"",$J266&lt;&gt;"",$J266&lt;$I266),"date de fin antérieure à la date de début",IF(AND($G266="encadrant",IFERROR(INDEX(Personnes!$F$5:$F$153,MATCH($C266,Personnes!$A$5:$A$153,0)),"")=""),"courriel encadrant manquant","ok")))))))))</f>
        <v/>
      </c>
    </row>
    <row r="267">
      <c r="A267" t="inlineStr">
        <is>
          <t>2026-2027</t>
        </is>
      </c>
      <c r="B267" s="14" t="inlineStr">
        <is>
          <t>Bruno BOUGEROL [P060]</t>
        </is>
      </c>
      <c r="C267" s="15">
        <f>IFERROR(MID($B267,FIND("[",$B267)+1,FIND("]",$B267)-FIND("[",$B267)-1),"")</f>
        <v/>
      </c>
      <c r="D267" s="15">
        <f>IFERROR(INDEX(Personnes!$B$5:$B$153,MATCH($C267,Personnes!$A$5:$A$153,0))&amp;"","")</f>
        <v/>
      </c>
      <c r="E267" s="15">
        <f>IFERROR(INDEX(Personnes!$C$5:$C$153,MATCH($C267,Personnes!$A$5:$A$153,0))&amp;"","")</f>
        <v/>
      </c>
      <c r="F267" s="14" t="inlineStr">
        <is>
          <t>STA</t>
        </is>
      </c>
      <c r="G267" s="14" t="inlineStr">
        <is>
          <t>élève</t>
        </is>
      </c>
      <c r="H267" s="14" t="inlineStr">
        <is>
          <t>classeur</t>
        </is>
      </c>
      <c r="I267" s="16" t="n">
        <v>46272</v>
      </c>
      <c r="J267" s="16" t="n"/>
      <c r="K267" s="18" t="n"/>
      <c r="L267" s="18" t="n"/>
      <c r="M267" s="15">
        <f>IF($B267="","",IF($C267="","personne non reconnue",IF(ISERROR(SEARCH(TRIM($E267&amp;" "&amp;$D267),$B267)),"libellé incohérent avec l’identifiant",IF(COUNTIFS($A$5:$A$500,$A267,$C$5:$C$500,$C267,$F$5:$F$500,$F267,$G$5:$G$500,$G267)&gt;1,"doublon",IF($F267="","groupe manquant",IF($G267="","rôle manquant",IF($H267="","support de saisie manquant",IF(AND($I267&lt;&gt;"",$J267&lt;&gt;"",$J267&lt;$I267),"date de fin antérieure à la date de début",IF(AND($G267="encadrant",IFERROR(INDEX(Personnes!$F$5:$F$153,MATCH($C267,Personnes!$A$5:$A$153,0)),"")=""),"courriel encadrant manquant","ok")))))))))</f>
        <v/>
      </c>
    </row>
    <row r="268">
      <c r="A268" t="inlineStr">
        <is>
          <t>2026-2027</t>
        </is>
      </c>
      <c r="B268" s="14" t="inlineStr">
        <is>
          <t>Leo SAINT MARTIN [P064]</t>
        </is>
      </c>
      <c r="C268" s="15">
        <f>IFERROR(MID($B268,FIND("[",$B268)+1,FIND("]",$B268)-FIND("[",$B268)-1),"")</f>
        <v/>
      </c>
      <c r="D268" s="15">
        <f>IFERROR(INDEX(Personnes!$B$5:$B$153,MATCH($C268,Personnes!$A$5:$A$153,0))&amp;"","")</f>
        <v/>
      </c>
      <c r="E268" s="15">
        <f>IFERROR(INDEX(Personnes!$C$5:$C$153,MATCH($C268,Personnes!$A$5:$A$153,0))&amp;"","")</f>
        <v/>
      </c>
      <c r="F268" s="14" t="inlineStr">
        <is>
          <t>STA</t>
        </is>
      </c>
      <c r="G268" s="14" t="inlineStr">
        <is>
          <t>élève</t>
        </is>
      </c>
      <c r="H268" s="14" t="inlineStr">
        <is>
          <t>classeur</t>
        </is>
      </c>
      <c r="I268" s="16" t="n">
        <v>46272</v>
      </c>
      <c r="J268" s="16" t="n"/>
      <c r="K268" s="18" t="n"/>
      <c r="L268" s="18" t="n"/>
      <c r="M268" s="15">
        <f>IF($B268="","",IF($C268="","personne non reconnue",IF(ISERROR(SEARCH(TRIM($E268&amp;" "&amp;$D268),$B268)),"libellé incohérent avec l’identifiant",IF(COUNTIFS($A$5:$A$500,$A268,$C$5:$C$500,$C268,$F$5:$F$500,$F268,$G$5:$G$500,$G268)&gt;1,"doublon",IF($F268="","groupe manquant",IF($G268="","rôle manquant",IF($H268="","support de saisie manquant",IF(AND($I268&lt;&gt;"",$J268&lt;&gt;"",$J268&lt;$I268),"date de fin antérieure à la date de début",IF(AND($G268="encadrant",IFERROR(INDEX(Personnes!$F$5:$F$153,MATCH($C268,Personnes!$A$5:$A$153,0)),"")=""),"courriel encadrant manquant","ok")))))))))</f>
        <v/>
      </c>
    </row>
    <row r="269">
      <c r="A269" t="inlineStr">
        <is>
          <t>2026-2027</t>
        </is>
      </c>
      <c r="B269" s="14" t="inlineStr">
        <is>
          <t>Salman BOUHAMMOU [P068]</t>
        </is>
      </c>
      <c r="C269" s="15">
        <f>IFERROR(MID($B269,FIND("[",$B269)+1,FIND("]",$B269)-FIND("[",$B269)-1),"")</f>
        <v/>
      </c>
      <c r="D269" s="15">
        <f>IFERROR(INDEX(Personnes!$B$5:$B$153,MATCH($C269,Personnes!$A$5:$A$153,0))&amp;"","")</f>
        <v/>
      </c>
      <c r="E269" s="15">
        <f>IFERROR(INDEX(Personnes!$C$5:$C$153,MATCH($C269,Personnes!$A$5:$A$153,0))&amp;"","")</f>
        <v/>
      </c>
      <c r="F269" s="14" t="inlineStr">
        <is>
          <t>STA</t>
        </is>
      </c>
      <c r="G269" s="14" t="inlineStr">
        <is>
          <t>élève</t>
        </is>
      </c>
      <c r="H269" s="14" t="inlineStr">
        <is>
          <t>classeur</t>
        </is>
      </c>
      <c r="I269" s="16" t="n">
        <v>46272</v>
      </c>
      <c r="J269" s="16" t="n"/>
      <c r="K269" s="18" t="n"/>
      <c r="L269" s="18" t="n"/>
      <c r="M269" s="15">
        <f>IF($B269="","",IF($C269="","personne non reconnue",IF(ISERROR(SEARCH(TRIM($E269&amp;" "&amp;$D269),$B269)),"libellé incohérent avec l’identifiant",IF(COUNTIFS($A$5:$A$500,$A269,$C$5:$C$500,$C269,$F$5:$F$500,$F269,$G$5:$G$500,$G269)&gt;1,"doublon",IF($F269="","groupe manquant",IF($G269="","rôle manquant",IF($H269="","support de saisie manquant",IF(AND($I269&lt;&gt;"",$J269&lt;&gt;"",$J269&lt;$I269),"date de fin antérieure à la date de début",IF(AND($G269="encadrant",IFERROR(INDEX(Personnes!$F$5:$F$153,MATCH($C269,Personnes!$A$5:$A$153,0)),"")=""),"courriel encadrant manquant","ok")))))))))</f>
        <v/>
      </c>
    </row>
    <row r="270">
      <c r="A270" t="inlineStr">
        <is>
          <t>2026-2027</t>
        </is>
      </c>
      <c r="B270" s="14" t="inlineStr">
        <is>
          <t>Magali CAVATORE [P069]</t>
        </is>
      </c>
      <c r="C270" s="15">
        <f>IFERROR(MID($B270,FIND("[",$B270)+1,FIND("]",$B270)-FIND("[",$B270)-1),"")</f>
        <v/>
      </c>
      <c r="D270" s="15">
        <f>IFERROR(INDEX(Personnes!$B$5:$B$153,MATCH($C270,Personnes!$A$5:$A$153,0))&amp;"","")</f>
        <v/>
      </c>
      <c r="E270" s="15">
        <f>IFERROR(INDEX(Personnes!$C$5:$C$153,MATCH($C270,Personnes!$A$5:$A$153,0))&amp;"","")</f>
        <v/>
      </c>
      <c r="F270" s="14" t="inlineStr">
        <is>
          <t>STA</t>
        </is>
      </c>
      <c r="G270" s="14" t="inlineStr">
        <is>
          <t>élève</t>
        </is>
      </c>
      <c r="H270" s="14" t="inlineStr">
        <is>
          <t>classeur</t>
        </is>
      </c>
      <c r="I270" s="16" t="n">
        <v>46272</v>
      </c>
      <c r="J270" s="16" t="n"/>
      <c r="K270" s="18" t="n"/>
      <c r="L270" s="18" t="n"/>
      <c r="M270" s="15">
        <f>IF($B270="","",IF($C270="","personne non reconnue",IF(ISERROR(SEARCH(TRIM($E270&amp;" "&amp;$D270),$B270)),"libellé incohérent avec l’identifiant",IF(COUNTIFS($A$5:$A$500,$A270,$C$5:$C$500,$C270,$F$5:$F$500,$F270,$G$5:$G$500,$G270)&gt;1,"doublon",IF($F270="","groupe manquant",IF($G270="","rôle manquant",IF($H270="","support de saisie manquant",IF(AND($I270&lt;&gt;"",$J270&lt;&gt;"",$J270&lt;$I270),"date de fin antérieure à la date de début",IF(AND($G270="encadrant",IFERROR(INDEX(Personnes!$F$5:$F$153,MATCH($C270,Personnes!$A$5:$A$153,0)),"")=""),"courriel encadrant manquant","ok")))))))))</f>
        <v/>
      </c>
    </row>
    <row r="271">
      <c r="A271" t="inlineStr">
        <is>
          <t>2026-2027</t>
        </is>
      </c>
      <c r="B271" s="14" t="inlineStr">
        <is>
          <t>Aurélien DEVILLIERS [P070]</t>
        </is>
      </c>
      <c r="C271" s="15">
        <f>IFERROR(MID($B271,FIND("[",$B271)+1,FIND("]",$B271)-FIND("[",$B271)-1),"")</f>
        <v/>
      </c>
      <c r="D271" s="15">
        <f>IFERROR(INDEX(Personnes!$B$5:$B$153,MATCH($C271,Personnes!$A$5:$A$153,0))&amp;"","")</f>
        <v/>
      </c>
      <c r="E271" s="15">
        <f>IFERROR(INDEX(Personnes!$C$5:$C$153,MATCH($C271,Personnes!$A$5:$A$153,0))&amp;"","")</f>
        <v/>
      </c>
      <c r="F271" s="14" t="inlineStr">
        <is>
          <t>STA</t>
        </is>
      </c>
      <c r="G271" s="14" t="inlineStr">
        <is>
          <t>élève</t>
        </is>
      </c>
      <c r="H271" s="14" t="inlineStr">
        <is>
          <t>classeur</t>
        </is>
      </c>
      <c r="I271" s="16" t="n">
        <v>46272</v>
      </c>
      <c r="J271" s="16" t="n"/>
      <c r="K271" s="18" t="n"/>
      <c r="L271" s="18" t="n"/>
      <c r="M271" s="15">
        <f>IF($B271="","",IF($C271="","personne non reconnue",IF(ISERROR(SEARCH(TRIM($E271&amp;" "&amp;$D271),$B271)),"libellé incohérent avec l’identifiant",IF(COUNTIFS($A$5:$A$500,$A271,$C$5:$C$500,$C271,$F$5:$F$500,$F271,$G$5:$G$500,$G271)&gt;1,"doublon",IF($F271="","groupe manquant",IF($G271="","rôle manquant",IF($H271="","support de saisie manquant",IF(AND($I271&lt;&gt;"",$J271&lt;&gt;"",$J271&lt;$I271),"date de fin antérieure à la date de début",IF(AND($G271="encadrant",IFERROR(INDEX(Personnes!$F$5:$F$153,MATCH($C271,Personnes!$A$5:$A$153,0)),"")=""),"courriel encadrant manquant","ok")))))))))</f>
        <v/>
      </c>
    </row>
    <row r="272">
      <c r="A272" t="inlineStr">
        <is>
          <t>2026-2027</t>
        </is>
      </c>
      <c r="B272" s="14" t="inlineStr">
        <is>
          <t>Jérôme DUVAL [P071]</t>
        </is>
      </c>
      <c r="C272" s="15">
        <f>IFERROR(MID($B272,FIND("[",$B272)+1,FIND("]",$B272)-FIND("[",$B272)-1),"")</f>
        <v/>
      </c>
      <c r="D272" s="15">
        <f>IFERROR(INDEX(Personnes!$B$5:$B$153,MATCH($C272,Personnes!$A$5:$A$153,0))&amp;"","")</f>
        <v/>
      </c>
      <c r="E272" s="15">
        <f>IFERROR(INDEX(Personnes!$C$5:$C$153,MATCH($C272,Personnes!$A$5:$A$153,0))&amp;"","")</f>
        <v/>
      </c>
      <c r="F272" s="14" t="inlineStr">
        <is>
          <t>STA</t>
        </is>
      </c>
      <c r="G272" s="14" t="inlineStr">
        <is>
          <t>élève</t>
        </is>
      </c>
      <c r="H272" s="14" t="inlineStr">
        <is>
          <t>classeur</t>
        </is>
      </c>
      <c r="I272" s="16" t="n">
        <v>46272</v>
      </c>
      <c r="J272" s="16" t="n"/>
      <c r="K272" s="18" t="n"/>
      <c r="L272" s="18" t="n"/>
      <c r="M272" s="15">
        <f>IF($B272="","",IF($C272="","personne non reconnue",IF(ISERROR(SEARCH(TRIM($E272&amp;" "&amp;$D272),$B272)),"libellé incohérent avec l’identifiant",IF(COUNTIFS($A$5:$A$500,$A272,$C$5:$C$500,$C272,$F$5:$F$500,$F272,$G$5:$G$500,$G272)&gt;1,"doublon",IF($F272="","groupe manquant",IF($G272="","rôle manquant",IF($H272="","support de saisie manquant",IF(AND($I272&lt;&gt;"",$J272&lt;&gt;"",$J272&lt;$I272),"date de fin antérieure à la date de début",IF(AND($G272="encadrant",IFERROR(INDEX(Personnes!$F$5:$F$153,MATCH($C272,Personnes!$A$5:$A$153,0)),"")=""),"courriel encadrant manquant","ok")))))))))</f>
        <v/>
      </c>
    </row>
    <row r="273">
      <c r="A273" t="inlineStr">
        <is>
          <t>2026-2027</t>
        </is>
      </c>
      <c r="B273" s="14" t="inlineStr">
        <is>
          <t>Agnieszka FIHEL [P072]</t>
        </is>
      </c>
      <c r="C273" s="15">
        <f>IFERROR(MID($B273,FIND("[",$B273)+1,FIND("]",$B273)-FIND("[",$B273)-1),"")</f>
        <v/>
      </c>
      <c r="D273" s="15">
        <f>IFERROR(INDEX(Personnes!$B$5:$B$153,MATCH($C273,Personnes!$A$5:$A$153,0))&amp;"","")</f>
        <v/>
      </c>
      <c r="E273" s="15">
        <f>IFERROR(INDEX(Personnes!$C$5:$C$153,MATCH($C273,Personnes!$A$5:$A$153,0))&amp;"","")</f>
        <v/>
      </c>
      <c r="F273" s="14" t="inlineStr">
        <is>
          <t>STA</t>
        </is>
      </c>
      <c r="G273" s="14" t="inlineStr">
        <is>
          <t>élève</t>
        </is>
      </c>
      <c r="H273" s="14" t="inlineStr">
        <is>
          <t>classeur</t>
        </is>
      </c>
      <c r="I273" s="16" t="n">
        <v>46272</v>
      </c>
      <c r="J273" s="16" t="n"/>
      <c r="K273" s="18" t="n"/>
      <c r="L273" s="18" t="n"/>
      <c r="M273" s="15">
        <f>IF($B273="","",IF($C273="","personne non reconnue",IF(ISERROR(SEARCH(TRIM($E273&amp;" "&amp;$D273),$B273)),"libellé incohérent avec l’identifiant",IF(COUNTIFS($A$5:$A$500,$A273,$C$5:$C$500,$C273,$F$5:$F$500,$F273,$G$5:$G$500,$G273)&gt;1,"doublon",IF($F273="","groupe manquant",IF($G273="","rôle manquant",IF($H273="","support de saisie manquant",IF(AND($I273&lt;&gt;"",$J273&lt;&gt;"",$J273&lt;$I273),"date de fin antérieure à la date de début",IF(AND($G273="encadrant",IFERROR(INDEX(Personnes!$F$5:$F$153,MATCH($C273,Personnes!$A$5:$A$153,0)),"")=""),"courriel encadrant manquant","ok")))))))))</f>
        <v/>
      </c>
    </row>
    <row r="274">
      <c r="A274" t="inlineStr">
        <is>
          <t>2026-2027</t>
        </is>
      </c>
      <c r="B274" s="14" t="inlineStr">
        <is>
          <t>Aude GUIBOURT [P073]</t>
        </is>
      </c>
      <c r="C274" s="15">
        <f>IFERROR(MID($B274,FIND("[",$B274)+1,FIND("]",$B274)-FIND("[",$B274)-1),"")</f>
        <v/>
      </c>
      <c r="D274" s="15">
        <f>IFERROR(INDEX(Personnes!$B$5:$B$153,MATCH($C274,Personnes!$A$5:$A$153,0))&amp;"","")</f>
        <v/>
      </c>
      <c r="E274" s="15">
        <f>IFERROR(INDEX(Personnes!$C$5:$C$153,MATCH($C274,Personnes!$A$5:$A$153,0))&amp;"","")</f>
        <v/>
      </c>
      <c r="F274" s="14" t="inlineStr">
        <is>
          <t>STA</t>
        </is>
      </c>
      <c r="G274" s="14" t="inlineStr">
        <is>
          <t>élève</t>
        </is>
      </c>
      <c r="H274" s="14" t="inlineStr">
        <is>
          <t>classeur</t>
        </is>
      </c>
      <c r="I274" s="16" t="n">
        <v>46272</v>
      </c>
      <c r="J274" s="16" t="n"/>
      <c r="K274" s="18" t="n"/>
      <c r="L274" s="18" t="n"/>
      <c r="M274" s="15">
        <f>IF($B274="","",IF($C274="","personne non reconnue",IF(ISERROR(SEARCH(TRIM($E274&amp;" "&amp;$D274),$B274)),"libellé incohérent avec l’identifiant",IF(COUNTIFS($A$5:$A$500,$A274,$C$5:$C$500,$C274,$F$5:$F$500,$F274,$G$5:$G$500,$G274)&gt;1,"doublon",IF($F274="","groupe manquant",IF($G274="","rôle manquant",IF($H274="","support de saisie manquant",IF(AND($I274&lt;&gt;"",$J274&lt;&gt;"",$J274&lt;$I274),"date de fin antérieure à la date de début",IF(AND($G274="encadrant",IFERROR(INDEX(Personnes!$F$5:$F$153,MATCH($C274,Personnes!$A$5:$A$153,0)),"")=""),"courriel encadrant manquant","ok")))))))))</f>
        <v/>
      </c>
    </row>
    <row r="275">
      <c r="A275" t="inlineStr">
        <is>
          <t>2026-2027</t>
        </is>
      </c>
      <c r="B275" s="14" t="inlineStr">
        <is>
          <t>Serge HABERT [P074]</t>
        </is>
      </c>
      <c r="C275" s="15">
        <f>IFERROR(MID($B275,FIND("[",$B275)+1,FIND("]",$B275)-FIND("[",$B275)-1),"")</f>
        <v/>
      </c>
      <c r="D275" s="15">
        <f>IFERROR(INDEX(Personnes!$B$5:$B$153,MATCH($C275,Personnes!$A$5:$A$153,0))&amp;"","")</f>
        <v/>
      </c>
      <c r="E275" s="15">
        <f>IFERROR(INDEX(Personnes!$C$5:$C$153,MATCH($C275,Personnes!$A$5:$A$153,0))&amp;"","")</f>
        <v/>
      </c>
      <c r="F275" s="14" t="inlineStr">
        <is>
          <t>STA</t>
        </is>
      </c>
      <c r="G275" s="14" t="inlineStr">
        <is>
          <t>élève</t>
        </is>
      </c>
      <c r="H275" s="14" t="inlineStr">
        <is>
          <t>classeur</t>
        </is>
      </c>
      <c r="I275" s="16" t="n">
        <v>46272</v>
      </c>
      <c r="J275" s="16" t="n"/>
      <c r="K275" s="18" t="n"/>
      <c r="L275" s="18" t="n"/>
      <c r="M275" s="15">
        <f>IF($B275="","",IF($C275="","personne non reconnue",IF(ISERROR(SEARCH(TRIM($E275&amp;" "&amp;$D275),$B275)),"libellé incohérent avec l’identifiant",IF(COUNTIFS($A$5:$A$500,$A275,$C$5:$C$500,$C275,$F$5:$F$500,$F275,$G$5:$G$500,$G275)&gt;1,"doublon",IF($F275="","groupe manquant",IF($G275="","rôle manquant",IF($H275="","support de saisie manquant",IF(AND($I275&lt;&gt;"",$J275&lt;&gt;"",$J275&lt;$I275),"date de fin antérieure à la date de début",IF(AND($G275="encadrant",IFERROR(INDEX(Personnes!$F$5:$F$153,MATCH($C275,Personnes!$A$5:$A$153,0)),"")=""),"courriel encadrant manquant","ok")))))))))</f>
        <v/>
      </c>
    </row>
    <row r="276">
      <c r="A276" t="inlineStr">
        <is>
          <t>2026-2027</t>
        </is>
      </c>
      <c r="B276" s="14" t="inlineStr">
        <is>
          <t>Marie MARCHIORI [P075]</t>
        </is>
      </c>
      <c r="C276" s="15">
        <f>IFERROR(MID($B276,FIND("[",$B276)+1,FIND("]",$B276)-FIND("[",$B276)-1),"")</f>
        <v/>
      </c>
      <c r="D276" s="15">
        <f>IFERROR(INDEX(Personnes!$B$5:$B$153,MATCH($C276,Personnes!$A$5:$A$153,0))&amp;"","")</f>
        <v/>
      </c>
      <c r="E276" s="15">
        <f>IFERROR(INDEX(Personnes!$C$5:$C$153,MATCH($C276,Personnes!$A$5:$A$153,0))&amp;"","")</f>
        <v/>
      </c>
      <c r="F276" s="14" t="inlineStr">
        <is>
          <t>STA</t>
        </is>
      </c>
      <c r="G276" s="14" t="inlineStr">
        <is>
          <t>élève</t>
        </is>
      </c>
      <c r="H276" s="14" t="inlineStr">
        <is>
          <t>classeur</t>
        </is>
      </c>
      <c r="I276" s="16" t="n">
        <v>46272</v>
      </c>
      <c r="J276" s="16" t="n"/>
      <c r="K276" s="18" t="n"/>
      <c r="L276" s="18" t="n"/>
      <c r="M276" s="15">
        <f>IF($B276="","",IF($C276="","personne non reconnue",IF(ISERROR(SEARCH(TRIM($E276&amp;" "&amp;$D276),$B276)),"libellé incohérent avec l’identifiant",IF(COUNTIFS($A$5:$A$500,$A276,$C$5:$C$500,$C276,$F$5:$F$500,$F276,$G$5:$G$500,$G276)&gt;1,"doublon",IF($F276="","groupe manquant",IF($G276="","rôle manquant",IF($H276="","support de saisie manquant",IF(AND($I276&lt;&gt;"",$J276&lt;&gt;"",$J276&lt;$I276),"date de fin antérieure à la date de début",IF(AND($G276="encadrant",IFERROR(INDEX(Personnes!$F$5:$F$153,MATCH($C276,Personnes!$A$5:$A$153,0)),"")=""),"courriel encadrant manquant","ok")))))))))</f>
        <v/>
      </c>
    </row>
    <row r="277">
      <c r="A277" t="inlineStr">
        <is>
          <t>2026-2027</t>
        </is>
      </c>
      <c r="B277" s="14" t="inlineStr">
        <is>
          <t>Mary BAUTISTA [P076]</t>
        </is>
      </c>
      <c r="C277" s="15">
        <f>IFERROR(MID($B277,FIND("[",$B277)+1,FIND("]",$B277)-FIND("[",$B277)-1),"")</f>
        <v/>
      </c>
      <c r="D277" s="15">
        <f>IFERROR(INDEX(Personnes!$B$5:$B$153,MATCH($C277,Personnes!$A$5:$A$153,0))&amp;"","")</f>
        <v/>
      </c>
      <c r="E277" s="15">
        <f>IFERROR(INDEX(Personnes!$C$5:$C$153,MATCH($C277,Personnes!$A$5:$A$153,0))&amp;"","")</f>
        <v/>
      </c>
      <c r="F277" s="14" t="inlineStr">
        <is>
          <t>STA</t>
        </is>
      </c>
      <c r="G277" s="14" t="inlineStr">
        <is>
          <t>élève</t>
        </is>
      </c>
      <c r="H277" s="14" t="inlineStr">
        <is>
          <t>classeur</t>
        </is>
      </c>
      <c r="I277" s="16" t="n">
        <v>46272</v>
      </c>
      <c r="J277" s="16" t="n"/>
      <c r="K277" s="18" t="n"/>
      <c r="L277" s="18" t="n"/>
      <c r="M277" s="15">
        <f>IF($B277="","",IF($C277="","personne non reconnue",IF(ISERROR(SEARCH(TRIM($E277&amp;" "&amp;$D277),$B277)),"libellé incohérent avec l’identifiant",IF(COUNTIFS($A$5:$A$500,$A277,$C$5:$C$500,$C277,$F$5:$F$500,$F277,$G$5:$G$500,$G277)&gt;1,"doublon",IF($F277="","groupe manquant",IF($G277="","rôle manquant",IF($H277="","support de saisie manquant",IF(AND($I277&lt;&gt;"",$J277&lt;&gt;"",$J277&lt;$I277),"date de fin antérieure à la date de début",IF(AND($G277="encadrant",IFERROR(INDEX(Personnes!$F$5:$F$153,MATCH($C277,Personnes!$A$5:$A$153,0)),"")=""),"courriel encadrant manquant","ok")))))))))</f>
        <v/>
      </c>
    </row>
    <row r="278">
      <c r="A278" t="inlineStr">
        <is>
          <t>2026-2027</t>
        </is>
      </c>
      <c r="B278" s="14" t="inlineStr">
        <is>
          <t>Marc BENDER [P077]</t>
        </is>
      </c>
      <c r="C278" s="15">
        <f>IFERROR(MID($B278,FIND("[",$B278)+1,FIND("]",$B278)-FIND("[",$B278)-1),"")</f>
        <v/>
      </c>
      <c r="D278" s="15">
        <f>IFERROR(INDEX(Personnes!$B$5:$B$153,MATCH($C278,Personnes!$A$5:$A$153,0))&amp;"","")</f>
        <v/>
      </c>
      <c r="E278" s="15">
        <f>IFERROR(INDEX(Personnes!$C$5:$C$153,MATCH($C278,Personnes!$A$5:$A$153,0))&amp;"","")</f>
        <v/>
      </c>
      <c r="F278" s="14" t="inlineStr">
        <is>
          <t>STA</t>
        </is>
      </c>
      <c r="G278" s="14" t="inlineStr">
        <is>
          <t>élève</t>
        </is>
      </c>
      <c r="H278" s="14" t="inlineStr">
        <is>
          <t>classeur</t>
        </is>
      </c>
      <c r="I278" s="16" t="n">
        <v>46272</v>
      </c>
      <c r="J278" s="16" t="n"/>
      <c r="K278" s="18" t="n"/>
      <c r="L278" s="18" t="n"/>
      <c r="M278" s="15">
        <f>IF($B278="","",IF($C278="","personne non reconnue",IF(ISERROR(SEARCH(TRIM($E278&amp;" "&amp;$D278),$B278)),"libellé incohérent avec l’identifiant",IF(COUNTIFS($A$5:$A$500,$A278,$C$5:$C$500,$C278,$F$5:$F$500,$F278,$G$5:$G$500,$G278)&gt;1,"doublon",IF($F278="","groupe manquant",IF($G278="","rôle manquant",IF($H278="","support de saisie manquant",IF(AND($I278&lt;&gt;"",$J278&lt;&gt;"",$J278&lt;$I278),"date de fin antérieure à la date de début",IF(AND($G278="encadrant",IFERROR(INDEX(Personnes!$F$5:$F$153,MATCH($C278,Personnes!$A$5:$A$153,0)),"")=""),"courriel encadrant manquant","ok")))))))))</f>
        <v/>
      </c>
    </row>
    <row r="279">
      <c r="A279" t="inlineStr">
        <is>
          <t>2026-2027</t>
        </is>
      </c>
      <c r="B279" s="14" t="inlineStr">
        <is>
          <t>Patrick BEZICOT [P078]</t>
        </is>
      </c>
      <c r="C279" s="15">
        <f>IFERROR(MID($B279,FIND("[",$B279)+1,FIND("]",$B279)-FIND("[",$B279)-1),"")</f>
        <v/>
      </c>
      <c r="D279" s="15">
        <f>IFERROR(INDEX(Personnes!$B$5:$B$153,MATCH($C279,Personnes!$A$5:$A$153,0))&amp;"","")</f>
        <v/>
      </c>
      <c r="E279" s="15">
        <f>IFERROR(INDEX(Personnes!$C$5:$C$153,MATCH($C279,Personnes!$A$5:$A$153,0))&amp;"","")</f>
        <v/>
      </c>
      <c r="F279" s="14" t="inlineStr">
        <is>
          <t>STA</t>
        </is>
      </c>
      <c r="G279" s="14" t="inlineStr">
        <is>
          <t>élève</t>
        </is>
      </c>
      <c r="H279" s="14" t="inlineStr">
        <is>
          <t>classeur</t>
        </is>
      </c>
      <c r="I279" s="16" t="n">
        <v>46272</v>
      </c>
      <c r="J279" s="16" t="n"/>
      <c r="K279" s="18" t="n"/>
      <c r="L279" s="18" t="n"/>
      <c r="M279" s="15">
        <f>IF($B279="","",IF($C279="","personne non reconnue",IF(ISERROR(SEARCH(TRIM($E279&amp;" "&amp;$D279),$B279)),"libellé incohérent avec l’identifiant",IF(COUNTIFS($A$5:$A$500,$A279,$C$5:$C$500,$C279,$F$5:$F$500,$F279,$G$5:$G$500,$G279)&gt;1,"doublon",IF($F279="","groupe manquant",IF($G279="","rôle manquant",IF($H279="","support de saisie manquant",IF(AND($I279&lt;&gt;"",$J279&lt;&gt;"",$J279&lt;$I279),"date de fin antérieure à la date de début",IF(AND($G279="encadrant",IFERROR(INDEX(Personnes!$F$5:$F$153,MATCH($C279,Personnes!$A$5:$A$153,0)),"")=""),"courriel encadrant manquant","ok")))))))))</f>
        <v/>
      </c>
    </row>
    <row r="280">
      <c r="A280" t="inlineStr">
        <is>
          <t>2026-2027</t>
        </is>
      </c>
      <c r="B280" s="14" t="inlineStr">
        <is>
          <t>Christophe BIZON [P079]</t>
        </is>
      </c>
      <c r="C280" s="15">
        <f>IFERROR(MID($B280,FIND("[",$B280)+1,FIND("]",$B280)-FIND("[",$B280)-1),"")</f>
        <v/>
      </c>
      <c r="D280" s="15">
        <f>IFERROR(INDEX(Personnes!$B$5:$B$153,MATCH($C280,Personnes!$A$5:$A$153,0))&amp;"","")</f>
        <v/>
      </c>
      <c r="E280" s="15">
        <f>IFERROR(INDEX(Personnes!$C$5:$C$153,MATCH($C280,Personnes!$A$5:$A$153,0))&amp;"","")</f>
        <v/>
      </c>
      <c r="F280" s="14" t="inlineStr">
        <is>
          <t>STA</t>
        </is>
      </c>
      <c r="G280" s="14" t="inlineStr">
        <is>
          <t>élève</t>
        </is>
      </c>
      <c r="H280" s="14" t="inlineStr">
        <is>
          <t>classeur</t>
        </is>
      </c>
      <c r="I280" s="16" t="n">
        <v>46272</v>
      </c>
      <c r="J280" s="16" t="n"/>
      <c r="K280" s="18" t="n"/>
      <c r="L280" s="18" t="n"/>
      <c r="M280" s="15">
        <f>IF($B280="","",IF($C280="","personne non reconnue",IF(ISERROR(SEARCH(TRIM($E280&amp;" "&amp;$D280),$B280)),"libellé incohérent avec l’identifiant",IF(COUNTIFS($A$5:$A$500,$A280,$C$5:$C$500,$C280,$F$5:$F$500,$F280,$G$5:$G$500,$G280)&gt;1,"doublon",IF($F280="","groupe manquant",IF($G280="","rôle manquant",IF($H280="","support de saisie manquant",IF(AND($I280&lt;&gt;"",$J280&lt;&gt;"",$J280&lt;$I280),"date de fin antérieure à la date de début",IF(AND($G280="encadrant",IFERROR(INDEX(Personnes!$F$5:$F$153,MATCH($C280,Personnes!$A$5:$A$153,0)),"")=""),"courriel encadrant manquant","ok")))))))))</f>
        <v/>
      </c>
    </row>
    <row r="281">
      <c r="A281" t="inlineStr">
        <is>
          <t>2026-2027</t>
        </is>
      </c>
      <c r="B281" s="14" t="inlineStr">
        <is>
          <t>Beverly BRIAULT [P080]</t>
        </is>
      </c>
      <c r="C281" s="15">
        <f>IFERROR(MID($B281,FIND("[",$B281)+1,FIND("]",$B281)-FIND("[",$B281)-1),"")</f>
        <v/>
      </c>
      <c r="D281" s="15">
        <f>IFERROR(INDEX(Personnes!$B$5:$B$153,MATCH($C281,Personnes!$A$5:$A$153,0))&amp;"","")</f>
        <v/>
      </c>
      <c r="E281" s="15">
        <f>IFERROR(INDEX(Personnes!$C$5:$C$153,MATCH($C281,Personnes!$A$5:$A$153,0))&amp;"","")</f>
        <v/>
      </c>
      <c r="F281" s="14" t="inlineStr">
        <is>
          <t>STA</t>
        </is>
      </c>
      <c r="G281" s="14" t="inlineStr">
        <is>
          <t>élève</t>
        </is>
      </c>
      <c r="H281" s="14" t="inlineStr">
        <is>
          <t>classeur</t>
        </is>
      </c>
      <c r="I281" s="16" t="n">
        <v>46272</v>
      </c>
      <c r="J281" s="16" t="n"/>
      <c r="K281" s="18" t="n"/>
      <c r="L281" s="18" t="n"/>
      <c r="M281" s="15">
        <f>IF($B281="","",IF($C281="","personne non reconnue",IF(ISERROR(SEARCH(TRIM($E281&amp;" "&amp;$D281),$B281)),"libellé incohérent avec l’identifiant",IF(COUNTIFS($A$5:$A$500,$A281,$C$5:$C$500,$C281,$F$5:$F$500,$F281,$G$5:$G$500,$G281)&gt;1,"doublon",IF($F281="","groupe manquant",IF($G281="","rôle manquant",IF($H281="","support de saisie manquant",IF(AND($I281&lt;&gt;"",$J281&lt;&gt;"",$J281&lt;$I281),"date de fin antérieure à la date de début",IF(AND($G281="encadrant",IFERROR(INDEX(Personnes!$F$5:$F$153,MATCH($C281,Personnes!$A$5:$A$153,0)),"")=""),"courriel encadrant manquant","ok")))))))))</f>
        <v/>
      </c>
    </row>
    <row r="282">
      <c r="A282" t="inlineStr">
        <is>
          <t>2026-2027</t>
        </is>
      </c>
      <c r="B282" s="14" t="inlineStr">
        <is>
          <t>Virginie CATHALA [P081]</t>
        </is>
      </c>
      <c r="C282" s="15">
        <f>IFERROR(MID($B282,FIND("[",$B282)+1,FIND("]",$B282)-FIND("[",$B282)-1),"")</f>
        <v/>
      </c>
      <c r="D282" s="15">
        <f>IFERROR(INDEX(Personnes!$B$5:$B$153,MATCH($C282,Personnes!$A$5:$A$153,0))&amp;"","")</f>
        <v/>
      </c>
      <c r="E282" s="15">
        <f>IFERROR(INDEX(Personnes!$C$5:$C$153,MATCH($C282,Personnes!$A$5:$A$153,0))&amp;"","")</f>
        <v/>
      </c>
      <c r="F282" s="14" t="inlineStr">
        <is>
          <t>STA</t>
        </is>
      </c>
      <c r="G282" s="14" t="inlineStr">
        <is>
          <t>élève</t>
        </is>
      </c>
      <c r="H282" s="14" t="inlineStr">
        <is>
          <t>classeur</t>
        </is>
      </c>
      <c r="I282" s="16" t="n">
        <v>46272</v>
      </c>
      <c r="J282" s="16" t="n"/>
      <c r="K282" s="18" t="n"/>
      <c r="L282" s="18" t="n"/>
      <c r="M282" s="15">
        <f>IF($B282="","",IF($C282="","personne non reconnue",IF(ISERROR(SEARCH(TRIM($E282&amp;" "&amp;$D282),$B282)),"libellé incohérent avec l’identifiant",IF(COUNTIFS($A$5:$A$500,$A282,$C$5:$C$500,$C282,$F$5:$F$500,$F282,$G$5:$G$500,$G282)&gt;1,"doublon",IF($F282="","groupe manquant",IF($G282="","rôle manquant",IF($H282="","support de saisie manquant",IF(AND($I282&lt;&gt;"",$J282&lt;&gt;"",$J282&lt;$I282),"date de fin antérieure à la date de début",IF(AND($G282="encadrant",IFERROR(INDEX(Personnes!$F$5:$F$153,MATCH($C282,Personnes!$A$5:$A$153,0)),"")=""),"courriel encadrant manquant","ok")))))))))</f>
        <v/>
      </c>
    </row>
    <row r="283">
      <c r="A283" t="inlineStr">
        <is>
          <t>2026-2027</t>
        </is>
      </c>
      <c r="B283" s="14" t="inlineStr">
        <is>
          <t>Franco CODAZZO [P082]</t>
        </is>
      </c>
      <c r="C283" s="15">
        <f>IFERROR(MID($B283,FIND("[",$B283)+1,FIND("]",$B283)-FIND("[",$B283)-1),"")</f>
        <v/>
      </c>
      <c r="D283" s="15">
        <f>IFERROR(INDEX(Personnes!$B$5:$B$153,MATCH($C283,Personnes!$A$5:$A$153,0))&amp;"","")</f>
        <v/>
      </c>
      <c r="E283" s="15">
        <f>IFERROR(INDEX(Personnes!$C$5:$C$153,MATCH($C283,Personnes!$A$5:$A$153,0))&amp;"","")</f>
        <v/>
      </c>
      <c r="F283" s="14" t="inlineStr">
        <is>
          <t>STA</t>
        </is>
      </c>
      <c r="G283" s="14" t="inlineStr">
        <is>
          <t>élève</t>
        </is>
      </c>
      <c r="H283" s="14" t="inlineStr">
        <is>
          <t>classeur</t>
        </is>
      </c>
      <c r="I283" s="16" t="n">
        <v>46272</v>
      </c>
      <c r="J283" s="16" t="n"/>
      <c r="K283" s="18" t="n"/>
      <c r="L283" s="18" t="n"/>
      <c r="M283" s="15">
        <f>IF($B283="","",IF($C283="","personne non reconnue",IF(ISERROR(SEARCH(TRIM($E283&amp;" "&amp;$D283),$B283)),"libellé incohérent avec l’identifiant",IF(COUNTIFS($A$5:$A$500,$A283,$C$5:$C$500,$C283,$F$5:$F$500,$F283,$G$5:$G$500,$G283)&gt;1,"doublon",IF($F283="","groupe manquant",IF($G283="","rôle manquant",IF($H283="","support de saisie manquant",IF(AND($I283&lt;&gt;"",$J283&lt;&gt;"",$J283&lt;$I283),"date de fin antérieure à la date de début",IF(AND($G283="encadrant",IFERROR(INDEX(Personnes!$F$5:$F$153,MATCH($C283,Personnes!$A$5:$A$153,0)),"")=""),"courriel encadrant manquant","ok")))))))))</f>
        <v/>
      </c>
    </row>
    <row r="284">
      <c r="A284" t="inlineStr">
        <is>
          <t>2026-2027</t>
        </is>
      </c>
      <c r="B284" s="14" t="inlineStr">
        <is>
          <t>Sandra CORNET-VERNET [P083]</t>
        </is>
      </c>
      <c r="C284" s="15">
        <f>IFERROR(MID($B284,FIND("[",$B284)+1,FIND("]",$B284)-FIND("[",$B284)-1),"")</f>
        <v/>
      </c>
      <c r="D284" s="15">
        <f>IFERROR(INDEX(Personnes!$B$5:$B$153,MATCH($C284,Personnes!$A$5:$A$153,0))&amp;"","")</f>
        <v/>
      </c>
      <c r="E284" s="15">
        <f>IFERROR(INDEX(Personnes!$C$5:$C$153,MATCH($C284,Personnes!$A$5:$A$153,0))&amp;"","")</f>
        <v/>
      </c>
      <c r="F284" s="14" t="inlineStr">
        <is>
          <t>STA</t>
        </is>
      </c>
      <c r="G284" s="14" t="inlineStr">
        <is>
          <t>élève</t>
        </is>
      </c>
      <c r="H284" s="14" t="inlineStr">
        <is>
          <t>classeur</t>
        </is>
      </c>
      <c r="I284" s="16" t="n">
        <v>46272</v>
      </c>
      <c r="J284" s="16" t="n"/>
      <c r="K284" s="18" t="n"/>
      <c r="L284" s="18" t="n"/>
      <c r="M284" s="15">
        <f>IF($B284="","",IF($C284="","personne non reconnue",IF(ISERROR(SEARCH(TRIM($E284&amp;" "&amp;$D284),$B284)),"libellé incohérent avec l’identifiant",IF(COUNTIFS($A$5:$A$500,$A284,$C$5:$C$500,$C284,$F$5:$F$500,$F284,$G$5:$G$500,$G284)&gt;1,"doublon",IF($F284="","groupe manquant",IF($G284="","rôle manquant",IF($H284="","support de saisie manquant",IF(AND($I284&lt;&gt;"",$J284&lt;&gt;"",$J284&lt;$I284),"date de fin antérieure à la date de début",IF(AND($G284="encadrant",IFERROR(INDEX(Personnes!$F$5:$F$153,MATCH($C284,Personnes!$A$5:$A$153,0)),"")=""),"courriel encadrant manquant","ok")))))))))</f>
        <v/>
      </c>
    </row>
    <row r="285">
      <c r="A285" t="inlineStr">
        <is>
          <t>2026-2027</t>
        </is>
      </c>
      <c r="B285" s="14" t="inlineStr">
        <is>
          <t>Monia COSSAIS [P084]</t>
        </is>
      </c>
      <c r="C285" s="15">
        <f>IFERROR(MID($B285,FIND("[",$B285)+1,FIND("]",$B285)-FIND("[",$B285)-1),"")</f>
        <v/>
      </c>
      <c r="D285" s="15">
        <f>IFERROR(INDEX(Personnes!$B$5:$B$153,MATCH($C285,Personnes!$A$5:$A$153,0))&amp;"","")</f>
        <v/>
      </c>
      <c r="E285" s="15">
        <f>IFERROR(INDEX(Personnes!$C$5:$C$153,MATCH($C285,Personnes!$A$5:$A$153,0))&amp;"","")</f>
        <v/>
      </c>
      <c r="F285" s="14" t="inlineStr">
        <is>
          <t>STA</t>
        </is>
      </c>
      <c r="G285" s="14" t="inlineStr">
        <is>
          <t>élève</t>
        </is>
      </c>
      <c r="H285" s="14" t="inlineStr">
        <is>
          <t>classeur</t>
        </is>
      </c>
      <c r="I285" s="16" t="n">
        <v>46272</v>
      </c>
      <c r="J285" s="16" t="n"/>
      <c r="K285" s="18" t="n"/>
      <c r="L285" s="18" t="n"/>
      <c r="M285" s="15">
        <f>IF($B285="","",IF($C285="","personne non reconnue",IF(ISERROR(SEARCH(TRIM($E285&amp;" "&amp;$D285),$B285)),"libellé incohérent avec l’identifiant",IF(COUNTIFS($A$5:$A$500,$A285,$C$5:$C$500,$C285,$F$5:$F$500,$F285,$G$5:$G$500,$G285)&gt;1,"doublon",IF($F285="","groupe manquant",IF($G285="","rôle manquant",IF($H285="","support de saisie manquant",IF(AND($I285&lt;&gt;"",$J285&lt;&gt;"",$J285&lt;$I285),"date de fin antérieure à la date de début",IF(AND($G285="encadrant",IFERROR(INDEX(Personnes!$F$5:$F$153,MATCH($C285,Personnes!$A$5:$A$153,0)),"")=""),"courriel encadrant manquant","ok")))))))))</f>
        <v/>
      </c>
    </row>
    <row r="286">
      <c r="A286" t="inlineStr">
        <is>
          <t>2026-2027</t>
        </is>
      </c>
      <c r="B286" s="14" t="inlineStr">
        <is>
          <t>Arnaud DE LA BRETESCHE [P085]</t>
        </is>
      </c>
      <c r="C286" s="15">
        <f>IFERROR(MID($B286,FIND("[",$B286)+1,FIND("]",$B286)-FIND("[",$B286)-1),"")</f>
        <v/>
      </c>
      <c r="D286" s="15">
        <f>IFERROR(INDEX(Personnes!$B$5:$B$153,MATCH($C286,Personnes!$A$5:$A$153,0))&amp;"","")</f>
        <v/>
      </c>
      <c r="E286" s="15">
        <f>IFERROR(INDEX(Personnes!$C$5:$C$153,MATCH($C286,Personnes!$A$5:$A$153,0))&amp;"","")</f>
        <v/>
      </c>
      <c r="F286" s="14" t="inlineStr">
        <is>
          <t>STA</t>
        </is>
      </c>
      <c r="G286" s="14" t="inlineStr">
        <is>
          <t>élève</t>
        </is>
      </c>
      <c r="H286" s="14" t="inlineStr">
        <is>
          <t>classeur</t>
        </is>
      </c>
      <c r="I286" s="16" t="n">
        <v>46272</v>
      </c>
      <c r="J286" s="16" t="n"/>
      <c r="K286" s="18" t="n"/>
      <c r="L286" s="18" t="n"/>
      <c r="M286" s="15">
        <f>IF($B286="","",IF($C286="","personne non reconnue",IF(ISERROR(SEARCH(TRIM($E286&amp;" "&amp;$D286),$B286)),"libellé incohérent avec l’identifiant",IF(COUNTIFS($A$5:$A$500,$A286,$C$5:$C$500,$C286,$F$5:$F$500,$F286,$G$5:$G$500,$G286)&gt;1,"doublon",IF($F286="","groupe manquant",IF($G286="","rôle manquant",IF($H286="","support de saisie manquant",IF(AND($I286&lt;&gt;"",$J286&lt;&gt;"",$J286&lt;$I286),"date de fin antérieure à la date de début",IF(AND($G286="encadrant",IFERROR(INDEX(Personnes!$F$5:$F$153,MATCH($C286,Personnes!$A$5:$A$153,0)),"")=""),"courriel encadrant manquant","ok")))))))))</f>
        <v/>
      </c>
    </row>
    <row r="287">
      <c r="A287" t="inlineStr">
        <is>
          <t>2026-2027</t>
        </is>
      </c>
      <c r="B287" s="14" t="inlineStr">
        <is>
          <t>Alain DEPRETZ [P086]</t>
        </is>
      </c>
      <c r="C287" s="15">
        <f>IFERROR(MID($B287,FIND("[",$B287)+1,FIND("]",$B287)-FIND("[",$B287)-1),"")</f>
        <v/>
      </c>
      <c r="D287" s="15">
        <f>IFERROR(INDEX(Personnes!$B$5:$B$153,MATCH($C287,Personnes!$A$5:$A$153,0))&amp;"","")</f>
        <v/>
      </c>
      <c r="E287" s="15">
        <f>IFERROR(INDEX(Personnes!$C$5:$C$153,MATCH($C287,Personnes!$A$5:$A$153,0))&amp;"","")</f>
        <v/>
      </c>
      <c r="F287" s="14" t="inlineStr">
        <is>
          <t>STA</t>
        </is>
      </c>
      <c r="G287" s="14" t="inlineStr">
        <is>
          <t>élève</t>
        </is>
      </c>
      <c r="H287" s="14" t="inlineStr">
        <is>
          <t>classeur</t>
        </is>
      </c>
      <c r="I287" s="16" t="n">
        <v>46272</v>
      </c>
      <c r="J287" s="16" t="n"/>
      <c r="K287" s="18" t="n"/>
      <c r="L287" s="18" t="n"/>
      <c r="M287" s="15">
        <f>IF($B287="","",IF($C287="","personne non reconnue",IF(ISERROR(SEARCH(TRIM($E287&amp;" "&amp;$D287),$B287)),"libellé incohérent avec l’identifiant",IF(COUNTIFS($A$5:$A$500,$A287,$C$5:$C$500,$C287,$F$5:$F$500,$F287,$G$5:$G$500,$G287)&gt;1,"doublon",IF($F287="","groupe manquant",IF($G287="","rôle manquant",IF($H287="","support de saisie manquant",IF(AND($I287&lt;&gt;"",$J287&lt;&gt;"",$J287&lt;$I287),"date de fin antérieure à la date de début",IF(AND($G287="encadrant",IFERROR(INDEX(Personnes!$F$5:$F$153,MATCH($C287,Personnes!$A$5:$A$153,0)),"")=""),"courriel encadrant manquant","ok")))))))))</f>
        <v/>
      </c>
    </row>
    <row r="288">
      <c r="A288" t="inlineStr">
        <is>
          <t>2026-2027</t>
        </is>
      </c>
      <c r="B288" s="14" t="inlineStr">
        <is>
          <t>Céline DUBUISSON [P087]</t>
        </is>
      </c>
      <c r="C288" s="15">
        <f>IFERROR(MID($B288,FIND("[",$B288)+1,FIND("]",$B288)-FIND("[",$B288)-1),"")</f>
        <v/>
      </c>
      <c r="D288" s="15">
        <f>IFERROR(INDEX(Personnes!$B$5:$B$153,MATCH($C288,Personnes!$A$5:$A$153,0))&amp;"","")</f>
        <v/>
      </c>
      <c r="E288" s="15">
        <f>IFERROR(INDEX(Personnes!$C$5:$C$153,MATCH($C288,Personnes!$A$5:$A$153,0))&amp;"","")</f>
        <v/>
      </c>
      <c r="F288" s="14" t="inlineStr">
        <is>
          <t>STA</t>
        </is>
      </c>
      <c r="G288" s="14" t="inlineStr">
        <is>
          <t>élève</t>
        </is>
      </c>
      <c r="H288" s="14" t="inlineStr">
        <is>
          <t>classeur</t>
        </is>
      </c>
      <c r="I288" s="16" t="n">
        <v>46272</v>
      </c>
      <c r="J288" s="16" t="n"/>
      <c r="K288" s="18" t="n"/>
      <c r="L288" s="18" t="n"/>
      <c r="M288" s="15">
        <f>IF($B288="","",IF($C288="","personne non reconnue",IF(ISERROR(SEARCH(TRIM($E288&amp;" "&amp;$D288),$B288)),"libellé incohérent avec l’identifiant",IF(COUNTIFS($A$5:$A$500,$A288,$C$5:$C$500,$C288,$F$5:$F$500,$F288,$G$5:$G$500,$G288)&gt;1,"doublon",IF($F288="","groupe manquant",IF($G288="","rôle manquant",IF($H288="","support de saisie manquant",IF(AND($I288&lt;&gt;"",$J288&lt;&gt;"",$J288&lt;$I288),"date de fin antérieure à la date de début",IF(AND($G288="encadrant",IFERROR(INDEX(Personnes!$F$5:$F$153,MATCH($C288,Personnes!$A$5:$A$153,0)),"")=""),"courriel encadrant manquant","ok")))))))))</f>
        <v/>
      </c>
    </row>
    <row r="289">
      <c r="A289" t="inlineStr">
        <is>
          <t>2026-2027</t>
        </is>
      </c>
      <c r="B289" s="14" t="inlineStr">
        <is>
          <t>Alain FIOR [P088]</t>
        </is>
      </c>
      <c r="C289" s="15">
        <f>IFERROR(MID($B289,FIND("[",$B289)+1,FIND("]",$B289)-FIND("[",$B289)-1),"")</f>
        <v/>
      </c>
      <c r="D289" s="15">
        <f>IFERROR(INDEX(Personnes!$B$5:$B$153,MATCH($C289,Personnes!$A$5:$A$153,0))&amp;"","")</f>
        <v/>
      </c>
      <c r="E289" s="15">
        <f>IFERROR(INDEX(Personnes!$C$5:$C$153,MATCH($C289,Personnes!$A$5:$A$153,0))&amp;"","")</f>
        <v/>
      </c>
      <c r="F289" s="14" t="inlineStr">
        <is>
          <t>STA</t>
        </is>
      </c>
      <c r="G289" s="14" t="inlineStr">
        <is>
          <t>élève</t>
        </is>
      </c>
      <c r="H289" s="14" t="inlineStr">
        <is>
          <t>classeur</t>
        </is>
      </c>
      <c r="I289" s="16" t="n">
        <v>46272</v>
      </c>
      <c r="J289" s="16" t="n"/>
      <c r="K289" s="18" t="n"/>
      <c r="L289" s="18" t="n"/>
      <c r="M289" s="15">
        <f>IF($B289="","",IF($C289="","personne non reconnue",IF(ISERROR(SEARCH(TRIM($E289&amp;" "&amp;$D289),$B289)),"libellé incohérent avec l’identifiant",IF(COUNTIFS($A$5:$A$500,$A289,$C$5:$C$500,$C289,$F$5:$F$500,$F289,$G$5:$G$500,$G289)&gt;1,"doublon",IF($F289="","groupe manquant",IF($G289="","rôle manquant",IF($H289="","support de saisie manquant",IF(AND($I289&lt;&gt;"",$J289&lt;&gt;"",$J289&lt;$I289),"date de fin antérieure à la date de début",IF(AND($G289="encadrant",IFERROR(INDEX(Personnes!$F$5:$F$153,MATCH($C289,Personnes!$A$5:$A$153,0)),"")=""),"courriel encadrant manquant","ok")))))))))</f>
        <v/>
      </c>
    </row>
    <row r="290">
      <c r="A290" t="inlineStr">
        <is>
          <t>2026-2027</t>
        </is>
      </c>
      <c r="B290" s="14" t="inlineStr">
        <is>
          <t>Laurent GARCIA [P089]</t>
        </is>
      </c>
      <c r="C290" s="15">
        <f>IFERROR(MID($B290,FIND("[",$B290)+1,FIND("]",$B290)-FIND("[",$B290)-1),"")</f>
        <v/>
      </c>
      <c r="D290" s="15">
        <f>IFERROR(INDEX(Personnes!$B$5:$B$153,MATCH($C290,Personnes!$A$5:$A$153,0))&amp;"","")</f>
        <v/>
      </c>
      <c r="E290" s="15">
        <f>IFERROR(INDEX(Personnes!$C$5:$C$153,MATCH($C290,Personnes!$A$5:$A$153,0))&amp;"","")</f>
        <v/>
      </c>
      <c r="F290" s="14" t="inlineStr">
        <is>
          <t>STA</t>
        </is>
      </c>
      <c r="G290" s="14" t="inlineStr">
        <is>
          <t>élève</t>
        </is>
      </c>
      <c r="H290" s="14" t="inlineStr">
        <is>
          <t>classeur</t>
        </is>
      </c>
      <c r="I290" s="16" t="n">
        <v>46272</v>
      </c>
      <c r="J290" s="16" t="n"/>
      <c r="K290" s="18" t="n"/>
      <c r="L290" s="18" t="n"/>
      <c r="M290" s="15">
        <f>IF($B290="","",IF($C290="","personne non reconnue",IF(ISERROR(SEARCH(TRIM($E290&amp;" "&amp;$D290),$B290)),"libellé incohérent avec l’identifiant",IF(COUNTIFS($A$5:$A$500,$A290,$C$5:$C$500,$C290,$F$5:$F$500,$F290,$G$5:$G$500,$G290)&gt;1,"doublon",IF($F290="","groupe manquant",IF($G290="","rôle manquant",IF($H290="","support de saisie manquant",IF(AND($I290&lt;&gt;"",$J290&lt;&gt;"",$J290&lt;$I290),"date de fin antérieure à la date de début",IF(AND($G290="encadrant",IFERROR(INDEX(Personnes!$F$5:$F$153,MATCH($C290,Personnes!$A$5:$A$153,0)),"")=""),"courriel encadrant manquant","ok")))))))))</f>
        <v/>
      </c>
    </row>
    <row r="291">
      <c r="A291" t="inlineStr">
        <is>
          <t>2026-2027</t>
        </is>
      </c>
      <c r="B291" s="14" t="inlineStr">
        <is>
          <t>Sylvie HERMANS [P090]</t>
        </is>
      </c>
      <c r="C291" s="15">
        <f>IFERROR(MID($B291,FIND("[",$B291)+1,FIND("]",$B291)-FIND("[",$B291)-1),"")</f>
        <v/>
      </c>
      <c r="D291" s="15">
        <f>IFERROR(INDEX(Personnes!$B$5:$B$153,MATCH($C291,Personnes!$A$5:$A$153,0))&amp;"","")</f>
        <v/>
      </c>
      <c r="E291" s="15">
        <f>IFERROR(INDEX(Personnes!$C$5:$C$153,MATCH($C291,Personnes!$A$5:$A$153,0))&amp;"","")</f>
        <v/>
      </c>
      <c r="F291" s="14" t="inlineStr">
        <is>
          <t>STA</t>
        </is>
      </c>
      <c r="G291" s="14" t="inlineStr">
        <is>
          <t>élève</t>
        </is>
      </c>
      <c r="H291" s="14" t="inlineStr">
        <is>
          <t>classeur</t>
        </is>
      </c>
      <c r="I291" s="16" t="n">
        <v>46272</v>
      </c>
      <c r="J291" s="16" t="n"/>
      <c r="K291" s="18" t="n"/>
      <c r="L291" s="18" t="n"/>
      <c r="M291" s="15">
        <f>IF($B291="","",IF($C291="","personne non reconnue",IF(ISERROR(SEARCH(TRIM($E291&amp;" "&amp;$D291),$B291)),"libellé incohérent avec l’identifiant",IF(COUNTIFS($A$5:$A$500,$A291,$C$5:$C$500,$C291,$F$5:$F$500,$F291,$G$5:$G$500,$G291)&gt;1,"doublon",IF($F291="","groupe manquant",IF($G291="","rôle manquant",IF($H291="","support de saisie manquant",IF(AND($I291&lt;&gt;"",$J291&lt;&gt;"",$J291&lt;$I291),"date de fin antérieure à la date de début",IF(AND($G291="encadrant",IFERROR(INDEX(Personnes!$F$5:$F$153,MATCH($C291,Personnes!$A$5:$A$153,0)),"")=""),"courriel encadrant manquant","ok")))))))))</f>
        <v/>
      </c>
    </row>
    <row r="292">
      <c r="A292" t="inlineStr">
        <is>
          <t>2026-2027</t>
        </is>
      </c>
      <c r="B292" s="14" t="inlineStr">
        <is>
          <t>Kévin MASGRAU [P091]</t>
        </is>
      </c>
      <c r="C292" s="15">
        <f>IFERROR(MID($B292,FIND("[",$B292)+1,FIND("]",$B292)-FIND("[",$B292)-1),"")</f>
        <v/>
      </c>
      <c r="D292" s="15">
        <f>IFERROR(INDEX(Personnes!$B$5:$B$153,MATCH($C292,Personnes!$A$5:$A$153,0))&amp;"","")</f>
        <v/>
      </c>
      <c r="E292" s="15">
        <f>IFERROR(INDEX(Personnes!$C$5:$C$153,MATCH($C292,Personnes!$A$5:$A$153,0))&amp;"","")</f>
        <v/>
      </c>
      <c r="F292" s="14" t="inlineStr">
        <is>
          <t>STA</t>
        </is>
      </c>
      <c r="G292" s="14" t="inlineStr">
        <is>
          <t>élève</t>
        </is>
      </c>
      <c r="H292" s="14" t="inlineStr">
        <is>
          <t>classeur</t>
        </is>
      </c>
      <c r="I292" s="16" t="n">
        <v>46272</v>
      </c>
      <c r="J292" s="16" t="n"/>
      <c r="K292" s="18" t="n"/>
      <c r="L292" s="18" t="n"/>
      <c r="M292" s="15">
        <f>IF($B292="","",IF($C292="","personne non reconnue",IF(ISERROR(SEARCH(TRIM($E292&amp;" "&amp;$D292),$B292)),"libellé incohérent avec l’identifiant",IF(COUNTIFS($A$5:$A$500,$A292,$C$5:$C$500,$C292,$F$5:$F$500,$F292,$G$5:$G$500,$G292)&gt;1,"doublon",IF($F292="","groupe manquant",IF($G292="","rôle manquant",IF($H292="","support de saisie manquant",IF(AND($I292&lt;&gt;"",$J292&lt;&gt;"",$J292&lt;$I292),"date de fin antérieure à la date de début",IF(AND($G292="encadrant",IFERROR(INDEX(Personnes!$F$5:$F$153,MATCH($C292,Personnes!$A$5:$A$153,0)),"")=""),"courriel encadrant manquant","ok")))))))))</f>
        <v/>
      </c>
    </row>
    <row r="293">
      <c r="A293" t="inlineStr">
        <is>
          <t>2026-2027</t>
        </is>
      </c>
      <c r="B293" s="14" t="inlineStr">
        <is>
          <t>Isabelle NIGEN [P092]</t>
        </is>
      </c>
      <c r="C293" s="15">
        <f>IFERROR(MID($B293,FIND("[",$B293)+1,FIND("]",$B293)-FIND("[",$B293)-1),"")</f>
        <v/>
      </c>
      <c r="D293" s="15">
        <f>IFERROR(INDEX(Personnes!$B$5:$B$153,MATCH($C293,Personnes!$A$5:$A$153,0))&amp;"","")</f>
        <v/>
      </c>
      <c r="E293" s="15">
        <f>IFERROR(INDEX(Personnes!$C$5:$C$153,MATCH($C293,Personnes!$A$5:$A$153,0))&amp;"","")</f>
        <v/>
      </c>
      <c r="F293" s="14" t="inlineStr">
        <is>
          <t>STA</t>
        </is>
      </c>
      <c r="G293" s="14" t="inlineStr">
        <is>
          <t>élève</t>
        </is>
      </c>
      <c r="H293" s="14" t="inlineStr">
        <is>
          <t>classeur</t>
        </is>
      </c>
      <c r="I293" s="16" t="n">
        <v>46272</v>
      </c>
      <c r="J293" s="16" t="n"/>
      <c r="K293" s="18" t="n"/>
      <c r="L293" s="18" t="n"/>
      <c r="M293" s="15">
        <f>IF($B293="","",IF($C293="","personne non reconnue",IF(ISERROR(SEARCH(TRIM($E293&amp;" "&amp;$D293),$B293)),"libellé incohérent avec l’identifiant",IF(COUNTIFS($A$5:$A$500,$A293,$C$5:$C$500,$C293,$F$5:$F$500,$F293,$G$5:$G$500,$G293)&gt;1,"doublon",IF($F293="","groupe manquant",IF($G293="","rôle manquant",IF($H293="","support de saisie manquant",IF(AND($I293&lt;&gt;"",$J293&lt;&gt;"",$J293&lt;$I293),"date de fin antérieure à la date de début",IF(AND($G293="encadrant",IFERROR(INDEX(Personnes!$F$5:$F$153,MATCH($C293,Personnes!$A$5:$A$153,0)),"")=""),"courriel encadrant manquant","ok")))))))))</f>
        <v/>
      </c>
    </row>
    <row r="294">
      <c r="A294" t="inlineStr">
        <is>
          <t>2026-2027</t>
        </is>
      </c>
      <c r="B294" s="14" t="inlineStr">
        <is>
          <t>Vincent NOËL [P093]</t>
        </is>
      </c>
      <c r="C294" s="15">
        <f>IFERROR(MID($B294,FIND("[",$B294)+1,FIND("]",$B294)-FIND("[",$B294)-1),"")</f>
        <v/>
      </c>
      <c r="D294" s="15">
        <f>IFERROR(INDEX(Personnes!$B$5:$B$153,MATCH($C294,Personnes!$A$5:$A$153,0))&amp;"","")</f>
        <v/>
      </c>
      <c r="E294" s="15">
        <f>IFERROR(INDEX(Personnes!$C$5:$C$153,MATCH($C294,Personnes!$A$5:$A$153,0))&amp;"","")</f>
        <v/>
      </c>
      <c r="F294" s="14" t="inlineStr">
        <is>
          <t>STA</t>
        </is>
      </c>
      <c r="G294" s="14" t="inlineStr">
        <is>
          <t>élève</t>
        </is>
      </c>
      <c r="H294" s="14" t="inlineStr">
        <is>
          <t>classeur</t>
        </is>
      </c>
      <c r="I294" s="16" t="n">
        <v>46272</v>
      </c>
      <c r="J294" s="16" t="n"/>
      <c r="K294" s="18" t="n"/>
      <c r="L294" s="18" t="n"/>
      <c r="M294" s="15">
        <f>IF($B294="","",IF($C294="","personne non reconnue",IF(ISERROR(SEARCH(TRIM($E294&amp;" "&amp;$D294),$B294)),"libellé incohérent avec l’identifiant",IF(COUNTIFS($A$5:$A$500,$A294,$C$5:$C$500,$C294,$F$5:$F$500,$F294,$G$5:$G$500,$G294)&gt;1,"doublon",IF($F294="","groupe manquant",IF($G294="","rôle manquant",IF($H294="","support de saisie manquant",IF(AND($I294&lt;&gt;"",$J294&lt;&gt;"",$J294&lt;$I294),"date de fin antérieure à la date de début",IF(AND($G294="encadrant",IFERROR(INDEX(Personnes!$F$5:$F$153,MATCH($C294,Personnes!$A$5:$A$153,0)),"")=""),"courriel encadrant manquant","ok")))))))))</f>
        <v/>
      </c>
    </row>
    <row r="295">
      <c r="A295" t="inlineStr">
        <is>
          <t>2026-2027</t>
        </is>
      </c>
      <c r="B295" s="14" t="inlineStr">
        <is>
          <t>Theo SEVEDO [P094]</t>
        </is>
      </c>
      <c r="C295" s="15">
        <f>IFERROR(MID($B295,FIND("[",$B295)+1,FIND("]",$B295)-FIND("[",$B295)-1),"")</f>
        <v/>
      </c>
      <c r="D295" s="15">
        <f>IFERROR(INDEX(Personnes!$B$5:$B$153,MATCH($C295,Personnes!$A$5:$A$153,0))&amp;"","")</f>
        <v/>
      </c>
      <c r="E295" s="15">
        <f>IFERROR(INDEX(Personnes!$C$5:$C$153,MATCH($C295,Personnes!$A$5:$A$153,0))&amp;"","")</f>
        <v/>
      </c>
      <c r="F295" s="14" t="inlineStr">
        <is>
          <t>STA</t>
        </is>
      </c>
      <c r="G295" s="14" t="inlineStr">
        <is>
          <t>élève</t>
        </is>
      </c>
      <c r="H295" s="14" t="inlineStr">
        <is>
          <t>classeur</t>
        </is>
      </c>
      <c r="I295" s="16" t="n">
        <v>46272</v>
      </c>
      <c r="J295" s="16" t="n"/>
      <c r="K295" s="18" t="n"/>
      <c r="L295" s="18" t="n"/>
      <c r="M295" s="15">
        <f>IF($B295="","",IF($C295="","personne non reconnue",IF(ISERROR(SEARCH(TRIM($E295&amp;" "&amp;$D295),$B295)),"libellé incohérent avec l’identifiant",IF(COUNTIFS($A$5:$A$500,$A295,$C$5:$C$500,$C295,$F$5:$F$500,$F295,$G$5:$G$500,$G295)&gt;1,"doublon",IF($F295="","groupe manquant",IF($G295="","rôle manquant",IF($H295="","support de saisie manquant",IF(AND($I295&lt;&gt;"",$J295&lt;&gt;"",$J295&lt;$I295),"date de fin antérieure à la date de début",IF(AND($G295="encadrant",IFERROR(INDEX(Personnes!$F$5:$F$153,MATCH($C295,Personnes!$A$5:$A$153,0)),"")=""),"courriel encadrant manquant","ok")))))))))</f>
        <v/>
      </c>
    </row>
    <row r="296">
      <c r="A296" t="inlineStr">
        <is>
          <t>2026-2027</t>
        </is>
      </c>
      <c r="B296" s="14" t="inlineStr">
        <is>
          <t>Marine TESSON [P095]</t>
        </is>
      </c>
      <c r="C296" s="15">
        <f>IFERROR(MID($B296,FIND("[",$B296)+1,FIND("]",$B296)-FIND("[",$B296)-1),"")</f>
        <v/>
      </c>
      <c r="D296" s="15">
        <f>IFERROR(INDEX(Personnes!$B$5:$B$153,MATCH($C296,Personnes!$A$5:$A$153,0))&amp;"","")</f>
        <v/>
      </c>
      <c r="E296" s="15">
        <f>IFERROR(INDEX(Personnes!$C$5:$C$153,MATCH($C296,Personnes!$A$5:$A$153,0))&amp;"","")</f>
        <v/>
      </c>
      <c r="F296" s="14" t="inlineStr">
        <is>
          <t>STA</t>
        </is>
      </c>
      <c r="G296" s="14" t="inlineStr">
        <is>
          <t>élève</t>
        </is>
      </c>
      <c r="H296" s="14" t="inlineStr">
        <is>
          <t>classeur</t>
        </is>
      </c>
      <c r="I296" s="16" t="n">
        <v>46272</v>
      </c>
      <c r="J296" s="16" t="n"/>
      <c r="K296" s="18" t="n"/>
      <c r="L296" s="18" t="n"/>
      <c r="M296" s="15">
        <f>IF($B296="","",IF($C296="","personne non reconnue",IF(ISERROR(SEARCH(TRIM($E296&amp;" "&amp;$D296),$B296)),"libellé incohérent avec l’identifiant",IF(COUNTIFS($A$5:$A$500,$A296,$C$5:$C$500,$C296,$F$5:$F$500,$F296,$G$5:$G$500,$G296)&gt;1,"doublon",IF($F296="","groupe manquant",IF($G296="","rôle manquant",IF($H296="","support de saisie manquant",IF(AND($I296&lt;&gt;"",$J296&lt;&gt;"",$J296&lt;$I296),"date de fin antérieure à la date de début",IF(AND($G296="encadrant",IFERROR(INDEX(Personnes!$F$5:$F$153,MATCH($C296,Personnes!$A$5:$A$153,0)),"")=""),"courriel encadrant manquant","ok")))))))))</f>
        <v/>
      </c>
    </row>
    <row r="297">
      <c r="A297" t="inlineStr">
        <is>
          <t>2026-2027</t>
        </is>
      </c>
      <c r="B297" s="14" t="inlineStr">
        <is>
          <t>Sylvie WALLON [P096]</t>
        </is>
      </c>
      <c r="C297" s="15">
        <f>IFERROR(MID($B297,FIND("[",$B297)+1,FIND("]",$B297)-FIND("[",$B297)-1),"")</f>
        <v/>
      </c>
      <c r="D297" s="15">
        <f>IFERROR(INDEX(Personnes!$B$5:$B$153,MATCH($C297,Personnes!$A$5:$A$153,0))&amp;"","")</f>
        <v/>
      </c>
      <c r="E297" s="15">
        <f>IFERROR(INDEX(Personnes!$C$5:$C$153,MATCH($C297,Personnes!$A$5:$A$153,0))&amp;"","")</f>
        <v/>
      </c>
      <c r="F297" s="14" t="inlineStr">
        <is>
          <t>STA</t>
        </is>
      </c>
      <c r="G297" s="14" t="inlineStr">
        <is>
          <t>élève</t>
        </is>
      </c>
      <c r="H297" s="14" t="inlineStr">
        <is>
          <t>classeur</t>
        </is>
      </c>
      <c r="I297" s="16" t="n">
        <v>46272</v>
      </c>
      <c r="J297" s="16" t="n"/>
      <c r="K297" s="18" t="n"/>
      <c r="L297" s="18" t="n"/>
      <c r="M297" s="15">
        <f>IF($B297="","",IF($C297="","personne non reconnue",IF(ISERROR(SEARCH(TRIM($E297&amp;" "&amp;$D297),$B297)),"libellé incohérent avec l’identifiant",IF(COUNTIFS($A$5:$A$500,$A297,$C$5:$C$500,$C297,$F$5:$F$500,$F297,$G$5:$G$500,$G297)&gt;1,"doublon",IF($F297="","groupe manquant",IF($G297="","rôle manquant",IF($H297="","support de saisie manquant",IF(AND($I297&lt;&gt;"",$J297&lt;&gt;"",$J297&lt;$I297),"date de fin antérieure à la date de début",IF(AND($G297="encadrant",IFERROR(INDEX(Personnes!$F$5:$F$153,MATCH($C297,Personnes!$A$5:$A$153,0)),"")=""),"courriel encadrant manquant","ok")))))))))</f>
        <v/>
      </c>
    </row>
    <row r="298">
      <c r="A298" t="inlineStr">
        <is>
          <t>2026-2027</t>
        </is>
      </c>
      <c r="B298" s="14" t="inlineStr">
        <is>
          <t>Christophe CHABERNAUD [P097]</t>
        </is>
      </c>
      <c r="C298" s="15">
        <f>IFERROR(MID($B298,FIND("[",$B298)+1,FIND("]",$B298)-FIND("[",$B298)-1),"")</f>
        <v/>
      </c>
      <c r="D298" s="15">
        <f>IFERROR(INDEX(Personnes!$B$5:$B$153,MATCH($C298,Personnes!$A$5:$A$153,0))&amp;"","")</f>
        <v/>
      </c>
      <c r="E298" s="15">
        <f>IFERROR(INDEX(Personnes!$C$5:$C$153,MATCH($C298,Personnes!$A$5:$A$153,0))&amp;"","")</f>
        <v/>
      </c>
      <c r="F298" s="14" t="inlineStr">
        <is>
          <t>STA</t>
        </is>
      </c>
      <c r="G298" s="14" t="inlineStr">
        <is>
          <t>élève</t>
        </is>
      </c>
      <c r="H298" s="14" t="inlineStr">
        <is>
          <t>classeur</t>
        </is>
      </c>
      <c r="I298" s="16" t="n">
        <v>46272</v>
      </c>
      <c r="J298" s="16" t="n"/>
      <c r="K298" s="18" t="n"/>
      <c r="L298" s="18" t="n"/>
      <c r="M298" s="15">
        <f>IF($B298="","",IF($C298="","personne non reconnue",IF(ISERROR(SEARCH(TRIM($E298&amp;" "&amp;$D298),$B298)),"libellé incohérent avec l’identifiant",IF(COUNTIFS($A$5:$A$500,$A298,$C$5:$C$500,$C298,$F$5:$F$500,$F298,$G$5:$G$500,$G298)&gt;1,"doublon",IF($F298="","groupe manquant",IF($G298="","rôle manquant",IF($H298="","support de saisie manquant",IF(AND($I298&lt;&gt;"",$J298&lt;&gt;"",$J298&lt;$I298),"date de fin antérieure à la date de début",IF(AND($G298="encadrant",IFERROR(INDEX(Personnes!$F$5:$F$153,MATCH($C298,Personnes!$A$5:$A$153,0)),"")=""),"courriel encadrant manquant","ok")))))))))</f>
        <v/>
      </c>
    </row>
    <row r="299">
      <c r="A299" t="inlineStr">
        <is>
          <t>2026-2027</t>
        </is>
      </c>
      <c r="B299" s="14" t="inlineStr">
        <is>
          <t>Thomas HENRY [P098]</t>
        </is>
      </c>
      <c r="C299" s="15">
        <f>IFERROR(MID($B299,FIND("[",$B299)+1,FIND("]",$B299)-FIND("[",$B299)-1),"")</f>
        <v/>
      </c>
      <c r="D299" s="15">
        <f>IFERROR(INDEX(Personnes!$B$5:$B$153,MATCH($C299,Personnes!$A$5:$A$153,0))&amp;"","")</f>
        <v/>
      </c>
      <c r="E299" s="15">
        <f>IFERROR(INDEX(Personnes!$C$5:$C$153,MATCH($C299,Personnes!$A$5:$A$153,0))&amp;"","")</f>
        <v/>
      </c>
      <c r="F299" s="14" t="inlineStr">
        <is>
          <t>STA</t>
        </is>
      </c>
      <c r="G299" s="14" t="inlineStr">
        <is>
          <t>élève</t>
        </is>
      </c>
      <c r="H299" s="14" t="inlineStr">
        <is>
          <t>classeur</t>
        </is>
      </c>
      <c r="I299" s="16" t="n">
        <v>46272</v>
      </c>
      <c r="J299" s="16" t="n"/>
      <c r="K299" s="18" t="n"/>
      <c r="L299" s="18" t="n"/>
      <c r="M299" s="15">
        <f>IF($B299="","",IF($C299="","personne non reconnue",IF(ISERROR(SEARCH(TRIM($E299&amp;" "&amp;$D299),$B299)),"libellé incohérent avec l’identifiant",IF(COUNTIFS($A$5:$A$500,$A299,$C$5:$C$500,$C299,$F$5:$F$500,$F299,$G$5:$G$500,$G299)&gt;1,"doublon",IF($F299="","groupe manquant",IF($G299="","rôle manquant",IF($H299="","support de saisie manquant",IF(AND($I299&lt;&gt;"",$J299&lt;&gt;"",$J299&lt;$I299),"date de fin antérieure à la date de début",IF(AND($G299="encadrant",IFERROR(INDEX(Personnes!$F$5:$F$153,MATCH($C299,Personnes!$A$5:$A$153,0)),"")=""),"courriel encadrant manquant","ok")))))))))</f>
        <v/>
      </c>
    </row>
    <row r="300">
      <c r="A300" t="inlineStr">
        <is>
          <t>2026-2027</t>
        </is>
      </c>
      <c r="B300" s="14" t="inlineStr">
        <is>
          <t>Viktor SIKORA [P099]</t>
        </is>
      </c>
      <c r="C300" s="15">
        <f>IFERROR(MID($B300,FIND("[",$B300)+1,FIND("]",$B300)-FIND("[",$B300)-1),"")</f>
        <v/>
      </c>
      <c r="D300" s="15">
        <f>IFERROR(INDEX(Personnes!$B$5:$B$153,MATCH($C300,Personnes!$A$5:$A$153,0))&amp;"","")</f>
        <v/>
      </c>
      <c r="E300" s="15">
        <f>IFERROR(INDEX(Personnes!$C$5:$C$153,MATCH($C300,Personnes!$A$5:$A$153,0))&amp;"","")</f>
        <v/>
      </c>
      <c r="F300" s="14" t="inlineStr">
        <is>
          <t>STA</t>
        </is>
      </c>
      <c r="G300" s="14" t="inlineStr">
        <is>
          <t>élève</t>
        </is>
      </c>
      <c r="H300" s="14" t="inlineStr">
        <is>
          <t>classeur</t>
        </is>
      </c>
      <c r="I300" s="16" t="n">
        <v>46272</v>
      </c>
      <c r="J300" s="16" t="n"/>
      <c r="K300" s="18" t="n"/>
      <c r="L300" s="18" t="n"/>
      <c r="M300" s="15">
        <f>IF($B300="","",IF($C300="","personne non reconnue",IF(ISERROR(SEARCH(TRIM($E300&amp;" "&amp;$D300),$B300)),"libellé incohérent avec l’identifiant",IF(COUNTIFS($A$5:$A$500,$A300,$C$5:$C$500,$C300,$F$5:$F$500,$F300,$G$5:$G$500,$G300)&gt;1,"doublon",IF($F300="","groupe manquant",IF($G300="","rôle manquant",IF($H300="","support de saisie manquant",IF(AND($I300&lt;&gt;"",$J300&lt;&gt;"",$J300&lt;$I300),"date de fin antérieure à la date de début",IF(AND($G300="encadrant",IFERROR(INDEX(Personnes!$F$5:$F$153,MATCH($C300,Personnes!$A$5:$A$153,0)),"")=""),"courriel encadrant manquant","ok")))))))))</f>
        <v/>
      </c>
    </row>
    <row r="301">
      <c r="B301" s="14" t="n"/>
      <c r="C301" s="15">
        <f>IFERROR(MID($B301,FIND("[",$B301)+1,FIND("]",$B301)-FIND("[",$B301)-1),"")</f>
        <v/>
      </c>
      <c r="D301" s="15">
        <f>IFERROR(INDEX(Personnes!$B$5:$B$153,MATCH($C301,Personnes!$A$5:$A$153,0))&amp;"","")</f>
        <v/>
      </c>
      <c r="E301" s="15">
        <f>IFERROR(INDEX(Personnes!$C$5:$C$153,MATCH($C301,Personnes!$A$5:$A$153,0))&amp;"","")</f>
        <v/>
      </c>
      <c r="F301" s="14" t="n"/>
      <c r="G301" s="14" t="n"/>
      <c r="H301" s="14" t="n"/>
      <c r="I301" s="16" t="n"/>
      <c r="J301" s="16" t="n"/>
      <c r="K301" s="18" t="n"/>
      <c r="L301" s="18" t="n"/>
      <c r="M301" s="15">
        <f>IF($B301="","",IF($C301="","personne non reconnue",IF(ISERROR(SEARCH(TRIM($E301&amp;" "&amp;$D301),$B301)),"libellé incohérent avec l’identifiant",IF(COUNTIFS($A$5:$A$500,$A301,$C$5:$C$500,$C301,$F$5:$F$500,$F301,$G$5:$G$500,$G301)&gt;1,"doublon",IF($F301="","groupe manquant",IF($G301="","rôle manquant",IF($H301="","support de saisie manquant",IF(AND($I301&lt;&gt;"",$J301&lt;&gt;"",$J301&lt;$I301),"date de fin antérieure à la date de début",IF(AND($G301="encadrant",IFERROR(INDEX(Personnes!$F$5:$F$153,MATCH($C301,Personnes!$A$5:$A$153,0)),"")=""),"courriel encadrant manquant","ok")))))))))</f>
        <v/>
      </c>
    </row>
    <row r="302">
      <c r="B302" s="14" t="n"/>
      <c r="C302" s="15">
        <f>IFERROR(MID($B302,FIND("[",$B302)+1,FIND("]",$B302)-FIND("[",$B302)-1),"")</f>
        <v/>
      </c>
      <c r="D302" s="15">
        <f>IFERROR(INDEX(Personnes!$B$5:$B$153,MATCH($C302,Personnes!$A$5:$A$153,0))&amp;"","")</f>
        <v/>
      </c>
      <c r="E302" s="15">
        <f>IFERROR(INDEX(Personnes!$C$5:$C$153,MATCH($C302,Personnes!$A$5:$A$153,0))&amp;"","")</f>
        <v/>
      </c>
      <c r="F302" s="14" t="n"/>
      <c r="G302" s="14" t="n"/>
      <c r="H302" s="14" t="n"/>
      <c r="I302" s="16" t="n"/>
      <c r="J302" s="16" t="n"/>
      <c r="K302" s="18" t="n"/>
      <c r="L302" s="18" t="n"/>
      <c r="M302" s="15">
        <f>IF($B302="","",IF($C302="","personne non reconnue",IF(ISERROR(SEARCH(TRIM($E302&amp;" "&amp;$D302),$B302)),"libellé incohérent avec l’identifiant",IF(COUNTIFS($A$5:$A$500,$A302,$C$5:$C$500,$C302,$F$5:$F$500,$F302,$G$5:$G$500,$G302)&gt;1,"doublon",IF($F302="","groupe manquant",IF($G302="","rôle manquant",IF($H302="","support de saisie manquant",IF(AND($I302&lt;&gt;"",$J302&lt;&gt;"",$J302&lt;$I302),"date de fin antérieure à la date de début",IF(AND($G302="encadrant",IFERROR(INDEX(Personnes!$F$5:$F$153,MATCH($C302,Personnes!$A$5:$A$153,0)),"")=""),"courriel encadrant manquant","ok")))))))))</f>
        <v/>
      </c>
    </row>
    <row r="303">
      <c r="B303" s="14" t="n"/>
      <c r="C303" s="15">
        <f>IFERROR(MID($B303,FIND("[",$B303)+1,FIND("]",$B303)-FIND("[",$B303)-1),"")</f>
        <v/>
      </c>
      <c r="D303" s="15">
        <f>IFERROR(INDEX(Personnes!$B$5:$B$153,MATCH($C303,Personnes!$A$5:$A$153,0))&amp;"","")</f>
        <v/>
      </c>
      <c r="E303" s="15">
        <f>IFERROR(INDEX(Personnes!$C$5:$C$153,MATCH($C303,Personnes!$A$5:$A$153,0))&amp;"","")</f>
        <v/>
      </c>
      <c r="F303" s="14" t="n"/>
      <c r="G303" s="14" t="n"/>
      <c r="H303" s="14" t="n"/>
      <c r="I303" s="16" t="n"/>
      <c r="J303" s="16" t="n"/>
      <c r="K303" s="18" t="n"/>
      <c r="L303" s="18" t="n"/>
      <c r="M303" s="15">
        <f>IF($B303="","",IF($C303="","personne non reconnue",IF(ISERROR(SEARCH(TRIM($E303&amp;" "&amp;$D303),$B303)),"libellé incohérent avec l’identifiant",IF(COUNTIFS($A$5:$A$500,$A303,$C$5:$C$500,$C303,$F$5:$F$500,$F303,$G$5:$G$500,$G303)&gt;1,"doublon",IF($F303="","groupe manquant",IF($G303="","rôle manquant",IF($H303="","support de saisie manquant",IF(AND($I303&lt;&gt;"",$J303&lt;&gt;"",$J303&lt;$I303),"date de fin antérieure à la date de début",IF(AND($G303="encadrant",IFERROR(INDEX(Personnes!$F$5:$F$153,MATCH($C303,Personnes!$A$5:$A$153,0)),"")=""),"courriel encadrant manquant","ok")))))))))</f>
        <v/>
      </c>
    </row>
    <row r="304">
      <c r="B304" s="14" t="n"/>
      <c r="C304" s="15">
        <f>IFERROR(MID($B304,FIND("[",$B304)+1,FIND("]",$B304)-FIND("[",$B304)-1),"")</f>
        <v/>
      </c>
      <c r="D304" s="15">
        <f>IFERROR(INDEX(Personnes!$B$5:$B$153,MATCH($C304,Personnes!$A$5:$A$153,0))&amp;"","")</f>
        <v/>
      </c>
      <c r="E304" s="15">
        <f>IFERROR(INDEX(Personnes!$C$5:$C$153,MATCH($C304,Personnes!$A$5:$A$153,0))&amp;"","")</f>
        <v/>
      </c>
      <c r="F304" s="14" t="n"/>
      <c r="G304" s="14" t="n"/>
      <c r="H304" s="14" t="n"/>
      <c r="I304" s="16" t="n"/>
      <c r="J304" s="16" t="n"/>
      <c r="K304" s="18" t="n"/>
      <c r="L304" s="18" t="n"/>
      <c r="M304" s="15">
        <f>IF($B304="","",IF($C304="","personne non reconnue",IF(ISERROR(SEARCH(TRIM($E304&amp;" "&amp;$D304),$B304)),"libellé incohérent avec l’identifiant",IF(COUNTIFS($A$5:$A$500,$A304,$C$5:$C$500,$C304,$F$5:$F$500,$F304,$G$5:$G$500,$G304)&gt;1,"doublon",IF($F304="","groupe manquant",IF($G304="","rôle manquant",IF($H304="","support de saisie manquant",IF(AND($I304&lt;&gt;"",$J304&lt;&gt;"",$J304&lt;$I304),"date de fin antérieure à la date de début",IF(AND($G304="encadrant",IFERROR(INDEX(Personnes!$F$5:$F$153,MATCH($C304,Personnes!$A$5:$A$153,0)),"")=""),"courriel encadrant manquant","ok")))))))))</f>
        <v/>
      </c>
    </row>
    <row r="305">
      <c r="B305" s="14" t="n"/>
      <c r="C305" s="15">
        <f>IFERROR(MID($B305,FIND("[",$B305)+1,FIND("]",$B305)-FIND("[",$B305)-1),"")</f>
        <v/>
      </c>
      <c r="D305" s="15">
        <f>IFERROR(INDEX(Personnes!$B$5:$B$153,MATCH($C305,Personnes!$A$5:$A$153,0))&amp;"","")</f>
        <v/>
      </c>
      <c r="E305" s="15">
        <f>IFERROR(INDEX(Personnes!$C$5:$C$153,MATCH($C305,Personnes!$A$5:$A$153,0))&amp;"","")</f>
        <v/>
      </c>
      <c r="F305" s="14" t="n"/>
      <c r="G305" s="14" t="n"/>
      <c r="H305" s="14" t="n"/>
      <c r="I305" s="16" t="n"/>
      <c r="J305" s="16" t="n"/>
      <c r="K305" s="18" t="n"/>
      <c r="L305" s="18" t="n"/>
      <c r="M305" s="15">
        <f>IF($B305="","",IF($C305="","personne non reconnue",IF(ISERROR(SEARCH(TRIM($E305&amp;" "&amp;$D305),$B305)),"libellé incohérent avec l’identifiant",IF(COUNTIFS($A$5:$A$500,$A305,$C$5:$C$500,$C305,$F$5:$F$500,$F305,$G$5:$G$500,$G305)&gt;1,"doublon",IF($F305="","groupe manquant",IF($G305="","rôle manquant",IF($H305="","support de saisie manquant",IF(AND($I305&lt;&gt;"",$J305&lt;&gt;"",$J305&lt;$I305),"date de fin antérieure à la date de début",IF(AND($G305="encadrant",IFERROR(INDEX(Personnes!$F$5:$F$153,MATCH($C305,Personnes!$A$5:$A$153,0)),"")=""),"courriel encadrant manquant","ok")))))))))</f>
        <v/>
      </c>
    </row>
    <row r="306">
      <c r="B306" s="14" t="n"/>
      <c r="C306" s="15">
        <f>IFERROR(MID($B306,FIND("[",$B306)+1,FIND("]",$B306)-FIND("[",$B306)-1),"")</f>
        <v/>
      </c>
      <c r="D306" s="15">
        <f>IFERROR(INDEX(Personnes!$B$5:$B$153,MATCH($C306,Personnes!$A$5:$A$153,0))&amp;"","")</f>
        <v/>
      </c>
      <c r="E306" s="15">
        <f>IFERROR(INDEX(Personnes!$C$5:$C$153,MATCH($C306,Personnes!$A$5:$A$153,0))&amp;"","")</f>
        <v/>
      </c>
      <c r="F306" s="14" t="n"/>
      <c r="G306" s="14" t="n"/>
      <c r="H306" s="14" t="n"/>
      <c r="I306" s="16" t="n"/>
      <c r="J306" s="16" t="n"/>
      <c r="K306" s="18" t="n"/>
      <c r="L306" s="18" t="n"/>
      <c r="M306" s="15">
        <f>IF($B306="","",IF($C306="","personne non reconnue",IF(ISERROR(SEARCH(TRIM($E306&amp;" "&amp;$D306),$B306)),"libellé incohérent avec l’identifiant",IF(COUNTIFS($A$5:$A$500,$A306,$C$5:$C$500,$C306,$F$5:$F$500,$F306,$G$5:$G$500,$G306)&gt;1,"doublon",IF($F306="","groupe manquant",IF($G306="","rôle manquant",IF($H306="","support de saisie manquant",IF(AND($I306&lt;&gt;"",$J306&lt;&gt;"",$J306&lt;$I306),"date de fin antérieure à la date de début",IF(AND($G306="encadrant",IFERROR(INDEX(Personnes!$F$5:$F$153,MATCH($C306,Personnes!$A$5:$A$153,0)),"")=""),"courriel encadrant manquant","ok")))))))))</f>
        <v/>
      </c>
    </row>
    <row r="307">
      <c r="B307" s="14" t="n"/>
      <c r="C307" s="15">
        <f>IFERROR(MID($B307,FIND("[",$B307)+1,FIND("]",$B307)-FIND("[",$B307)-1),"")</f>
        <v/>
      </c>
      <c r="D307" s="15">
        <f>IFERROR(INDEX(Personnes!$B$5:$B$153,MATCH($C307,Personnes!$A$5:$A$153,0))&amp;"","")</f>
        <v/>
      </c>
      <c r="E307" s="15">
        <f>IFERROR(INDEX(Personnes!$C$5:$C$153,MATCH($C307,Personnes!$A$5:$A$153,0))&amp;"","")</f>
        <v/>
      </c>
      <c r="F307" s="14" t="n"/>
      <c r="G307" s="14" t="n"/>
      <c r="H307" s="14" t="n"/>
      <c r="I307" s="16" t="n"/>
      <c r="J307" s="16" t="n"/>
      <c r="K307" s="18" t="n"/>
      <c r="L307" s="18" t="n"/>
      <c r="M307" s="15">
        <f>IF($B307="","",IF($C307="","personne non reconnue",IF(ISERROR(SEARCH(TRIM($E307&amp;" "&amp;$D307),$B307)),"libellé incohérent avec l’identifiant",IF(COUNTIFS($A$5:$A$500,$A307,$C$5:$C$500,$C307,$F$5:$F$500,$F307,$G$5:$G$500,$G307)&gt;1,"doublon",IF($F307="","groupe manquant",IF($G307="","rôle manquant",IF($H307="","support de saisie manquant",IF(AND($I307&lt;&gt;"",$J307&lt;&gt;"",$J307&lt;$I307),"date de fin antérieure à la date de début",IF(AND($G307="encadrant",IFERROR(INDEX(Personnes!$F$5:$F$153,MATCH($C307,Personnes!$A$5:$A$153,0)),"")=""),"courriel encadrant manquant","ok")))))))))</f>
        <v/>
      </c>
    </row>
    <row r="308">
      <c r="B308" s="14" t="n"/>
      <c r="C308" s="15">
        <f>IFERROR(MID($B308,FIND("[",$B308)+1,FIND("]",$B308)-FIND("[",$B308)-1),"")</f>
        <v/>
      </c>
      <c r="D308" s="15">
        <f>IFERROR(INDEX(Personnes!$B$5:$B$153,MATCH($C308,Personnes!$A$5:$A$153,0))&amp;"","")</f>
        <v/>
      </c>
      <c r="E308" s="15">
        <f>IFERROR(INDEX(Personnes!$C$5:$C$153,MATCH($C308,Personnes!$A$5:$A$153,0))&amp;"","")</f>
        <v/>
      </c>
      <c r="F308" s="14" t="n"/>
      <c r="G308" s="14" t="n"/>
      <c r="H308" s="14" t="n"/>
      <c r="I308" s="16" t="n"/>
      <c r="J308" s="16" t="n"/>
      <c r="K308" s="18" t="n"/>
      <c r="L308" s="18" t="n"/>
      <c r="M308" s="15">
        <f>IF($B308="","",IF($C308="","personne non reconnue",IF(ISERROR(SEARCH(TRIM($E308&amp;" "&amp;$D308),$B308)),"libellé incohérent avec l’identifiant",IF(COUNTIFS($A$5:$A$500,$A308,$C$5:$C$500,$C308,$F$5:$F$500,$F308,$G$5:$G$500,$G308)&gt;1,"doublon",IF($F308="","groupe manquant",IF($G308="","rôle manquant",IF($H308="","support de saisie manquant",IF(AND($I308&lt;&gt;"",$J308&lt;&gt;"",$J308&lt;$I308),"date de fin antérieure à la date de début",IF(AND($G308="encadrant",IFERROR(INDEX(Personnes!$F$5:$F$153,MATCH($C308,Personnes!$A$5:$A$153,0)),"")=""),"courriel encadrant manquant","ok")))))))))</f>
        <v/>
      </c>
    </row>
    <row r="309">
      <c r="B309" s="14" t="n"/>
      <c r="C309" s="15">
        <f>IFERROR(MID($B309,FIND("[",$B309)+1,FIND("]",$B309)-FIND("[",$B309)-1),"")</f>
        <v/>
      </c>
      <c r="D309" s="15">
        <f>IFERROR(INDEX(Personnes!$B$5:$B$153,MATCH($C309,Personnes!$A$5:$A$153,0))&amp;"","")</f>
        <v/>
      </c>
      <c r="E309" s="15">
        <f>IFERROR(INDEX(Personnes!$C$5:$C$153,MATCH($C309,Personnes!$A$5:$A$153,0))&amp;"","")</f>
        <v/>
      </c>
      <c r="F309" s="14" t="n"/>
      <c r="G309" s="14" t="n"/>
      <c r="H309" s="14" t="n"/>
      <c r="I309" s="16" t="n"/>
      <c r="J309" s="16" t="n"/>
      <c r="K309" s="18" t="n"/>
      <c r="L309" s="18" t="n"/>
      <c r="M309" s="15">
        <f>IF($B309="","",IF($C309="","personne non reconnue",IF(ISERROR(SEARCH(TRIM($E309&amp;" "&amp;$D309),$B309)),"libellé incohérent avec l’identifiant",IF(COUNTIFS($A$5:$A$500,$A309,$C$5:$C$500,$C309,$F$5:$F$500,$F309,$G$5:$G$500,$G309)&gt;1,"doublon",IF($F309="","groupe manquant",IF($G309="","rôle manquant",IF($H309="","support de saisie manquant",IF(AND($I309&lt;&gt;"",$J309&lt;&gt;"",$J309&lt;$I309),"date de fin antérieure à la date de début",IF(AND($G309="encadrant",IFERROR(INDEX(Personnes!$F$5:$F$153,MATCH($C309,Personnes!$A$5:$A$153,0)),"")=""),"courriel encadrant manquant","ok")))))))))</f>
        <v/>
      </c>
    </row>
    <row r="310">
      <c r="B310" s="14" t="n"/>
      <c r="C310" s="15">
        <f>IFERROR(MID($B310,FIND("[",$B310)+1,FIND("]",$B310)-FIND("[",$B310)-1),"")</f>
        <v/>
      </c>
      <c r="D310" s="15">
        <f>IFERROR(INDEX(Personnes!$B$5:$B$153,MATCH($C310,Personnes!$A$5:$A$153,0))&amp;"","")</f>
        <v/>
      </c>
      <c r="E310" s="15">
        <f>IFERROR(INDEX(Personnes!$C$5:$C$153,MATCH($C310,Personnes!$A$5:$A$153,0))&amp;"","")</f>
        <v/>
      </c>
      <c r="F310" s="14" t="n"/>
      <c r="G310" s="14" t="n"/>
      <c r="H310" s="14" t="n"/>
      <c r="I310" s="16" t="n"/>
      <c r="J310" s="16" t="n"/>
      <c r="K310" s="18" t="n"/>
      <c r="L310" s="18" t="n"/>
      <c r="M310" s="15">
        <f>IF($B310="","",IF($C310="","personne non reconnue",IF(ISERROR(SEARCH(TRIM($E310&amp;" "&amp;$D310),$B310)),"libellé incohérent avec l’identifiant",IF(COUNTIFS($A$5:$A$500,$A310,$C$5:$C$500,$C310,$F$5:$F$500,$F310,$G$5:$G$500,$G310)&gt;1,"doublon",IF($F310="","groupe manquant",IF($G310="","rôle manquant",IF($H310="","support de saisie manquant",IF(AND($I310&lt;&gt;"",$J310&lt;&gt;"",$J310&lt;$I310),"date de fin antérieure à la date de début",IF(AND($G310="encadrant",IFERROR(INDEX(Personnes!$F$5:$F$153,MATCH($C310,Personnes!$A$5:$A$153,0)),"")=""),"courriel encadrant manquant","ok")))))))))</f>
        <v/>
      </c>
    </row>
    <row r="311">
      <c r="B311" s="14" t="n"/>
      <c r="C311" s="15">
        <f>IFERROR(MID($B311,FIND("[",$B311)+1,FIND("]",$B311)-FIND("[",$B311)-1),"")</f>
        <v/>
      </c>
      <c r="D311" s="15">
        <f>IFERROR(INDEX(Personnes!$B$5:$B$153,MATCH($C311,Personnes!$A$5:$A$153,0))&amp;"","")</f>
        <v/>
      </c>
      <c r="E311" s="15">
        <f>IFERROR(INDEX(Personnes!$C$5:$C$153,MATCH($C311,Personnes!$A$5:$A$153,0))&amp;"","")</f>
        <v/>
      </c>
      <c r="F311" s="14" t="n"/>
      <c r="G311" s="14" t="n"/>
      <c r="H311" s="14" t="n"/>
      <c r="I311" s="16" t="n"/>
      <c r="J311" s="16" t="n"/>
      <c r="K311" s="18" t="n"/>
      <c r="L311" s="18" t="n"/>
      <c r="M311" s="15">
        <f>IF($B311="","",IF($C311="","personne non reconnue",IF(ISERROR(SEARCH(TRIM($E311&amp;" "&amp;$D311),$B311)),"libellé incohérent avec l’identifiant",IF(COUNTIFS($A$5:$A$500,$A311,$C$5:$C$500,$C311,$F$5:$F$500,$F311,$G$5:$G$500,$G311)&gt;1,"doublon",IF($F311="","groupe manquant",IF($G311="","rôle manquant",IF($H311="","support de saisie manquant",IF(AND($I311&lt;&gt;"",$J311&lt;&gt;"",$J311&lt;$I311),"date de fin antérieure à la date de début",IF(AND($G311="encadrant",IFERROR(INDEX(Personnes!$F$5:$F$153,MATCH($C311,Personnes!$A$5:$A$153,0)),"")=""),"courriel encadrant manquant","ok")))))))))</f>
        <v/>
      </c>
    </row>
    <row r="312">
      <c r="B312" s="14" t="n"/>
      <c r="C312" s="15">
        <f>IFERROR(MID($B312,FIND("[",$B312)+1,FIND("]",$B312)-FIND("[",$B312)-1),"")</f>
        <v/>
      </c>
      <c r="D312" s="15">
        <f>IFERROR(INDEX(Personnes!$B$5:$B$153,MATCH($C312,Personnes!$A$5:$A$153,0))&amp;"","")</f>
        <v/>
      </c>
      <c r="E312" s="15">
        <f>IFERROR(INDEX(Personnes!$C$5:$C$153,MATCH($C312,Personnes!$A$5:$A$153,0))&amp;"","")</f>
        <v/>
      </c>
      <c r="F312" s="14" t="n"/>
      <c r="G312" s="14" t="n"/>
      <c r="H312" s="14" t="n"/>
      <c r="I312" s="16" t="n"/>
      <c r="J312" s="16" t="n"/>
      <c r="K312" s="18" t="n"/>
      <c r="L312" s="18" t="n"/>
      <c r="M312" s="15">
        <f>IF($B312="","",IF($C312="","personne non reconnue",IF(ISERROR(SEARCH(TRIM($E312&amp;" "&amp;$D312),$B312)),"libellé incohérent avec l’identifiant",IF(COUNTIFS($A$5:$A$500,$A312,$C$5:$C$500,$C312,$F$5:$F$500,$F312,$G$5:$G$500,$G312)&gt;1,"doublon",IF($F312="","groupe manquant",IF($G312="","rôle manquant",IF($H312="","support de saisie manquant",IF(AND($I312&lt;&gt;"",$J312&lt;&gt;"",$J312&lt;$I312),"date de fin antérieure à la date de début",IF(AND($G312="encadrant",IFERROR(INDEX(Personnes!$F$5:$F$153,MATCH($C312,Personnes!$A$5:$A$153,0)),"")=""),"courriel encadrant manquant","ok")))))))))</f>
        <v/>
      </c>
    </row>
    <row r="313">
      <c r="B313" s="14" t="n"/>
      <c r="C313" s="15">
        <f>IFERROR(MID($B313,FIND("[",$B313)+1,FIND("]",$B313)-FIND("[",$B313)-1),"")</f>
        <v/>
      </c>
      <c r="D313" s="15">
        <f>IFERROR(INDEX(Personnes!$B$5:$B$153,MATCH($C313,Personnes!$A$5:$A$153,0))&amp;"","")</f>
        <v/>
      </c>
      <c r="E313" s="15">
        <f>IFERROR(INDEX(Personnes!$C$5:$C$153,MATCH($C313,Personnes!$A$5:$A$153,0))&amp;"","")</f>
        <v/>
      </c>
      <c r="F313" s="14" t="n"/>
      <c r="G313" s="14" t="n"/>
      <c r="H313" s="14" t="n"/>
      <c r="I313" s="16" t="n"/>
      <c r="J313" s="16" t="n"/>
      <c r="K313" s="18" t="n"/>
      <c r="L313" s="18" t="n"/>
      <c r="M313" s="15">
        <f>IF($B313="","",IF($C313="","personne non reconnue",IF(ISERROR(SEARCH(TRIM($E313&amp;" "&amp;$D313),$B313)),"libellé incohérent avec l’identifiant",IF(COUNTIFS($A$5:$A$500,$A313,$C$5:$C$500,$C313,$F$5:$F$500,$F313,$G$5:$G$500,$G313)&gt;1,"doublon",IF($F313="","groupe manquant",IF($G313="","rôle manquant",IF($H313="","support de saisie manquant",IF(AND($I313&lt;&gt;"",$J313&lt;&gt;"",$J313&lt;$I313),"date de fin antérieure à la date de début",IF(AND($G313="encadrant",IFERROR(INDEX(Personnes!$F$5:$F$153,MATCH($C313,Personnes!$A$5:$A$153,0)),"")=""),"courriel encadrant manquant","ok")))))))))</f>
        <v/>
      </c>
    </row>
    <row r="314">
      <c r="B314" s="14" t="n"/>
      <c r="C314" s="15">
        <f>IFERROR(MID($B314,FIND("[",$B314)+1,FIND("]",$B314)-FIND("[",$B314)-1),"")</f>
        <v/>
      </c>
      <c r="D314" s="15">
        <f>IFERROR(INDEX(Personnes!$B$5:$B$153,MATCH($C314,Personnes!$A$5:$A$153,0))&amp;"","")</f>
        <v/>
      </c>
      <c r="E314" s="15">
        <f>IFERROR(INDEX(Personnes!$C$5:$C$153,MATCH($C314,Personnes!$A$5:$A$153,0))&amp;"","")</f>
        <v/>
      </c>
      <c r="F314" s="14" t="n"/>
      <c r="G314" s="14" t="n"/>
      <c r="H314" s="14" t="n"/>
      <c r="I314" s="16" t="n"/>
      <c r="J314" s="16" t="n"/>
      <c r="K314" s="18" t="n"/>
      <c r="L314" s="18" t="n"/>
      <c r="M314" s="15">
        <f>IF($B314="","",IF($C314="","personne non reconnue",IF(ISERROR(SEARCH(TRIM($E314&amp;" "&amp;$D314),$B314)),"libellé incohérent avec l’identifiant",IF(COUNTIFS($A$5:$A$500,$A314,$C$5:$C$500,$C314,$F$5:$F$500,$F314,$G$5:$G$500,$G314)&gt;1,"doublon",IF($F314="","groupe manquant",IF($G314="","rôle manquant",IF($H314="","support de saisie manquant",IF(AND($I314&lt;&gt;"",$J314&lt;&gt;"",$J314&lt;$I314),"date de fin antérieure à la date de début",IF(AND($G314="encadrant",IFERROR(INDEX(Personnes!$F$5:$F$153,MATCH($C314,Personnes!$A$5:$A$153,0)),"")=""),"courriel encadrant manquant","ok")))))))))</f>
        <v/>
      </c>
    </row>
    <row r="315">
      <c r="B315" s="14" t="n"/>
      <c r="C315" s="15">
        <f>IFERROR(MID($B315,FIND("[",$B315)+1,FIND("]",$B315)-FIND("[",$B315)-1),"")</f>
        <v/>
      </c>
      <c r="D315" s="15">
        <f>IFERROR(INDEX(Personnes!$B$5:$B$153,MATCH($C315,Personnes!$A$5:$A$153,0))&amp;"","")</f>
        <v/>
      </c>
      <c r="E315" s="15">
        <f>IFERROR(INDEX(Personnes!$C$5:$C$153,MATCH($C315,Personnes!$A$5:$A$153,0))&amp;"","")</f>
        <v/>
      </c>
      <c r="F315" s="14" t="n"/>
      <c r="G315" s="14" t="n"/>
      <c r="H315" s="14" t="n"/>
      <c r="I315" s="16" t="n"/>
      <c r="J315" s="16" t="n"/>
      <c r="K315" s="18" t="n"/>
      <c r="L315" s="18" t="n"/>
      <c r="M315" s="15">
        <f>IF($B315="","",IF($C315="","personne non reconnue",IF(ISERROR(SEARCH(TRIM($E315&amp;" "&amp;$D315),$B315)),"libellé incohérent avec l’identifiant",IF(COUNTIFS($A$5:$A$500,$A315,$C$5:$C$500,$C315,$F$5:$F$500,$F315,$G$5:$G$500,$G315)&gt;1,"doublon",IF($F315="","groupe manquant",IF($G315="","rôle manquant",IF($H315="","support de saisie manquant",IF(AND($I315&lt;&gt;"",$J315&lt;&gt;"",$J315&lt;$I315),"date de fin antérieure à la date de début",IF(AND($G315="encadrant",IFERROR(INDEX(Personnes!$F$5:$F$153,MATCH($C315,Personnes!$A$5:$A$153,0)),"")=""),"courriel encadrant manquant","ok")))))))))</f>
        <v/>
      </c>
    </row>
    <row r="316">
      <c r="B316" s="14" t="n"/>
      <c r="C316" s="15">
        <f>IFERROR(MID($B316,FIND("[",$B316)+1,FIND("]",$B316)-FIND("[",$B316)-1),"")</f>
        <v/>
      </c>
      <c r="D316" s="15">
        <f>IFERROR(INDEX(Personnes!$B$5:$B$153,MATCH($C316,Personnes!$A$5:$A$153,0))&amp;"","")</f>
        <v/>
      </c>
      <c r="E316" s="15">
        <f>IFERROR(INDEX(Personnes!$C$5:$C$153,MATCH($C316,Personnes!$A$5:$A$153,0))&amp;"","")</f>
        <v/>
      </c>
      <c r="F316" s="14" t="n"/>
      <c r="G316" s="14" t="n"/>
      <c r="H316" s="14" t="n"/>
      <c r="I316" s="16" t="n"/>
      <c r="J316" s="16" t="n"/>
      <c r="K316" s="18" t="n"/>
      <c r="L316" s="18" t="n"/>
      <c r="M316" s="15">
        <f>IF($B316="","",IF($C316="","personne non reconnue",IF(ISERROR(SEARCH(TRIM($E316&amp;" "&amp;$D316),$B316)),"libellé incohérent avec l’identifiant",IF(COUNTIFS($A$5:$A$500,$A316,$C$5:$C$500,$C316,$F$5:$F$500,$F316,$G$5:$G$500,$G316)&gt;1,"doublon",IF($F316="","groupe manquant",IF($G316="","rôle manquant",IF($H316="","support de saisie manquant",IF(AND($I316&lt;&gt;"",$J316&lt;&gt;"",$J316&lt;$I316),"date de fin antérieure à la date de début",IF(AND($G316="encadrant",IFERROR(INDEX(Personnes!$F$5:$F$153,MATCH($C316,Personnes!$A$5:$A$153,0)),"")=""),"courriel encadrant manquant","ok")))))))))</f>
        <v/>
      </c>
    </row>
    <row r="317">
      <c r="B317" s="14" t="n"/>
      <c r="C317" s="15">
        <f>IFERROR(MID($B317,FIND("[",$B317)+1,FIND("]",$B317)-FIND("[",$B317)-1),"")</f>
        <v/>
      </c>
      <c r="D317" s="15">
        <f>IFERROR(INDEX(Personnes!$B$5:$B$153,MATCH($C317,Personnes!$A$5:$A$153,0))&amp;"","")</f>
        <v/>
      </c>
      <c r="E317" s="15">
        <f>IFERROR(INDEX(Personnes!$C$5:$C$153,MATCH($C317,Personnes!$A$5:$A$153,0))&amp;"","")</f>
        <v/>
      </c>
      <c r="F317" s="14" t="n"/>
      <c r="G317" s="14" t="n"/>
      <c r="H317" s="14" t="n"/>
      <c r="I317" s="16" t="n"/>
      <c r="J317" s="16" t="n"/>
      <c r="K317" s="18" t="n"/>
      <c r="L317" s="18" t="n"/>
      <c r="M317" s="15">
        <f>IF($B317="","",IF($C317="","personne non reconnue",IF(ISERROR(SEARCH(TRIM($E317&amp;" "&amp;$D317),$B317)),"libellé incohérent avec l’identifiant",IF(COUNTIFS($A$5:$A$500,$A317,$C$5:$C$500,$C317,$F$5:$F$500,$F317,$G$5:$G$500,$G317)&gt;1,"doublon",IF($F317="","groupe manquant",IF($G317="","rôle manquant",IF($H317="","support de saisie manquant",IF(AND($I317&lt;&gt;"",$J317&lt;&gt;"",$J317&lt;$I317),"date de fin antérieure à la date de début",IF(AND($G317="encadrant",IFERROR(INDEX(Personnes!$F$5:$F$153,MATCH($C317,Personnes!$A$5:$A$153,0)),"")=""),"courriel encadrant manquant","ok")))))))))</f>
        <v/>
      </c>
    </row>
    <row r="318">
      <c r="B318" s="14" t="n"/>
      <c r="C318" s="15">
        <f>IFERROR(MID($B318,FIND("[",$B318)+1,FIND("]",$B318)-FIND("[",$B318)-1),"")</f>
        <v/>
      </c>
      <c r="D318" s="15">
        <f>IFERROR(INDEX(Personnes!$B$5:$B$153,MATCH($C318,Personnes!$A$5:$A$153,0))&amp;"","")</f>
        <v/>
      </c>
      <c r="E318" s="15">
        <f>IFERROR(INDEX(Personnes!$C$5:$C$153,MATCH($C318,Personnes!$A$5:$A$153,0))&amp;"","")</f>
        <v/>
      </c>
      <c r="F318" s="14" t="n"/>
      <c r="G318" s="14" t="n"/>
      <c r="H318" s="14" t="n"/>
      <c r="I318" s="16" t="n"/>
      <c r="J318" s="16" t="n"/>
      <c r="K318" s="18" t="n"/>
      <c r="L318" s="18" t="n"/>
      <c r="M318" s="15">
        <f>IF($B318="","",IF($C318="","personne non reconnue",IF(ISERROR(SEARCH(TRIM($E318&amp;" "&amp;$D318),$B318)),"libellé incohérent avec l’identifiant",IF(COUNTIFS($A$5:$A$500,$A318,$C$5:$C$500,$C318,$F$5:$F$500,$F318,$G$5:$G$500,$G318)&gt;1,"doublon",IF($F318="","groupe manquant",IF($G318="","rôle manquant",IF($H318="","support de saisie manquant",IF(AND($I318&lt;&gt;"",$J318&lt;&gt;"",$J318&lt;$I318),"date de fin antérieure à la date de début",IF(AND($G318="encadrant",IFERROR(INDEX(Personnes!$F$5:$F$153,MATCH($C318,Personnes!$A$5:$A$153,0)),"")=""),"courriel encadrant manquant","ok")))))))))</f>
        <v/>
      </c>
    </row>
    <row r="319">
      <c r="B319" s="14" t="n"/>
      <c r="C319" s="15">
        <f>IFERROR(MID($B319,FIND("[",$B319)+1,FIND("]",$B319)-FIND("[",$B319)-1),"")</f>
        <v/>
      </c>
      <c r="D319" s="15">
        <f>IFERROR(INDEX(Personnes!$B$5:$B$153,MATCH($C319,Personnes!$A$5:$A$153,0))&amp;"","")</f>
        <v/>
      </c>
      <c r="E319" s="15">
        <f>IFERROR(INDEX(Personnes!$C$5:$C$153,MATCH($C319,Personnes!$A$5:$A$153,0))&amp;"","")</f>
        <v/>
      </c>
      <c r="F319" s="14" t="n"/>
      <c r="G319" s="14" t="n"/>
      <c r="H319" s="14" t="n"/>
      <c r="I319" s="16" t="n"/>
      <c r="J319" s="16" t="n"/>
      <c r="K319" s="18" t="n"/>
      <c r="L319" s="18" t="n"/>
      <c r="M319" s="15">
        <f>IF($B319="","",IF($C319="","personne non reconnue",IF(ISERROR(SEARCH(TRIM($E319&amp;" "&amp;$D319),$B319)),"libellé incohérent avec l’identifiant",IF(COUNTIFS($A$5:$A$500,$A319,$C$5:$C$500,$C319,$F$5:$F$500,$F319,$G$5:$G$500,$G319)&gt;1,"doublon",IF($F319="","groupe manquant",IF($G319="","rôle manquant",IF($H319="","support de saisie manquant",IF(AND($I319&lt;&gt;"",$J319&lt;&gt;"",$J319&lt;$I319),"date de fin antérieure à la date de début",IF(AND($G319="encadrant",IFERROR(INDEX(Personnes!$F$5:$F$153,MATCH($C319,Personnes!$A$5:$A$153,0)),"")=""),"courriel encadrant manquant","ok")))))))))</f>
        <v/>
      </c>
    </row>
    <row r="320">
      <c r="B320" s="14" t="n"/>
      <c r="C320" s="15">
        <f>IFERROR(MID($B320,FIND("[",$B320)+1,FIND("]",$B320)-FIND("[",$B320)-1),"")</f>
        <v/>
      </c>
      <c r="D320" s="15">
        <f>IFERROR(INDEX(Personnes!$B$5:$B$153,MATCH($C320,Personnes!$A$5:$A$153,0))&amp;"","")</f>
        <v/>
      </c>
      <c r="E320" s="15">
        <f>IFERROR(INDEX(Personnes!$C$5:$C$153,MATCH($C320,Personnes!$A$5:$A$153,0))&amp;"","")</f>
        <v/>
      </c>
      <c r="F320" s="14" t="n"/>
      <c r="G320" s="14" t="n"/>
      <c r="H320" s="14" t="n"/>
      <c r="I320" s="16" t="n"/>
      <c r="J320" s="16" t="n"/>
      <c r="K320" s="18" t="n"/>
      <c r="L320" s="18" t="n"/>
      <c r="M320" s="15">
        <f>IF($B320="","",IF($C320="","personne non reconnue",IF(ISERROR(SEARCH(TRIM($E320&amp;" "&amp;$D320),$B320)),"libellé incohérent avec l’identifiant",IF(COUNTIFS($A$5:$A$500,$A320,$C$5:$C$500,$C320,$F$5:$F$500,$F320,$G$5:$G$500,$G320)&gt;1,"doublon",IF($F320="","groupe manquant",IF($G320="","rôle manquant",IF($H320="","support de saisie manquant",IF(AND($I320&lt;&gt;"",$J320&lt;&gt;"",$J320&lt;$I320),"date de fin antérieure à la date de début",IF(AND($G320="encadrant",IFERROR(INDEX(Personnes!$F$5:$F$153,MATCH($C320,Personnes!$A$5:$A$153,0)),"")=""),"courriel encadrant manquant","ok")))))))))</f>
        <v/>
      </c>
    </row>
    <row r="321">
      <c r="B321" s="14" t="n"/>
      <c r="C321" s="15">
        <f>IFERROR(MID($B321,FIND("[",$B321)+1,FIND("]",$B321)-FIND("[",$B321)-1),"")</f>
        <v/>
      </c>
      <c r="D321" s="15">
        <f>IFERROR(INDEX(Personnes!$B$5:$B$153,MATCH($C321,Personnes!$A$5:$A$153,0))&amp;"","")</f>
        <v/>
      </c>
      <c r="E321" s="15">
        <f>IFERROR(INDEX(Personnes!$C$5:$C$153,MATCH($C321,Personnes!$A$5:$A$153,0))&amp;"","")</f>
        <v/>
      </c>
      <c r="F321" s="14" t="n"/>
      <c r="G321" s="14" t="n"/>
      <c r="H321" s="14" t="n"/>
      <c r="I321" s="16" t="n"/>
      <c r="J321" s="16" t="n"/>
      <c r="K321" s="18" t="n"/>
      <c r="L321" s="18" t="n"/>
      <c r="M321" s="15">
        <f>IF($B321="","",IF($C321="","personne non reconnue",IF(ISERROR(SEARCH(TRIM($E321&amp;" "&amp;$D321),$B321)),"libellé incohérent avec l’identifiant",IF(COUNTIFS($A$5:$A$500,$A321,$C$5:$C$500,$C321,$F$5:$F$500,$F321,$G$5:$G$500,$G321)&gt;1,"doublon",IF($F321="","groupe manquant",IF($G321="","rôle manquant",IF($H321="","support de saisie manquant",IF(AND($I321&lt;&gt;"",$J321&lt;&gt;"",$J321&lt;$I321),"date de fin antérieure à la date de début",IF(AND($G321="encadrant",IFERROR(INDEX(Personnes!$F$5:$F$153,MATCH($C321,Personnes!$A$5:$A$153,0)),"")=""),"courriel encadrant manquant","ok")))))))))</f>
        <v/>
      </c>
    </row>
    <row r="322">
      <c r="B322" s="14" t="n"/>
      <c r="C322" s="15">
        <f>IFERROR(MID($B322,FIND("[",$B322)+1,FIND("]",$B322)-FIND("[",$B322)-1),"")</f>
        <v/>
      </c>
      <c r="D322" s="15">
        <f>IFERROR(INDEX(Personnes!$B$5:$B$153,MATCH($C322,Personnes!$A$5:$A$153,0))&amp;"","")</f>
        <v/>
      </c>
      <c r="E322" s="15">
        <f>IFERROR(INDEX(Personnes!$C$5:$C$153,MATCH($C322,Personnes!$A$5:$A$153,0))&amp;"","")</f>
        <v/>
      </c>
      <c r="F322" s="14" t="n"/>
      <c r="G322" s="14" t="n"/>
      <c r="H322" s="14" t="n"/>
      <c r="I322" s="16" t="n"/>
      <c r="J322" s="16" t="n"/>
      <c r="K322" s="18" t="n"/>
      <c r="L322" s="18" t="n"/>
      <c r="M322" s="15">
        <f>IF($B322="","",IF($C322="","personne non reconnue",IF(ISERROR(SEARCH(TRIM($E322&amp;" "&amp;$D322),$B322)),"libellé incohérent avec l’identifiant",IF(COUNTIFS($A$5:$A$500,$A322,$C$5:$C$500,$C322,$F$5:$F$500,$F322,$G$5:$G$500,$G322)&gt;1,"doublon",IF($F322="","groupe manquant",IF($G322="","rôle manquant",IF($H322="","support de saisie manquant",IF(AND($I322&lt;&gt;"",$J322&lt;&gt;"",$J322&lt;$I322),"date de fin antérieure à la date de début",IF(AND($G322="encadrant",IFERROR(INDEX(Personnes!$F$5:$F$153,MATCH($C322,Personnes!$A$5:$A$153,0)),"")=""),"courriel encadrant manquant","ok")))))))))</f>
        <v/>
      </c>
    </row>
    <row r="323">
      <c r="B323" s="14" t="n"/>
      <c r="C323" s="15">
        <f>IFERROR(MID($B323,FIND("[",$B323)+1,FIND("]",$B323)-FIND("[",$B323)-1),"")</f>
        <v/>
      </c>
      <c r="D323" s="15">
        <f>IFERROR(INDEX(Personnes!$B$5:$B$153,MATCH($C323,Personnes!$A$5:$A$153,0))&amp;"","")</f>
        <v/>
      </c>
      <c r="E323" s="15">
        <f>IFERROR(INDEX(Personnes!$C$5:$C$153,MATCH($C323,Personnes!$A$5:$A$153,0))&amp;"","")</f>
        <v/>
      </c>
      <c r="F323" s="14" t="n"/>
      <c r="G323" s="14" t="n"/>
      <c r="H323" s="14" t="n"/>
      <c r="I323" s="16" t="n"/>
      <c r="J323" s="16" t="n"/>
      <c r="K323" s="18" t="n"/>
      <c r="L323" s="18" t="n"/>
      <c r="M323" s="15">
        <f>IF($B323="","",IF($C323="","personne non reconnue",IF(ISERROR(SEARCH(TRIM($E323&amp;" "&amp;$D323),$B323)),"libellé incohérent avec l’identifiant",IF(COUNTIFS($A$5:$A$500,$A323,$C$5:$C$500,$C323,$F$5:$F$500,$F323,$G$5:$G$500,$G323)&gt;1,"doublon",IF($F323="","groupe manquant",IF($G323="","rôle manquant",IF($H323="","support de saisie manquant",IF(AND($I323&lt;&gt;"",$J323&lt;&gt;"",$J323&lt;$I323),"date de fin antérieure à la date de début",IF(AND($G323="encadrant",IFERROR(INDEX(Personnes!$F$5:$F$153,MATCH($C323,Personnes!$A$5:$A$153,0)),"")=""),"courriel encadrant manquant","ok")))))))))</f>
        <v/>
      </c>
    </row>
    <row r="324">
      <c r="B324" s="14" t="n"/>
      <c r="C324" s="15">
        <f>IFERROR(MID($B324,FIND("[",$B324)+1,FIND("]",$B324)-FIND("[",$B324)-1),"")</f>
        <v/>
      </c>
      <c r="D324" s="15">
        <f>IFERROR(INDEX(Personnes!$B$5:$B$153,MATCH($C324,Personnes!$A$5:$A$153,0))&amp;"","")</f>
        <v/>
      </c>
      <c r="E324" s="15">
        <f>IFERROR(INDEX(Personnes!$C$5:$C$153,MATCH($C324,Personnes!$A$5:$A$153,0))&amp;"","")</f>
        <v/>
      </c>
      <c r="F324" s="14" t="n"/>
      <c r="G324" s="14" t="n"/>
      <c r="H324" s="14" t="n"/>
      <c r="I324" s="16" t="n"/>
      <c r="J324" s="16" t="n"/>
      <c r="K324" s="18" t="n"/>
      <c r="L324" s="18" t="n"/>
      <c r="M324" s="15">
        <f>IF($B324="","",IF($C324="","personne non reconnue",IF(ISERROR(SEARCH(TRIM($E324&amp;" "&amp;$D324),$B324)),"libellé incohérent avec l’identifiant",IF(COUNTIFS($A$5:$A$500,$A324,$C$5:$C$500,$C324,$F$5:$F$500,$F324,$G$5:$G$500,$G324)&gt;1,"doublon",IF($F324="","groupe manquant",IF($G324="","rôle manquant",IF($H324="","support de saisie manquant",IF(AND($I324&lt;&gt;"",$J324&lt;&gt;"",$J324&lt;$I324),"date de fin antérieure à la date de début",IF(AND($G324="encadrant",IFERROR(INDEX(Personnes!$F$5:$F$153,MATCH($C324,Personnes!$A$5:$A$153,0)),"")=""),"courriel encadrant manquant","ok")))))))))</f>
        <v/>
      </c>
    </row>
    <row r="325">
      <c r="B325" s="14" t="n"/>
      <c r="C325" s="15">
        <f>IFERROR(MID($B325,FIND("[",$B325)+1,FIND("]",$B325)-FIND("[",$B325)-1),"")</f>
        <v/>
      </c>
      <c r="D325" s="15">
        <f>IFERROR(INDEX(Personnes!$B$5:$B$153,MATCH($C325,Personnes!$A$5:$A$153,0))&amp;"","")</f>
        <v/>
      </c>
      <c r="E325" s="15">
        <f>IFERROR(INDEX(Personnes!$C$5:$C$153,MATCH($C325,Personnes!$A$5:$A$153,0))&amp;"","")</f>
        <v/>
      </c>
      <c r="F325" s="14" t="n"/>
      <c r="G325" s="14" t="n"/>
      <c r="H325" s="14" t="n"/>
      <c r="I325" s="16" t="n"/>
      <c r="J325" s="16" t="n"/>
      <c r="K325" s="18" t="n"/>
      <c r="L325" s="18" t="n"/>
      <c r="M325" s="15">
        <f>IF($B325="","",IF($C325="","personne non reconnue",IF(ISERROR(SEARCH(TRIM($E325&amp;" "&amp;$D325),$B325)),"libellé incohérent avec l’identifiant",IF(COUNTIFS($A$5:$A$500,$A325,$C$5:$C$500,$C325,$F$5:$F$500,$F325,$G$5:$G$500,$G325)&gt;1,"doublon",IF($F325="","groupe manquant",IF($G325="","rôle manquant",IF($H325="","support de saisie manquant",IF(AND($I325&lt;&gt;"",$J325&lt;&gt;"",$J325&lt;$I325),"date de fin antérieure à la date de début",IF(AND($G325="encadrant",IFERROR(INDEX(Personnes!$F$5:$F$153,MATCH($C325,Personnes!$A$5:$A$153,0)),"")=""),"courriel encadrant manquant","ok")))))))))</f>
        <v/>
      </c>
    </row>
    <row r="326">
      <c r="B326" s="14" t="n"/>
      <c r="C326" s="15">
        <f>IFERROR(MID($B326,FIND("[",$B326)+1,FIND("]",$B326)-FIND("[",$B326)-1),"")</f>
        <v/>
      </c>
      <c r="D326" s="15">
        <f>IFERROR(INDEX(Personnes!$B$5:$B$153,MATCH($C326,Personnes!$A$5:$A$153,0))&amp;"","")</f>
        <v/>
      </c>
      <c r="E326" s="15">
        <f>IFERROR(INDEX(Personnes!$C$5:$C$153,MATCH($C326,Personnes!$A$5:$A$153,0))&amp;"","")</f>
        <v/>
      </c>
      <c r="F326" s="14" t="n"/>
      <c r="G326" s="14" t="n"/>
      <c r="H326" s="14" t="n"/>
      <c r="I326" s="16" t="n"/>
      <c r="J326" s="16" t="n"/>
      <c r="K326" s="18" t="n"/>
      <c r="L326" s="18" t="n"/>
      <c r="M326" s="15">
        <f>IF($B326="","",IF($C326="","personne non reconnue",IF(ISERROR(SEARCH(TRIM($E326&amp;" "&amp;$D326),$B326)),"libellé incohérent avec l’identifiant",IF(COUNTIFS($A$5:$A$500,$A326,$C$5:$C$500,$C326,$F$5:$F$500,$F326,$G$5:$G$500,$G326)&gt;1,"doublon",IF($F326="","groupe manquant",IF($G326="","rôle manquant",IF($H326="","support de saisie manquant",IF(AND($I326&lt;&gt;"",$J326&lt;&gt;"",$J326&lt;$I326),"date de fin antérieure à la date de début",IF(AND($G326="encadrant",IFERROR(INDEX(Personnes!$F$5:$F$153,MATCH($C326,Personnes!$A$5:$A$153,0)),"")=""),"courriel encadrant manquant","ok")))))))))</f>
        <v/>
      </c>
    </row>
    <row r="327">
      <c r="B327" s="14" t="n"/>
      <c r="C327" s="15">
        <f>IFERROR(MID($B327,FIND("[",$B327)+1,FIND("]",$B327)-FIND("[",$B327)-1),"")</f>
        <v/>
      </c>
      <c r="D327" s="15">
        <f>IFERROR(INDEX(Personnes!$B$5:$B$153,MATCH($C327,Personnes!$A$5:$A$153,0))&amp;"","")</f>
        <v/>
      </c>
      <c r="E327" s="15">
        <f>IFERROR(INDEX(Personnes!$C$5:$C$153,MATCH($C327,Personnes!$A$5:$A$153,0))&amp;"","")</f>
        <v/>
      </c>
      <c r="F327" s="14" t="n"/>
      <c r="G327" s="14" t="n"/>
      <c r="H327" s="14" t="n"/>
      <c r="I327" s="16" t="n"/>
      <c r="J327" s="16" t="n"/>
      <c r="K327" s="18" t="n"/>
      <c r="L327" s="18" t="n"/>
      <c r="M327" s="15">
        <f>IF($B327="","",IF($C327="","personne non reconnue",IF(ISERROR(SEARCH(TRIM($E327&amp;" "&amp;$D327),$B327)),"libellé incohérent avec l’identifiant",IF(COUNTIFS($A$5:$A$500,$A327,$C$5:$C$500,$C327,$F$5:$F$500,$F327,$G$5:$G$500,$G327)&gt;1,"doublon",IF($F327="","groupe manquant",IF($G327="","rôle manquant",IF($H327="","support de saisie manquant",IF(AND($I327&lt;&gt;"",$J327&lt;&gt;"",$J327&lt;$I327),"date de fin antérieure à la date de début",IF(AND($G327="encadrant",IFERROR(INDEX(Personnes!$F$5:$F$153,MATCH($C327,Personnes!$A$5:$A$153,0)),"")=""),"courriel encadrant manquant","ok")))))))))</f>
        <v/>
      </c>
    </row>
    <row r="328">
      <c r="B328" s="14" t="n"/>
      <c r="C328" s="15">
        <f>IFERROR(MID($B328,FIND("[",$B328)+1,FIND("]",$B328)-FIND("[",$B328)-1),"")</f>
        <v/>
      </c>
      <c r="D328" s="15">
        <f>IFERROR(INDEX(Personnes!$B$5:$B$153,MATCH($C328,Personnes!$A$5:$A$153,0))&amp;"","")</f>
        <v/>
      </c>
      <c r="E328" s="15">
        <f>IFERROR(INDEX(Personnes!$C$5:$C$153,MATCH($C328,Personnes!$A$5:$A$153,0))&amp;"","")</f>
        <v/>
      </c>
      <c r="F328" s="14" t="n"/>
      <c r="G328" s="14" t="n"/>
      <c r="H328" s="14" t="n"/>
      <c r="I328" s="16" t="n"/>
      <c r="J328" s="16" t="n"/>
      <c r="K328" s="18" t="n"/>
      <c r="L328" s="18" t="n"/>
      <c r="M328" s="15">
        <f>IF($B328="","",IF($C328="","personne non reconnue",IF(ISERROR(SEARCH(TRIM($E328&amp;" "&amp;$D328),$B328)),"libellé incohérent avec l’identifiant",IF(COUNTIFS($A$5:$A$500,$A328,$C$5:$C$500,$C328,$F$5:$F$500,$F328,$G$5:$G$500,$G328)&gt;1,"doublon",IF($F328="","groupe manquant",IF($G328="","rôle manquant",IF($H328="","support de saisie manquant",IF(AND($I328&lt;&gt;"",$J328&lt;&gt;"",$J328&lt;$I328),"date de fin antérieure à la date de début",IF(AND($G328="encadrant",IFERROR(INDEX(Personnes!$F$5:$F$153,MATCH($C328,Personnes!$A$5:$A$153,0)),"")=""),"courriel encadrant manquant","ok")))))))))</f>
        <v/>
      </c>
    </row>
    <row r="329">
      <c r="B329" s="14" t="n"/>
      <c r="C329" s="15">
        <f>IFERROR(MID($B329,FIND("[",$B329)+1,FIND("]",$B329)-FIND("[",$B329)-1),"")</f>
        <v/>
      </c>
      <c r="D329" s="15">
        <f>IFERROR(INDEX(Personnes!$B$5:$B$153,MATCH($C329,Personnes!$A$5:$A$153,0))&amp;"","")</f>
        <v/>
      </c>
      <c r="E329" s="15">
        <f>IFERROR(INDEX(Personnes!$C$5:$C$153,MATCH($C329,Personnes!$A$5:$A$153,0))&amp;"","")</f>
        <v/>
      </c>
      <c r="F329" s="14" t="n"/>
      <c r="G329" s="14" t="n"/>
      <c r="H329" s="14" t="n"/>
      <c r="I329" s="16" t="n"/>
      <c r="J329" s="16" t="n"/>
      <c r="K329" s="18" t="n"/>
      <c r="L329" s="18" t="n"/>
      <c r="M329" s="15">
        <f>IF($B329="","",IF($C329="","personne non reconnue",IF(ISERROR(SEARCH(TRIM($E329&amp;" "&amp;$D329),$B329)),"libellé incohérent avec l’identifiant",IF(COUNTIFS($A$5:$A$500,$A329,$C$5:$C$500,$C329,$F$5:$F$500,$F329,$G$5:$G$500,$G329)&gt;1,"doublon",IF($F329="","groupe manquant",IF($G329="","rôle manquant",IF($H329="","support de saisie manquant",IF(AND($I329&lt;&gt;"",$J329&lt;&gt;"",$J329&lt;$I329),"date de fin antérieure à la date de début",IF(AND($G329="encadrant",IFERROR(INDEX(Personnes!$F$5:$F$153,MATCH($C329,Personnes!$A$5:$A$153,0)),"")=""),"courriel encadrant manquant","ok")))))))))</f>
        <v/>
      </c>
    </row>
    <row r="330">
      <c r="B330" s="14" t="n"/>
      <c r="C330" s="15">
        <f>IFERROR(MID($B330,FIND("[",$B330)+1,FIND("]",$B330)-FIND("[",$B330)-1),"")</f>
        <v/>
      </c>
      <c r="D330" s="15">
        <f>IFERROR(INDEX(Personnes!$B$5:$B$153,MATCH($C330,Personnes!$A$5:$A$153,0))&amp;"","")</f>
        <v/>
      </c>
      <c r="E330" s="15">
        <f>IFERROR(INDEX(Personnes!$C$5:$C$153,MATCH($C330,Personnes!$A$5:$A$153,0))&amp;"","")</f>
        <v/>
      </c>
      <c r="F330" s="14" t="n"/>
      <c r="G330" s="14" t="n"/>
      <c r="H330" s="14" t="n"/>
      <c r="I330" s="16" t="n"/>
      <c r="J330" s="16" t="n"/>
      <c r="K330" s="18" t="n"/>
      <c r="L330" s="18" t="n"/>
      <c r="M330" s="15">
        <f>IF($B330="","",IF($C330="","personne non reconnue",IF(ISERROR(SEARCH(TRIM($E330&amp;" "&amp;$D330),$B330)),"libellé incohérent avec l’identifiant",IF(COUNTIFS($A$5:$A$500,$A330,$C$5:$C$500,$C330,$F$5:$F$500,$F330,$G$5:$G$500,$G330)&gt;1,"doublon",IF($F330="","groupe manquant",IF($G330="","rôle manquant",IF($H330="","support de saisie manquant",IF(AND($I330&lt;&gt;"",$J330&lt;&gt;"",$J330&lt;$I330),"date de fin antérieure à la date de début",IF(AND($G330="encadrant",IFERROR(INDEX(Personnes!$F$5:$F$153,MATCH($C330,Personnes!$A$5:$A$153,0)),"")=""),"courriel encadrant manquant","ok")))))))))</f>
        <v/>
      </c>
    </row>
    <row r="331">
      <c r="B331" s="14" t="n"/>
      <c r="C331" s="15">
        <f>IFERROR(MID($B331,FIND("[",$B331)+1,FIND("]",$B331)-FIND("[",$B331)-1),"")</f>
        <v/>
      </c>
      <c r="D331" s="15">
        <f>IFERROR(INDEX(Personnes!$B$5:$B$153,MATCH($C331,Personnes!$A$5:$A$153,0))&amp;"","")</f>
        <v/>
      </c>
      <c r="E331" s="15">
        <f>IFERROR(INDEX(Personnes!$C$5:$C$153,MATCH($C331,Personnes!$A$5:$A$153,0))&amp;"","")</f>
        <v/>
      </c>
      <c r="F331" s="14" t="n"/>
      <c r="G331" s="14" t="n"/>
      <c r="H331" s="14" t="n"/>
      <c r="I331" s="16" t="n"/>
      <c r="J331" s="16" t="n"/>
      <c r="K331" s="18" t="n"/>
      <c r="L331" s="18" t="n"/>
      <c r="M331" s="15">
        <f>IF($B331="","",IF($C331="","personne non reconnue",IF(ISERROR(SEARCH(TRIM($E331&amp;" "&amp;$D331),$B331)),"libellé incohérent avec l’identifiant",IF(COUNTIFS($A$5:$A$500,$A331,$C$5:$C$500,$C331,$F$5:$F$500,$F331,$G$5:$G$500,$G331)&gt;1,"doublon",IF($F331="","groupe manquant",IF($G331="","rôle manquant",IF($H331="","support de saisie manquant",IF(AND($I331&lt;&gt;"",$J331&lt;&gt;"",$J331&lt;$I331),"date de fin antérieure à la date de début",IF(AND($G331="encadrant",IFERROR(INDEX(Personnes!$F$5:$F$153,MATCH($C331,Personnes!$A$5:$A$153,0)),"")=""),"courriel encadrant manquant","ok")))))))))</f>
        <v/>
      </c>
    </row>
    <row r="332">
      <c r="B332" s="14" t="n"/>
      <c r="C332" s="15">
        <f>IFERROR(MID($B332,FIND("[",$B332)+1,FIND("]",$B332)-FIND("[",$B332)-1),"")</f>
        <v/>
      </c>
      <c r="D332" s="15">
        <f>IFERROR(INDEX(Personnes!$B$5:$B$153,MATCH($C332,Personnes!$A$5:$A$153,0))&amp;"","")</f>
        <v/>
      </c>
      <c r="E332" s="15">
        <f>IFERROR(INDEX(Personnes!$C$5:$C$153,MATCH($C332,Personnes!$A$5:$A$153,0))&amp;"","")</f>
        <v/>
      </c>
      <c r="F332" s="14" t="n"/>
      <c r="G332" s="14" t="n"/>
      <c r="H332" s="14" t="n"/>
      <c r="I332" s="16" t="n"/>
      <c r="J332" s="16" t="n"/>
      <c r="K332" s="18" t="n"/>
      <c r="L332" s="18" t="n"/>
      <c r="M332" s="15">
        <f>IF($B332="","",IF($C332="","personne non reconnue",IF(ISERROR(SEARCH(TRIM($E332&amp;" "&amp;$D332),$B332)),"libellé incohérent avec l’identifiant",IF(COUNTIFS($A$5:$A$500,$A332,$C$5:$C$500,$C332,$F$5:$F$500,$F332,$G$5:$G$500,$G332)&gt;1,"doublon",IF($F332="","groupe manquant",IF($G332="","rôle manquant",IF($H332="","support de saisie manquant",IF(AND($I332&lt;&gt;"",$J332&lt;&gt;"",$J332&lt;$I332),"date de fin antérieure à la date de début",IF(AND($G332="encadrant",IFERROR(INDEX(Personnes!$F$5:$F$153,MATCH($C332,Personnes!$A$5:$A$153,0)),"")=""),"courriel encadrant manquant","ok")))))))))</f>
        <v/>
      </c>
    </row>
    <row r="333">
      <c r="B333" s="14" t="n"/>
      <c r="C333" s="15">
        <f>IFERROR(MID($B333,FIND("[",$B333)+1,FIND("]",$B333)-FIND("[",$B333)-1),"")</f>
        <v/>
      </c>
      <c r="D333" s="15">
        <f>IFERROR(INDEX(Personnes!$B$5:$B$153,MATCH($C333,Personnes!$A$5:$A$153,0))&amp;"","")</f>
        <v/>
      </c>
      <c r="E333" s="15">
        <f>IFERROR(INDEX(Personnes!$C$5:$C$153,MATCH($C333,Personnes!$A$5:$A$153,0))&amp;"","")</f>
        <v/>
      </c>
      <c r="F333" s="14" t="n"/>
      <c r="G333" s="14" t="n"/>
      <c r="H333" s="14" t="n"/>
      <c r="I333" s="16" t="n"/>
      <c r="J333" s="16" t="n"/>
      <c r="K333" s="18" t="n"/>
      <c r="L333" s="18" t="n"/>
      <c r="M333" s="15">
        <f>IF($B333="","",IF($C333="","personne non reconnue",IF(ISERROR(SEARCH(TRIM($E333&amp;" "&amp;$D333),$B333)),"libellé incohérent avec l’identifiant",IF(COUNTIFS($A$5:$A$500,$A333,$C$5:$C$500,$C333,$F$5:$F$500,$F333,$G$5:$G$500,$G333)&gt;1,"doublon",IF($F333="","groupe manquant",IF($G333="","rôle manquant",IF($H333="","support de saisie manquant",IF(AND($I333&lt;&gt;"",$J333&lt;&gt;"",$J333&lt;$I333),"date de fin antérieure à la date de début",IF(AND($G333="encadrant",IFERROR(INDEX(Personnes!$F$5:$F$153,MATCH($C333,Personnes!$A$5:$A$153,0)),"")=""),"courriel encadrant manquant","ok")))))))))</f>
        <v/>
      </c>
    </row>
    <row r="334">
      <c r="B334" s="14" t="n"/>
      <c r="C334" s="15">
        <f>IFERROR(MID($B334,FIND("[",$B334)+1,FIND("]",$B334)-FIND("[",$B334)-1),"")</f>
        <v/>
      </c>
      <c r="D334" s="15">
        <f>IFERROR(INDEX(Personnes!$B$5:$B$153,MATCH($C334,Personnes!$A$5:$A$153,0))&amp;"","")</f>
        <v/>
      </c>
      <c r="E334" s="15">
        <f>IFERROR(INDEX(Personnes!$C$5:$C$153,MATCH($C334,Personnes!$A$5:$A$153,0))&amp;"","")</f>
        <v/>
      </c>
      <c r="F334" s="14" t="n"/>
      <c r="G334" s="14" t="n"/>
      <c r="H334" s="14" t="n"/>
      <c r="I334" s="16" t="n"/>
      <c r="J334" s="16" t="n"/>
      <c r="K334" s="18" t="n"/>
      <c r="L334" s="18" t="n"/>
      <c r="M334" s="15">
        <f>IF($B334="","",IF($C334="","personne non reconnue",IF(ISERROR(SEARCH(TRIM($E334&amp;" "&amp;$D334),$B334)),"libellé incohérent avec l’identifiant",IF(COUNTIFS($A$5:$A$500,$A334,$C$5:$C$500,$C334,$F$5:$F$500,$F334,$G$5:$G$500,$G334)&gt;1,"doublon",IF($F334="","groupe manquant",IF($G334="","rôle manquant",IF($H334="","support de saisie manquant",IF(AND($I334&lt;&gt;"",$J334&lt;&gt;"",$J334&lt;$I334),"date de fin antérieure à la date de début",IF(AND($G334="encadrant",IFERROR(INDEX(Personnes!$F$5:$F$153,MATCH($C334,Personnes!$A$5:$A$153,0)),"")=""),"courriel encadrant manquant","ok")))))))))</f>
        <v/>
      </c>
    </row>
    <row r="335">
      <c r="B335" s="14" t="n"/>
      <c r="C335" s="15">
        <f>IFERROR(MID($B335,FIND("[",$B335)+1,FIND("]",$B335)-FIND("[",$B335)-1),"")</f>
        <v/>
      </c>
      <c r="D335" s="15">
        <f>IFERROR(INDEX(Personnes!$B$5:$B$153,MATCH($C335,Personnes!$A$5:$A$153,0))&amp;"","")</f>
        <v/>
      </c>
      <c r="E335" s="15">
        <f>IFERROR(INDEX(Personnes!$C$5:$C$153,MATCH($C335,Personnes!$A$5:$A$153,0))&amp;"","")</f>
        <v/>
      </c>
      <c r="F335" s="14" t="n"/>
      <c r="G335" s="14" t="n"/>
      <c r="H335" s="14" t="n"/>
      <c r="I335" s="16" t="n"/>
      <c r="J335" s="16" t="n"/>
      <c r="K335" s="18" t="n"/>
      <c r="L335" s="18" t="n"/>
      <c r="M335" s="15">
        <f>IF($B335="","",IF($C335="","personne non reconnue",IF(ISERROR(SEARCH(TRIM($E335&amp;" "&amp;$D335),$B335)),"libellé incohérent avec l’identifiant",IF(COUNTIFS($A$5:$A$500,$A335,$C$5:$C$500,$C335,$F$5:$F$500,$F335,$G$5:$G$500,$G335)&gt;1,"doublon",IF($F335="","groupe manquant",IF($G335="","rôle manquant",IF($H335="","support de saisie manquant",IF(AND($I335&lt;&gt;"",$J335&lt;&gt;"",$J335&lt;$I335),"date de fin antérieure à la date de début",IF(AND($G335="encadrant",IFERROR(INDEX(Personnes!$F$5:$F$153,MATCH($C335,Personnes!$A$5:$A$153,0)),"")=""),"courriel encadrant manquant","ok")))))))))</f>
        <v/>
      </c>
    </row>
    <row r="336">
      <c r="B336" s="14" t="n"/>
      <c r="C336" s="15">
        <f>IFERROR(MID($B336,FIND("[",$B336)+1,FIND("]",$B336)-FIND("[",$B336)-1),"")</f>
        <v/>
      </c>
      <c r="D336" s="15">
        <f>IFERROR(INDEX(Personnes!$B$5:$B$153,MATCH($C336,Personnes!$A$5:$A$153,0))&amp;"","")</f>
        <v/>
      </c>
      <c r="E336" s="15">
        <f>IFERROR(INDEX(Personnes!$C$5:$C$153,MATCH($C336,Personnes!$A$5:$A$153,0))&amp;"","")</f>
        <v/>
      </c>
      <c r="F336" s="14" t="n"/>
      <c r="G336" s="14" t="n"/>
      <c r="H336" s="14" t="n"/>
      <c r="I336" s="16" t="n"/>
      <c r="J336" s="16" t="n"/>
      <c r="K336" s="18" t="n"/>
      <c r="L336" s="18" t="n"/>
      <c r="M336" s="15">
        <f>IF($B336="","",IF($C336="","personne non reconnue",IF(ISERROR(SEARCH(TRIM($E336&amp;" "&amp;$D336),$B336)),"libellé incohérent avec l’identifiant",IF(COUNTIFS($A$5:$A$500,$A336,$C$5:$C$500,$C336,$F$5:$F$500,$F336,$G$5:$G$500,$G336)&gt;1,"doublon",IF($F336="","groupe manquant",IF($G336="","rôle manquant",IF($H336="","support de saisie manquant",IF(AND($I336&lt;&gt;"",$J336&lt;&gt;"",$J336&lt;$I336),"date de fin antérieure à la date de début",IF(AND($G336="encadrant",IFERROR(INDEX(Personnes!$F$5:$F$153,MATCH($C336,Personnes!$A$5:$A$153,0)),"")=""),"courriel encadrant manquant","ok")))))))))</f>
        <v/>
      </c>
    </row>
    <row r="337">
      <c r="B337" s="14" t="n"/>
      <c r="C337" s="15">
        <f>IFERROR(MID($B337,FIND("[",$B337)+1,FIND("]",$B337)-FIND("[",$B337)-1),"")</f>
        <v/>
      </c>
      <c r="D337" s="15">
        <f>IFERROR(INDEX(Personnes!$B$5:$B$153,MATCH($C337,Personnes!$A$5:$A$153,0))&amp;"","")</f>
        <v/>
      </c>
      <c r="E337" s="15">
        <f>IFERROR(INDEX(Personnes!$C$5:$C$153,MATCH($C337,Personnes!$A$5:$A$153,0))&amp;"","")</f>
        <v/>
      </c>
      <c r="F337" s="14" t="n"/>
      <c r="G337" s="14" t="n"/>
      <c r="H337" s="14" t="n"/>
      <c r="I337" s="16" t="n"/>
      <c r="J337" s="16" t="n"/>
      <c r="K337" s="18" t="n"/>
      <c r="L337" s="18" t="n"/>
      <c r="M337" s="15">
        <f>IF($B337="","",IF($C337="","personne non reconnue",IF(ISERROR(SEARCH(TRIM($E337&amp;" "&amp;$D337),$B337)),"libellé incohérent avec l’identifiant",IF(COUNTIFS($A$5:$A$500,$A337,$C$5:$C$500,$C337,$F$5:$F$500,$F337,$G$5:$G$500,$G337)&gt;1,"doublon",IF($F337="","groupe manquant",IF($G337="","rôle manquant",IF($H337="","support de saisie manquant",IF(AND($I337&lt;&gt;"",$J337&lt;&gt;"",$J337&lt;$I337),"date de fin antérieure à la date de début",IF(AND($G337="encadrant",IFERROR(INDEX(Personnes!$F$5:$F$153,MATCH($C337,Personnes!$A$5:$A$153,0)),"")=""),"courriel encadrant manquant","ok")))))))))</f>
        <v/>
      </c>
    </row>
    <row r="338">
      <c r="B338" s="14" t="n"/>
      <c r="C338" s="15">
        <f>IFERROR(MID($B338,FIND("[",$B338)+1,FIND("]",$B338)-FIND("[",$B338)-1),"")</f>
        <v/>
      </c>
      <c r="D338" s="15">
        <f>IFERROR(INDEX(Personnes!$B$5:$B$153,MATCH($C338,Personnes!$A$5:$A$153,0))&amp;"","")</f>
        <v/>
      </c>
      <c r="E338" s="15">
        <f>IFERROR(INDEX(Personnes!$C$5:$C$153,MATCH($C338,Personnes!$A$5:$A$153,0))&amp;"","")</f>
        <v/>
      </c>
      <c r="F338" s="14" t="n"/>
      <c r="G338" s="14" t="n"/>
      <c r="H338" s="14" t="n"/>
      <c r="I338" s="16" t="n"/>
      <c r="J338" s="16" t="n"/>
      <c r="K338" s="18" t="n"/>
      <c r="L338" s="18" t="n"/>
      <c r="M338" s="15">
        <f>IF($B338="","",IF($C338="","personne non reconnue",IF(ISERROR(SEARCH(TRIM($E338&amp;" "&amp;$D338),$B338)),"libellé incohérent avec l’identifiant",IF(COUNTIFS($A$5:$A$500,$A338,$C$5:$C$500,$C338,$F$5:$F$500,$F338,$G$5:$G$500,$G338)&gt;1,"doublon",IF($F338="","groupe manquant",IF($G338="","rôle manquant",IF($H338="","support de saisie manquant",IF(AND($I338&lt;&gt;"",$J338&lt;&gt;"",$J338&lt;$I338),"date de fin antérieure à la date de début",IF(AND($G338="encadrant",IFERROR(INDEX(Personnes!$F$5:$F$153,MATCH($C338,Personnes!$A$5:$A$153,0)),"")=""),"courriel encadrant manquant","ok")))))))))</f>
        <v/>
      </c>
    </row>
    <row r="339">
      <c r="B339" s="14" t="n"/>
      <c r="C339" s="15">
        <f>IFERROR(MID($B339,FIND("[",$B339)+1,FIND("]",$B339)-FIND("[",$B339)-1),"")</f>
        <v/>
      </c>
      <c r="D339" s="15">
        <f>IFERROR(INDEX(Personnes!$B$5:$B$153,MATCH($C339,Personnes!$A$5:$A$153,0))&amp;"","")</f>
        <v/>
      </c>
      <c r="E339" s="15">
        <f>IFERROR(INDEX(Personnes!$C$5:$C$153,MATCH($C339,Personnes!$A$5:$A$153,0))&amp;"","")</f>
        <v/>
      </c>
      <c r="F339" s="14" t="n"/>
      <c r="G339" s="14" t="n"/>
      <c r="H339" s="14" t="n"/>
      <c r="I339" s="16" t="n"/>
      <c r="J339" s="16" t="n"/>
      <c r="K339" s="18" t="n"/>
      <c r="L339" s="18" t="n"/>
      <c r="M339" s="15">
        <f>IF($B339="","",IF($C339="","personne non reconnue",IF(ISERROR(SEARCH(TRIM($E339&amp;" "&amp;$D339),$B339)),"libellé incohérent avec l’identifiant",IF(COUNTIFS($A$5:$A$500,$A339,$C$5:$C$500,$C339,$F$5:$F$500,$F339,$G$5:$G$500,$G339)&gt;1,"doublon",IF($F339="","groupe manquant",IF($G339="","rôle manquant",IF($H339="","support de saisie manquant",IF(AND($I339&lt;&gt;"",$J339&lt;&gt;"",$J339&lt;$I339),"date de fin antérieure à la date de début",IF(AND($G339="encadrant",IFERROR(INDEX(Personnes!$F$5:$F$153,MATCH($C339,Personnes!$A$5:$A$153,0)),"")=""),"courriel encadrant manquant","ok")))))))))</f>
        <v/>
      </c>
    </row>
    <row r="340">
      <c r="B340" s="14" t="n"/>
      <c r="C340" s="15">
        <f>IFERROR(MID($B340,FIND("[",$B340)+1,FIND("]",$B340)-FIND("[",$B340)-1),"")</f>
        <v/>
      </c>
      <c r="D340" s="15">
        <f>IFERROR(INDEX(Personnes!$B$5:$B$153,MATCH($C340,Personnes!$A$5:$A$153,0))&amp;"","")</f>
        <v/>
      </c>
      <c r="E340" s="15">
        <f>IFERROR(INDEX(Personnes!$C$5:$C$153,MATCH($C340,Personnes!$A$5:$A$153,0))&amp;"","")</f>
        <v/>
      </c>
      <c r="F340" s="14" t="n"/>
      <c r="G340" s="14" t="n"/>
      <c r="H340" s="14" t="n"/>
      <c r="I340" s="16" t="n"/>
      <c r="J340" s="16" t="n"/>
      <c r="K340" s="18" t="n"/>
      <c r="L340" s="18" t="n"/>
      <c r="M340" s="15">
        <f>IF($B340="","",IF($C340="","personne non reconnue",IF(ISERROR(SEARCH(TRIM($E340&amp;" "&amp;$D340),$B340)),"libellé incohérent avec l’identifiant",IF(COUNTIFS($A$5:$A$500,$A340,$C$5:$C$500,$C340,$F$5:$F$500,$F340,$G$5:$G$500,$G340)&gt;1,"doublon",IF($F340="","groupe manquant",IF($G340="","rôle manquant",IF($H340="","support de saisie manquant",IF(AND($I340&lt;&gt;"",$J340&lt;&gt;"",$J340&lt;$I340),"date de fin antérieure à la date de début",IF(AND($G340="encadrant",IFERROR(INDEX(Personnes!$F$5:$F$153,MATCH($C340,Personnes!$A$5:$A$153,0)),"")=""),"courriel encadrant manquant","ok")))))))))</f>
        <v/>
      </c>
    </row>
    <row r="341">
      <c r="B341" s="14" t="n"/>
      <c r="C341" s="15">
        <f>IFERROR(MID($B341,FIND("[",$B341)+1,FIND("]",$B341)-FIND("[",$B341)-1),"")</f>
        <v/>
      </c>
      <c r="D341" s="15">
        <f>IFERROR(INDEX(Personnes!$B$5:$B$153,MATCH($C341,Personnes!$A$5:$A$153,0))&amp;"","")</f>
        <v/>
      </c>
      <c r="E341" s="15">
        <f>IFERROR(INDEX(Personnes!$C$5:$C$153,MATCH($C341,Personnes!$A$5:$A$153,0))&amp;"","")</f>
        <v/>
      </c>
      <c r="F341" s="14" t="n"/>
      <c r="G341" s="14" t="n"/>
      <c r="H341" s="14" t="n"/>
      <c r="I341" s="16" t="n"/>
      <c r="J341" s="16" t="n"/>
      <c r="K341" s="18" t="n"/>
      <c r="L341" s="18" t="n"/>
      <c r="M341" s="15">
        <f>IF($B341="","",IF($C341="","personne non reconnue",IF(ISERROR(SEARCH(TRIM($E341&amp;" "&amp;$D341),$B341)),"libellé incohérent avec l’identifiant",IF(COUNTIFS($A$5:$A$500,$A341,$C$5:$C$500,$C341,$F$5:$F$500,$F341,$G$5:$G$500,$G341)&gt;1,"doublon",IF($F341="","groupe manquant",IF($G341="","rôle manquant",IF($H341="","support de saisie manquant",IF(AND($I341&lt;&gt;"",$J341&lt;&gt;"",$J341&lt;$I341),"date de fin antérieure à la date de début",IF(AND($G341="encadrant",IFERROR(INDEX(Personnes!$F$5:$F$153,MATCH($C341,Personnes!$A$5:$A$153,0)),"")=""),"courriel encadrant manquant","ok")))))))))</f>
        <v/>
      </c>
    </row>
    <row r="342">
      <c r="B342" s="14" t="n"/>
      <c r="C342" s="15">
        <f>IFERROR(MID($B342,FIND("[",$B342)+1,FIND("]",$B342)-FIND("[",$B342)-1),"")</f>
        <v/>
      </c>
      <c r="D342" s="15">
        <f>IFERROR(INDEX(Personnes!$B$5:$B$153,MATCH($C342,Personnes!$A$5:$A$153,0))&amp;"","")</f>
        <v/>
      </c>
      <c r="E342" s="15">
        <f>IFERROR(INDEX(Personnes!$C$5:$C$153,MATCH($C342,Personnes!$A$5:$A$153,0))&amp;"","")</f>
        <v/>
      </c>
      <c r="F342" s="14" t="n"/>
      <c r="G342" s="14" t="n"/>
      <c r="H342" s="14" t="n"/>
      <c r="I342" s="16" t="n"/>
      <c r="J342" s="16" t="n"/>
      <c r="K342" s="18" t="n"/>
      <c r="L342" s="18" t="n"/>
      <c r="M342" s="15">
        <f>IF($B342="","",IF($C342="","personne non reconnue",IF(ISERROR(SEARCH(TRIM($E342&amp;" "&amp;$D342),$B342)),"libellé incohérent avec l’identifiant",IF(COUNTIFS($A$5:$A$500,$A342,$C$5:$C$500,$C342,$F$5:$F$500,$F342,$G$5:$G$500,$G342)&gt;1,"doublon",IF($F342="","groupe manquant",IF($G342="","rôle manquant",IF($H342="","support de saisie manquant",IF(AND($I342&lt;&gt;"",$J342&lt;&gt;"",$J342&lt;$I342),"date de fin antérieure à la date de début",IF(AND($G342="encadrant",IFERROR(INDEX(Personnes!$F$5:$F$153,MATCH($C342,Personnes!$A$5:$A$153,0)),"")=""),"courriel encadrant manquant","ok")))))))))</f>
        <v/>
      </c>
    </row>
    <row r="343">
      <c r="B343" s="14" t="n"/>
      <c r="C343" s="15">
        <f>IFERROR(MID($B343,FIND("[",$B343)+1,FIND("]",$B343)-FIND("[",$B343)-1),"")</f>
        <v/>
      </c>
      <c r="D343" s="15">
        <f>IFERROR(INDEX(Personnes!$B$5:$B$153,MATCH($C343,Personnes!$A$5:$A$153,0))&amp;"","")</f>
        <v/>
      </c>
      <c r="E343" s="15">
        <f>IFERROR(INDEX(Personnes!$C$5:$C$153,MATCH($C343,Personnes!$A$5:$A$153,0))&amp;"","")</f>
        <v/>
      </c>
      <c r="F343" s="14" t="n"/>
      <c r="G343" s="14" t="n"/>
      <c r="H343" s="14" t="n"/>
      <c r="I343" s="16" t="n"/>
      <c r="J343" s="16" t="n"/>
      <c r="K343" s="18" t="n"/>
      <c r="L343" s="18" t="n"/>
      <c r="M343" s="15">
        <f>IF($B343="","",IF($C343="","personne non reconnue",IF(ISERROR(SEARCH(TRIM($E343&amp;" "&amp;$D343),$B343)),"libellé incohérent avec l’identifiant",IF(COUNTIFS($A$5:$A$500,$A343,$C$5:$C$500,$C343,$F$5:$F$500,$F343,$G$5:$G$500,$G343)&gt;1,"doublon",IF($F343="","groupe manquant",IF($G343="","rôle manquant",IF($H343="","support de saisie manquant",IF(AND($I343&lt;&gt;"",$J343&lt;&gt;"",$J343&lt;$I343),"date de fin antérieure à la date de début",IF(AND($G343="encadrant",IFERROR(INDEX(Personnes!$F$5:$F$153,MATCH($C343,Personnes!$A$5:$A$153,0)),"")=""),"courriel encadrant manquant","ok")))))))))</f>
        <v/>
      </c>
    </row>
    <row r="344">
      <c r="B344" s="14" t="n"/>
      <c r="C344" s="15">
        <f>IFERROR(MID($B344,FIND("[",$B344)+1,FIND("]",$B344)-FIND("[",$B344)-1),"")</f>
        <v/>
      </c>
      <c r="D344" s="15">
        <f>IFERROR(INDEX(Personnes!$B$5:$B$153,MATCH($C344,Personnes!$A$5:$A$153,0))&amp;"","")</f>
        <v/>
      </c>
      <c r="E344" s="15">
        <f>IFERROR(INDEX(Personnes!$C$5:$C$153,MATCH($C344,Personnes!$A$5:$A$153,0))&amp;"","")</f>
        <v/>
      </c>
      <c r="F344" s="14" t="n"/>
      <c r="G344" s="14" t="n"/>
      <c r="H344" s="14" t="n"/>
      <c r="I344" s="16" t="n"/>
      <c r="J344" s="16" t="n"/>
      <c r="K344" s="18" t="n"/>
      <c r="L344" s="18" t="n"/>
      <c r="M344" s="15">
        <f>IF($B344="","",IF($C344="","personne non reconnue",IF(ISERROR(SEARCH(TRIM($E344&amp;" "&amp;$D344),$B344)),"libellé incohérent avec l’identifiant",IF(COUNTIFS($A$5:$A$500,$A344,$C$5:$C$500,$C344,$F$5:$F$500,$F344,$G$5:$G$500,$G344)&gt;1,"doublon",IF($F344="","groupe manquant",IF($G344="","rôle manquant",IF($H344="","support de saisie manquant",IF(AND($I344&lt;&gt;"",$J344&lt;&gt;"",$J344&lt;$I344),"date de fin antérieure à la date de début",IF(AND($G344="encadrant",IFERROR(INDEX(Personnes!$F$5:$F$153,MATCH($C344,Personnes!$A$5:$A$153,0)),"")=""),"courriel encadrant manquant","ok")))))))))</f>
        <v/>
      </c>
    </row>
    <row r="345">
      <c r="B345" s="14" t="n"/>
      <c r="C345" s="15">
        <f>IFERROR(MID($B345,FIND("[",$B345)+1,FIND("]",$B345)-FIND("[",$B345)-1),"")</f>
        <v/>
      </c>
      <c r="D345" s="15">
        <f>IFERROR(INDEX(Personnes!$B$5:$B$153,MATCH($C345,Personnes!$A$5:$A$153,0))&amp;"","")</f>
        <v/>
      </c>
      <c r="E345" s="15">
        <f>IFERROR(INDEX(Personnes!$C$5:$C$153,MATCH($C345,Personnes!$A$5:$A$153,0))&amp;"","")</f>
        <v/>
      </c>
      <c r="F345" s="14" t="n"/>
      <c r="G345" s="14" t="n"/>
      <c r="H345" s="14" t="n"/>
      <c r="I345" s="16" t="n"/>
      <c r="J345" s="16" t="n"/>
      <c r="K345" s="18" t="n"/>
      <c r="L345" s="18" t="n"/>
      <c r="M345" s="15">
        <f>IF($B345="","",IF($C345="","personne non reconnue",IF(ISERROR(SEARCH(TRIM($E345&amp;" "&amp;$D345),$B345)),"libellé incohérent avec l’identifiant",IF(COUNTIFS($A$5:$A$500,$A345,$C$5:$C$500,$C345,$F$5:$F$500,$F345,$G$5:$G$500,$G345)&gt;1,"doublon",IF($F345="","groupe manquant",IF($G345="","rôle manquant",IF($H345="","support de saisie manquant",IF(AND($I345&lt;&gt;"",$J345&lt;&gt;"",$J345&lt;$I345),"date de fin antérieure à la date de début",IF(AND($G345="encadrant",IFERROR(INDEX(Personnes!$F$5:$F$153,MATCH($C345,Personnes!$A$5:$A$153,0)),"")=""),"courriel encadrant manquant","ok")))))))))</f>
        <v/>
      </c>
    </row>
    <row r="346">
      <c r="B346" s="14" t="n"/>
      <c r="C346" s="15">
        <f>IFERROR(MID($B346,FIND("[",$B346)+1,FIND("]",$B346)-FIND("[",$B346)-1),"")</f>
        <v/>
      </c>
      <c r="D346" s="15">
        <f>IFERROR(INDEX(Personnes!$B$5:$B$153,MATCH($C346,Personnes!$A$5:$A$153,0))&amp;"","")</f>
        <v/>
      </c>
      <c r="E346" s="15">
        <f>IFERROR(INDEX(Personnes!$C$5:$C$153,MATCH($C346,Personnes!$A$5:$A$153,0))&amp;"","")</f>
        <v/>
      </c>
      <c r="F346" s="14" t="n"/>
      <c r="G346" s="14" t="n"/>
      <c r="H346" s="14" t="n"/>
      <c r="I346" s="16" t="n"/>
      <c r="J346" s="16" t="n"/>
      <c r="K346" s="18" t="n"/>
      <c r="L346" s="18" t="n"/>
      <c r="M346" s="15">
        <f>IF($B346="","",IF($C346="","personne non reconnue",IF(ISERROR(SEARCH(TRIM($E346&amp;" "&amp;$D346),$B346)),"libellé incohérent avec l’identifiant",IF(COUNTIFS($A$5:$A$500,$A346,$C$5:$C$500,$C346,$F$5:$F$500,$F346,$G$5:$G$500,$G346)&gt;1,"doublon",IF($F346="","groupe manquant",IF($G346="","rôle manquant",IF($H346="","support de saisie manquant",IF(AND($I346&lt;&gt;"",$J346&lt;&gt;"",$J346&lt;$I346),"date de fin antérieure à la date de début",IF(AND($G346="encadrant",IFERROR(INDEX(Personnes!$F$5:$F$153,MATCH($C346,Personnes!$A$5:$A$153,0)),"")=""),"courriel encadrant manquant","ok")))))))))</f>
        <v/>
      </c>
    </row>
    <row r="347">
      <c r="B347" s="14" t="n"/>
      <c r="C347" s="15">
        <f>IFERROR(MID($B347,FIND("[",$B347)+1,FIND("]",$B347)-FIND("[",$B347)-1),"")</f>
        <v/>
      </c>
      <c r="D347" s="15">
        <f>IFERROR(INDEX(Personnes!$B$5:$B$153,MATCH($C347,Personnes!$A$5:$A$153,0))&amp;"","")</f>
        <v/>
      </c>
      <c r="E347" s="15">
        <f>IFERROR(INDEX(Personnes!$C$5:$C$153,MATCH($C347,Personnes!$A$5:$A$153,0))&amp;"","")</f>
        <v/>
      </c>
      <c r="F347" s="14" t="n"/>
      <c r="G347" s="14" t="n"/>
      <c r="H347" s="14" t="n"/>
      <c r="I347" s="16" t="n"/>
      <c r="J347" s="16" t="n"/>
      <c r="K347" s="18" t="n"/>
      <c r="L347" s="18" t="n"/>
      <c r="M347" s="15">
        <f>IF($B347="","",IF($C347="","personne non reconnue",IF(ISERROR(SEARCH(TRIM($E347&amp;" "&amp;$D347),$B347)),"libellé incohérent avec l’identifiant",IF(COUNTIFS($A$5:$A$500,$A347,$C$5:$C$500,$C347,$F$5:$F$500,$F347,$G$5:$G$500,$G347)&gt;1,"doublon",IF($F347="","groupe manquant",IF($G347="","rôle manquant",IF($H347="","support de saisie manquant",IF(AND($I347&lt;&gt;"",$J347&lt;&gt;"",$J347&lt;$I347),"date de fin antérieure à la date de début",IF(AND($G347="encadrant",IFERROR(INDEX(Personnes!$F$5:$F$153,MATCH($C347,Personnes!$A$5:$A$153,0)),"")=""),"courriel encadrant manquant","ok")))))))))</f>
        <v/>
      </c>
    </row>
    <row r="348">
      <c r="B348" s="14" t="n"/>
      <c r="C348" s="15">
        <f>IFERROR(MID($B348,FIND("[",$B348)+1,FIND("]",$B348)-FIND("[",$B348)-1),"")</f>
        <v/>
      </c>
      <c r="D348" s="15">
        <f>IFERROR(INDEX(Personnes!$B$5:$B$153,MATCH($C348,Personnes!$A$5:$A$153,0))&amp;"","")</f>
        <v/>
      </c>
      <c r="E348" s="15">
        <f>IFERROR(INDEX(Personnes!$C$5:$C$153,MATCH($C348,Personnes!$A$5:$A$153,0))&amp;"","")</f>
        <v/>
      </c>
      <c r="F348" s="14" t="n"/>
      <c r="G348" s="14" t="n"/>
      <c r="H348" s="14" t="n"/>
      <c r="I348" s="16" t="n"/>
      <c r="J348" s="16" t="n"/>
      <c r="K348" s="18" t="n"/>
      <c r="L348" s="18" t="n"/>
      <c r="M348" s="15">
        <f>IF($B348="","",IF($C348="","personne non reconnue",IF(ISERROR(SEARCH(TRIM($E348&amp;" "&amp;$D348),$B348)),"libellé incohérent avec l’identifiant",IF(COUNTIFS($A$5:$A$500,$A348,$C$5:$C$500,$C348,$F$5:$F$500,$F348,$G$5:$G$500,$G348)&gt;1,"doublon",IF($F348="","groupe manquant",IF($G348="","rôle manquant",IF($H348="","support de saisie manquant",IF(AND($I348&lt;&gt;"",$J348&lt;&gt;"",$J348&lt;$I348),"date de fin antérieure à la date de début",IF(AND($G348="encadrant",IFERROR(INDEX(Personnes!$F$5:$F$153,MATCH($C348,Personnes!$A$5:$A$153,0)),"")=""),"courriel encadrant manquant","ok")))))))))</f>
        <v/>
      </c>
    </row>
    <row r="349">
      <c r="B349" s="14" t="n"/>
      <c r="C349" s="15">
        <f>IFERROR(MID($B349,FIND("[",$B349)+1,FIND("]",$B349)-FIND("[",$B349)-1),"")</f>
        <v/>
      </c>
      <c r="D349" s="15">
        <f>IFERROR(INDEX(Personnes!$B$5:$B$153,MATCH($C349,Personnes!$A$5:$A$153,0))&amp;"","")</f>
        <v/>
      </c>
      <c r="E349" s="15">
        <f>IFERROR(INDEX(Personnes!$C$5:$C$153,MATCH($C349,Personnes!$A$5:$A$153,0))&amp;"","")</f>
        <v/>
      </c>
      <c r="F349" s="14" t="n"/>
      <c r="G349" s="14" t="n"/>
      <c r="H349" s="14" t="n"/>
      <c r="I349" s="16" t="n"/>
      <c r="J349" s="16" t="n"/>
      <c r="K349" s="18" t="n"/>
      <c r="L349" s="18" t="n"/>
      <c r="M349" s="15">
        <f>IF($B349="","",IF($C349="","personne non reconnue",IF(ISERROR(SEARCH(TRIM($E349&amp;" "&amp;$D349),$B349)),"libellé incohérent avec l’identifiant",IF(COUNTIFS($A$5:$A$500,$A349,$C$5:$C$500,$C349,$F$5:$F$500,$F349,$G$5:$G$500,$G349)&gt;1,"doublon",IF($F349="","groupe manquant",IF($G349="","rôle manquant",IF($H349="","support de saisie manquant",IF(AND($I349&lt;&gt;"",$J349&lt;&gt;"",$J349&lt;$I349),"date de fin antérieure à la date de début",IF(AND($G349="encadrant",IFERROR(INDEX(Personnes!$F$5:$F$153,MATCH($C349,Personnes!$A$5:$A$153,0)),"")=""),"courriel encadrant manquant","ok")))))))))</f>
        <v/>
      </c>
    </row>
    <row r="350">
      <c r="B350" s="14" t="n"/>
      <c r="C350" s="15">
        <f>IFERROR(MID($B350,FIND("[",$B350)+1,FIND("]",$B350)-FIND("[",$B350)-1),"")</f>
        <v/>
      </c>
      <c r="D350" s="15">
        <f>IFERROR(INDEX(Personnes!$B$5:$B$153,MATCH($C350,Personnes!$A$5:$A$153,0))&amp;"","")</f>
        <v/>
      </c>
      <c r="E350" s="15">
        <f>IFERROR(INDEX(Personnes!$C$5:$C$153,MATCH($C350,Personnes!$A$5:$A$153,0))&amp;"","")</f>
        <v/>
      </c>
      <c r="F350" s="14" t="n"/>
      <c r="G350" s="14" t="n"/>
      <c r="H350" s="14" t="n"/>
      <c r="I350" s="16" t="n"/>
      <c r="J350" s="16" t="n"/>
      <c r="K350" s="18" t="n"/>
      <c r="L350" s="18" t="n"/>
      <c r="M350" s="15">
        <f>IF($B350="","",IF($C350="","personne non reconnue",IF(ISERROR(SEARCH(TRIM($E350&amp;" "&amp;$D350),$B350)),"libellé incohérent avec l’identifiant",IF(COUNTIFS($A$5:$A$500,$A350,$C$5:$C$500,$C350,$F$5:$F$500,$F350,$G$5:$G$500,$G350)&gt;1,"doublon",IF($F350="","groupe manquant",IF($G350="","rôle manquant",IF($H350="","support de saisie manquant",IF(AND($I350&lt;&gt;"",$J350&lt;&gt;"",$J350&lt;$I350),"date de fin antérieure à la date de début",IF(AND($G350="encadrant",IFERROR(INDEX(Personnes!$F$5:$F$153,MATCH($C350,Personnes!$A$5:$A$153,0)),"")=""),"courriel encadrant manquant","ok")))))))))</f>
        <v/>
      </c>
    </row>
    <row r="351">
      <c r="B351" s="14" t="n"/>
      <c r="C351" s="15">
        <f>IFERROR(MID($B351,FIND("[",$B351)+1,FIND("]",$B351)-FIND("[",$B351)-1),"")</f>
        <v/>
      </c>
      <c r="D351" s="15">
        <f>IFERROR(INDEX(Personnes!$B$5:$B$153,MATCH($C351,Personnes!$A$5:$A$153,0))&amp;"","")</f>
        <v/>
      </c>
      <c r="E351" s="15">
        <f>IFERROR(INDEX(Personnes!$C$5:$C$153,MATCH($C351,Personnes!$A$5:$A$153,0))&amp;"","")</f>
        <v/>
      </c>
      <c r="F351" s="14" t="n"/>
      <c r="G351" s="14" t="n"/>
      <c r="H351" s="14" t="n"/>
      <c r="I351" s="16" t="n"/>
      <c r="J351" s="16" t="n"/>
      <c r="K351" s="18" t="n"/>
      <c r="L351" s="18" t="n"/>
      <c r="M351" s="15">
        <f>IF($B351="","",IF($C351="","personne non reconnue",IF(ISERROR(SEARCH(TRIM($E351&amp;" "&amp;$D351),$B351)),"libellé incohérent avec l’identifiant",IF(COUNTIFS($A$5:$A$500,$A351,$C$5:$C$500,$C351,$F$5:$F$500,$F351,$G$5:$G$500,$G351)&gt;1,"doublon",IF($F351="","groupe manquant",IF($G351="","rôle manquant",IF($H351="","support de saisie manquant",IF(AND($I351&lt;&gt;"",$J351&lt;&gt;"",$J351&lt;$I351),"date de fin antérieure à la date de début",IF(AND($G351="encadrant",IFERROR(INDEX(Personnes!$F$5:$F$153,MATCH($C351,Personnes!$A$5:$A$153,0)),"")=""),"courriel encadrant manquant","ok")))))))))</f>
        <v/>
      </c>
    </row>
    <row r="352">
      <c r="B352" s="14" t="n"/>
      <c r="C352" s="15">
        <f>IFERROR(MID($B352,FIND("[",$B352)+1,FIND("]",$B352)-FIND("[",$B352)-1),"")</f>
        <v/>
      </c>
      <c r="D352" s="15">
        <f>IFERROR(INDEX(Personnes!$B$5:$B$153,MATCH($C352,Personnes!$A$5:$A$153,0))&amp;"","")</f>
        <v/>
      </c>
      <c r="E352" s="15">
        <f>IFERROR(INDEX(Personnes!$C$5:$C$153,MATCH($C352,Personnes!$A$5:$A$153,0))&amp;"","")</f>
        <v/>
      </c>
      <c r="F352" s="14" t="n"/>
      <c r="G352" s="14" t="n"/>
      <c r="H352" s="14" t="n"/>
      <c r="I352" s="16" t="n"/>
      <c r="J352" s="16" t="n"/>
      <c r="K352" s="18" t="n"/>
      <c r="L352" s="18" t="n"/>
      <c r="M352" s="15">
        <f>IF($B352="","",IF($C352="","personne non reconnue",IF(ISERROR(SEARCH(TRIM($E352&amp;" "&amp;$D352),$B352)),"libellé incohérent avec l’identifiant",IF(COUNTIFS($A$5:$A$500,$A352,$C$5:$C$500,$C352,$F$5:$F$500,$F352,$G$5:$G$500,$G352)&gt;1,"doublon",IF($F352="","groupe manquant",IF($G352="","rôle manquant",IF($H352="","support de saisie manquant",IF(AND($I352&lt;&gt;"",$J352&lt;&gt;"",$J352&lt;$I352),"date de fin antérieure à la date de début",IF(AND($G352="encadrant",IFERROR(INDEX(Personnes!$F$5:$F$153,MATCH($C352,Personnes!$A$5:$A$153,0)),"")=""),"courriel encadrant manquant","ok")))))))))</f>
        <v/>
      </c>
    </row>
    <row r="353">
      <c r="B353" s="14" t="n"/>
      <c r="C353" s="15">
        <f>IFERROR(MID($B353,FIND("[",$B353)+1,FIND("]",$B353)-FIND("[",$B353)-1),"")</f>
        <v/>
      </c>
      <c r="D353" s="15">
        <f>IFERROR(INDEX(Personnes!$B$5:$B$153,MATCH($C353,Personnes!$A$5:$A$153,0))&amp;"","")</f>
        <v/>
      </c>
      <c r="E353" s="15">
        <f>IFERROR(INDEX(Personnes!$C$5:$C$153,MATCH($C353,Personnes!$A$5:$A$153,0))&amp;"","")</f>
        <v/>
      </c>
      <c r="F353" s="14" t="n"/>
      <c r="G353" s="14" t="n"/>
      <c r="H353" s="14" t="n"/>
      <c r="I353" s="16" t="n"/>
      <c r="J353" s="16" t="n"/>
      <c r="K353" s="18" t="n"/>
      <c r="L353" s="18" t="n"/>
      <c r="M353" s="15">
        <f>IF($B353="","",IF($C353="","personne non reconnue",IF(ISERROR(SEARCH(TRIM($E353&amp;" "&amp;$D353),$B353)),"libellé incohérent avec l’identifiant",IF(COUNTIFS($A$5:$A$500,$A353,$C$5:$C$500,$C353,$F$5:$F$500,$F353,$G$5:$G$500,$G353)&gt;1,"doublon",IF($F353="","groupe manquant",IF($G353="","rôle manquant",IF($H353="","support de saisie manquant",IF(AND($I353&lt;&gt;"",$J353&lt;&gt;"",$J353&lt;$I353),"date de fin antérieure à la date de début",IF(AND($G353="encadrant",IFERROR(INDEX(Personnes!$F$5:$F$153,MATCH($C353,Personnes!$A$5:$A$153,0)),"")=""),"courriel encadrant manquant","ok")))))))))</f>
        <v/>
      </c>
    </row>
    <row r="354">
      <c r="B354" s="14" t="n"/>
      <c r="C354" s="15">
        <f>IFERROR(MID($B354,FIND("[",$B354)+1,FIND("]",$B354)-FIND("[",$B354)-1),"")</f>
        <v/>
      </c>
      <c r="D354" s="15">
        <f>IFERROR(INDEX(Personnes!$B$5:$B$153,MATCH($C354,Personnes!$A$5:$A$153,0))&amp;"","")</f>
        <v/>
      </c>
      <c r="E354" s="15">
        <f>IFERROR(INDEX(Personnes!$C$5:$C$153,MATCH($C354,Personnes!$A$5:$A$153,0))&amp;"","")</f>
        <v/>
      </c>
      <c r="F354" s="14" t="n"/>
      <c r="G354" s="14" t="n"/>
      <c r="H354" s="14" t="n"/>
      <c r="I354" s="16" t="n"/>
      <c r="J354" s="16" t="n"/>
      <c r="K354" s="18" t="n"/>
      <c r="L354" s="18" t="n"/>
      <c r="M354" s="15">
        <f>IF($B354="","",IF($C354="","personne non reconnue",IF(ISERROR(SEARCH(TRIM($E354&amp;" "&amp;$D354),$B354)),"libellé incohérent avec l’identifiant",IF(COUNTIFS($A$5:$A$500,$A354,$C$5:$C$500,$C354,$F$5:$F$500,$F354,$G$5:$G$500,$G354)&gt;1,"doublon",IF($F354="","groupe manquant",IF($G354="","rôle manquant",IF($H354="","support de saisie manquant",IF(AND($I354&lt;&gt;"",$J354&lt;&gt;"",$J354&lt;$I354),"date de fin antérieure à la date de début",IF(AND($G354="encadrant",IFERROR(INDEX(Personnes!$F$5:$F$153,MATCH($C354,Personnes!$A$5:$A$153,0)),"")=""),"courriel encadrant manquant","ok")))))))))</f>
        <v/>
      </c>
    </row>
    <row r="355">
      <c r="B355" s="14" t="n"/>
      <c r="C355" s="15">
        <f>IFERROR(MID($B355,FIND("[",$B355)+1,FIND("]",$B355)-FIND("[",$B355)-1),"")</f>
        <v/>
      </c>
      <c r="D355" s="15">
        <f>IFERROR(INDEX(Personnes!$B$5:$B$153,MATCH($C355,Personnes!$A$5:$A$153,0))&amp;"","")</f>
        <v/>
      </c>
      <c r="E355" s="15">
        <f>IFERROR(INDEX(Personnes!$C$5:$C$153,MATCH($C355,Personnes!$A$5:$A$153,0))&amp;"","")</f>
        <v/>
      </c>
      <c r="F355" s="14" t="n"/>
      <c r="G355" s="14" t="n"/>
      <c r="H355" s="14" t="n"/>
      <c r="I355" s="16" t="n"/>
      <c r="J355" s="16" t="n"/>
      <c r="K355" s="18" t="n"/>
      <c r="L355" s="18" t="n"/>
      <c r="M355" s="15">
        <f>IF($B355="","",IF($C355="","personne non reconnue",IF(ISERROR(SEARCH(TRIM($E355&amp;" "&amp;$D355),$B355)),"libellé incohérent avec l’identifiant",IF(COUNTIFS($A$5:$A$500,$A355,$C$5:$C$500,$C355,$F$5:$F$500,$F355,$G$5:$G$500,$G355)&gt;1,"doublon",IF($F355="","groupe manquant",IF($G355="","rôle manquant",IF($H355="","support de saisie manquant",IF(AND($I355&lt;&gt;"",$J355&lt;&gt;"",$J355&lt;$I355),"date de fin antérieure à la date de début",IF(AND($G355="encadrant",IFERROR(INDEX(Personnes!$F$5:$F$153,MATCH($C355,Personnes!$A$5:$A$153,0)),"")=""),"courriel encadrant manquant","ok")))))))))</f>
        <v/>
      </c>
    </row>
    <row r="356">
      <c r="B356" s="14" t="n"/>
      <c r="C356" s="15">
        <f>IFERROR(MID($B356,FIND("[",$B356)+1,FIND("]",$B356)-FIND("[",$B356)-1),"")</f>
        <v/>
      </c>
      <c r="D356" s="15">
        <f>IFERROR(INDEX(Personnes!$B$5:$B$153,MATCH($C356,Personnes!$A$5:$A$153,0))&amp;"","")</f>
        <v/>
      </c>
      <c r="E356" s="15">
        <f>IFERROR(INDEX(Personnes!$C$5:$C$153,MATCH($C356,Personnes!$A$5:$A$153,0))&amp;"","")</f>
        <v/>
      </c>
      <c r="F356" s="14" t="n"/>
      <c r="G356" s="14" t="n"/>
      <c r="H356" s="14" t="n"/>
      <c r="I356" s="16" t="n"/>
      <c r="J356" s="16" t="n"/>
      <c r="K356" s="18" t="n"/>
      <c r="L356" s="18" t="n"/>
      <c r="M356" s="15">
        <f>IF($B356="","",IF($C356="","personne non reconnue",IF(ISERROR(SEARCH(TRIM($E356&amp;" "&amp;$D356),$B356)),"libellé incohérent avec l’identifiant",IF(COUNTIFS($A$5:$A$500,$A356,$C$5:$C$500,$C356,$F$5:$F$500,$F356,$G$5:$G$500,$G356)&gt;1,"doublon",IF($F356="","groupe manquant",IF($G356="","rôle manquant",IF($H356="","support de saisie manquant",IF(AND($I356&lt;&gt;"",$J356&lt;&gt;"",$J356&lt;$I356),"date de fin antérieure à la date de début",IF(AND($G356="encadrant",IFERROR(INDEX(Personnes!$F$5:$F$153,MATCH($C356,Personnes!$A$5:$A$153,0)),"")=""),"courriel encadrant manquant","ok")))))))))</f>
        <v/>
      </c>
    </row>
    <row r="357">
      <c r="B357" s="14" t="n"/>
      <c r="C357" s="15">
        <f>IFERROR(MID($B357,FIND("[",$B357)+1,FIND("]",$B357)-FIND("[",$B357)-1),"")</f>
        <v/>
      </c>
      <c r="D357" s="15">
        <f>IFERROR(INDEX(Personnes!$B$5:$B$153,MATCH($C357,Personnes!$A$5:$A$153,0))&amp;"","")</f>
        <v/>
      </c>
      <c r="E357" s="15">
        <f>IFERROR(INDEX(Personnes!$C$5:$C$153,MATCH($C357,Personnes!$A$5:$A$153,0))&amp;"","")</f>
        <v/>
      </c>
      <c r="F357" s="14" t="n"/>
      <c r="G357" s="14" t="n"/>
      <c r="H357" s="14" t="n"/>
      <c r="I357" s="16" t="n"/>
      <c r="J357" s="16" t="n"/>
      <c r="K357" s="18" t="n"/>
      <c r="L357" s="18" t="n"/>
      <c r="M357" s="15">
        <f>IF($B357="","",IF($C357="","personne non reconnue",IF(ISERROR(SEARCH(TRIM($E357&amp;" "&amp;$D357),$B357)),"libellé incohérent avec l’identifiant",IF(COUNTIFS($A$5:$A$500,$A357,$C$5:$C$500,$C357,$F$5:$F$500,$F357,$G$5:$G$500,$G357)&gt;1,"doublon",IF($F357="","groupe manquant",IF($G357="","rôle manquant",IF($H357="","support de saisie manquant",IF(AND($I357&lt;&gt;"",$J357&lt;&gt;"",$J357&lt;$I357),"date de fin antérieure à la date de début",IF(AND($G357="encadrant",IFERROR(INDEX(Personnes!$F$5:$F$153,MATCH($C357,Personnes!$A$5:$A$153,0)),"")=""),"courriel encadrant manquant","ok")))))))))</f>
        <v/>
      </c>
    </row>
    <row r="358">
      <c r="B358" s="14" t="n"/>
      <c r="C358" s="15">
        <f>IFERROR(MID($B358,FIND("[",$B358)+1,FIND("]",$B358)-FIND("[",$B358)-1),"")</f>
        <v/>
      </c>
      <c r="D358" s="15">
        <f>IFERROR(INDEX(Personnes!$B$5:$B$153,MATCH($C358,Personnes!$A$5:$A$153,0))&amp;"","")</f>
        <v/>
      </c>
      <c r="E358" s="15">
        <f>IFERROR(INDEX(Personnes!$C$5:$C$153,MATCH($C358,Personnes!$A$5:$A$153,0))&amp;"","")</f>
        <v/>
      </c>
      <c r="F358" s="14" t="n"/>
      <c r="G358" s="14" t="n"/>
      <c r="H358" s="14" t="n"/>
      <c r="I358" s="16" t="n"/>
      <c r="J358" s="16" t="n"/>
      <c r="K358" s="18" t="n"/>
      <c r="L358" s="18" t="n"/>
      <c r="M358" s="15">
        <f>IF($B358="","",IF($C358="","personne non reconnue",IF(ISERROR(SEARCH(TRIM($E358&amp;" "&amp;$D358),$B358)),"libellé incohérent avec l’identifiant",IF(COUNTIFS($A$5:$A$500,$A358,$C$5:$C$500,$C358,$F$5:$F$500,$F358,$G$5:$G$500,$G358)&gt;1,"doublon",IF($F358="","groupe manquant",IF($G358="","rôle manquant",IF($H358="","support de saisie manquant",IF(AND($I358&lt;&gt;"",$J358&lt;&gt;"",$J358&lt;$I358),"date de fin antérieure à la date de début",IF(AND($G358="encadrant",IFERROR(INDEX(Personnes!$F$5:$F$153,MATCH($C358,Personnes!$A$5:$A$153,0)),"")=""),"courriel encadrant manquant","ok")))))))))</f>
        <v/>
      </c>
    </row>
    <row r="359">
      <c r="B359" s="14" t="n"/>
      <c r="C359" s="15">
        <f>IFERROR(MID($B359,FIND("[",$B359)+1,FIND("]",$B359)-FIND("[",$B359)-1),"")</f>
        <v/>
      </c>
      <c r="D359" s="15">
        <f>IFERROR(INDEX(Personnes!$B$5:$B$153,MATCH($C359,Personnes!$A$5:$A$153,0))&amp;"","")</f>
        <v/>
      </c>
      <c r="E359" s="15">
        <f>IFERROR(INDEX(Personnes!$C$5:$C$153,MATCH($C359,Personnes!$A$5:$A$153,0))&amp;"","")</f>
        <v/>
      </c>
      <c r="F359" s="14" t="n"/>
      <c r="G359" s="14" t="n"/>
      <c r="H359" s="14" t="n"/>
      <c r="I359" s="16" t="n"/>
      <c r="J359" s="16" t="n"/>
      <c r="K359" s="18" t="n"/>
      <c r="L359" s="18" t="n"/>
      <c r="M359" s="15">
        <f>IF($B359="","",IF($C359="","personne non reconnue",IF(ISERROR(SEARCH(TRIM($E359&amp;" "&amp;$D359),$B359)),"libellé incohérent avec l’identifiant",IF(COUNTIFS($A$5:$A$500,$A359,$C$5:$C$500,$C359,$F$5:$F$500,$F359,$G$5:$G$500,$G359)&gt;1,"doublon",IF($F359="","groupe manquant",IF($G359="","rôle manquant",IF($H359="","support de saisie manquant",IF(AND($I359&lt;&gt;"",$J359&lt;&gt;"",$J359&lt;$I359),"date de fin antérieure à la date de début",IF(AND($G359="encadrant",IFERROR(INDEX(Personnes!$F$5:$F$153,MATCH($C359,Personnes!$A$5:$A$153,0)),"")=""),"courriel encadrant manquant","ok")))))))))</f>
        <v/>
      </c>
    </row>
    <row r="360">
      <c r="B360" s="14" t="n"/>
      <c r="C360" s="15">
        <f>IFERROR(MID($B360,FIND("[",$B360)+1,FIND("]",$B360)-FIND("[",$B360)-1),"")</f>
        <v/>
      </c>
      <c r="D360" s="15">
        <f>IFERROR(INDEX(Personnes!$B$5:$B$153,MATCH($C360,Personnes!$A$5:$A$153,0))&amp;"","")</f>
        <v/>
      </c>
      <c r="E360" s="15">
        <f>IFERROR(INDEX(Personnes!$C$5:$C$153,MATCH($C360,Personnes!$A$5:$A$153,0))&amp;"","")</f>
        <v/>
      </c>
      <c r="F360" s="14" t="n"/>
      <c r="G360" s="14" t="n"/>
      <c r="H360" s="14" t="n"/>
      <c r="I360" s="16" t="n"/>
      <c r="J360" s="16" t="n"/>
      <c r="K360" s="18" t="n"/>
      <c r="L360" s="18" t="n"/>
      <c r="M360" s="15">
        <f>IF($B360="","",IF($C360="","personne non reconnue",IF(ISERROR(SEARCH(TRIM($E360&amp;" "&amp;$D360),$B360)),"libellé incohérent avec l’identifiant",IF(COUNTIFS($A$5:$A$500,$A360,$C$5:$C$500,$C360,$F$5:$F$500,$F360,$G$5:$G$500,$G360)&gt;1,"doublon",IF($F360="","groupe manquant",IF($G360="","rôle manquant",IF($H360="","support de saisie manquant",IF(AND($I360&lt;&gt;"",$J360&lt;&gt;"",$J360&lt;$I360),"date de fin antérieure à la date de début",IF(AND($G360="encadrant",IFERROR(INDEX(Personnes!$F$5:$F$153,MATCH($C360,Personnes!$A$5:$A$153,0)),"")=""),"courriel encadrant manquant","ok")))))))))</f>
        <v/>
      </c>
    </row>
    <row r="361">
      <c r="B361" s="14" t="n"/>
      <c r="C361" s="15">
        <f>IFERROR(MID($B361,FIND("[",$B361)+1,FIND("]",$B361)-FIND("[",$B361)-1),"")</f>
        <v/>
      </c>
      <c r="D361" s="15">
        <f>IFERROR(INDEX(Personnes!$B$5:$B$153,MATCH($C361,Personnes!$A$5:$A$153,0))&amp;"","")</f>
        <v/>
      </c>
      <c r="E361" s="15">
        <f>IFERROR(INDEX(Personnes!$C$5:$C$153,MATCH($C361,Personnes!$A$5:$A$153,0))&amp;"","")</f>
        <v/>
      </c>
      <c r="F361" s="14" t="n"/>
      <c r="G361" s="14" t="n"/>
      <c r="H361" s="14" t="n"/>
      <c r="I361" s="16" t="n"/>
      <c r="J361" s="16" t="n"/>
      <c r="K361" s="18" t="n"/>
      <c r="L361" s="18" t="n"/>
      <c r="M361" s="15">
        <f>IF($B361="","",IF($C361="","personne non reconnue",IF(ISERROR(SEARCH(TRIM($E361&amp;" "&amp;$D361),$B361)),"libellé incohérent avec l’identifiant",IF(COUNTIFS($A$5:$A$500,$A361,$C$5:$C$500,$C361,$F$5:$F$500,$F361,$G$5:$G$500,$G361)&gt;1,"doublon",IF($F361="","groupe manquant",IF($G361="","rôle manquant",IF($H361="","support de saisie manquant",IF(AND($I361&lt;&gt;"",$J361&lt;&gt;"",$J361&lt;$I361),"date de fin antérieure à la date de début",IF(AND($G361="encadrant",IFERROR(INDEX(Personnes!$F$5:$F$153,MATCH($C361,Personnes!$A$5:$A$153,0)),"")=""),"courriel encadrant manquant","ok")))))))))</f>
        <v/>
      </c>
    </row>
    <row r="362">
      <c r="B362" s="14" t="n"/>
      <c r="C362" s="15">
        <f>IFERROR(MID($B362,FIND("[",$B362)+1,FIND("]",$B362)-FIND("[",$B362)-1),"")</f>
        <v/>
      </c>
      <c r="D362" s="15">
        <f>IFERROR(INDEX(Personnes!$B$5:$B$153,MATCH($C362,Personnes!$A$5:$A$153,0))&amp;"","")</f>
        <v/>
      </c>
      <c r="E362" s="15">
        <f>IFERROR(INDEX(Personnes!$C$5:$C$153,MATCH($C362,Personnes!$A$5:$A$153,0))&amp;"","")</f>
        <v/>
      </c>
      <c r="F362" s="14" t="n"/>
      <c r="G362" s="14" t="n"/>
      <c r="H362" s="14" t="n"/>
      <c r="I362" s="16" t="n"/>
      <c r="J362" s="16" t="n"/>
      <c r="K362" s="18" t="n"/>
      <c r="L362" s="18" t="n"/>
      <c r="M362" s="15">
        <f>IF($B362="","",IF($C362="","personne non reconnue",IF(ISERROR(SEARCH(TRIM($E362&amp;" "&amp;$D362),$B362)),"libellé incohérent avec l’identifiant",IF(COUNTIFS($A$5:$A$500,$A362,$C$5:$C$500,$C362,$F$5:$F$500,$F362,$G$5:$G$500,$G362)&gt;1,"doublon",IF($F362="","groupe manquant",IF($G362="","rôle manquant",IF($H362="","support de saisie manquant",IF(AND($I362&lt;&gt;"",$J362&lt;&gt;"",$J362&lt;$I362),"date de fin antérieure à la date de début",IF(AND($G362="encadrant",IFERROR(INDEX(Personnes!$F$5:$F$153,MATCH($C362,Personnes!$A$5:$A$153,0)),"")=""),"courriel encadrant manquant","ok")))))))))</f>
        <v/>
      </c>
    </row>
    <row r="363">
      <c r="B363" s="14" t="n"/>
      <c r="C363" s="15">
        <f>IFERROR(MID($B363,FIND("[",$B363)+1,FIND("]",$B363)-FIND("[",$B363)-1),"")</f>
        <v/>
      </c>
      <c r="D363" s="15">
        <f>IFERROR(INDEX(Personnes!$B$5:$B$153,MATCH($C363,Personnes!$A$5:$A$153,0))&amp;"","")</f>
        <v/>
      </c>
      <c r="E363" s="15">
        <f>IFERROR(INDEX(Personnes!$C$5:$C$153,MATCH($C363,Personnes!$A$5:$A$153,0))&amp;"","")</f>
        <v/>
      </c>
      <c r="F363" s="14" t="n"/>
      <c r="G363" s="14" t="n"/>
      <c r="H363" s="14" t="n"/>
      <c r="I363" s="16" t="n"/>
      <c r="J363" s="16" t="n"/>
      <c r="K363" s="18" t="n"/>
      <c r="L363" s="18" t="n"/>
      <c r="M363" s="15">
        <f>IF($B363="","",IF($C363="","personne non reconnue",IF(ISERROR(SEARCH(TRIM($E363&amp;" "&amp;$D363),$B363)),"libellé incohérent avec l’identifiant",IF(COUNTIFS($A$5:$A$500,$A363,$C$5:$C$500,$C363,$F$5:$F$500,$F363,$G$5:$G$500,$G363)&gt;1,"doublon",IF($F363="","groupe manquant",IF($G363="","rôle manquant",IF($H363="","support de saisie manquant",IF(AND($I363&lt;&gt;"",$J363&lt;&gt;"",$J363&lt;$I363),"date de fin antérieure à la date de début",IF(AND($G363="encadrant",IFERROR(INDEX(Personnes!$F$5:$F$153,MATCH($C363,Personnes!$A$5:$A$153,0)),"")=""),"courriel encadrant manquant","ok")))))))))</f>
        <v/>
      </c>
    </row>
    <row r="364">
      <c r="B364" s="14" t="n"/>
      <c r="C364" s="15">
        <f>IFERROR(MID($B364,FIND("[",$B364)+1,FIND("]",$B364)-FIND("[",$B364)-1),"")</f>
        <v/>
      </c>
      <c r="D364" s="15">
        <f>IFERROR(INDEX(Personnes!$B$5:$B$153,MATCH($C364,Personnes!$A$5:$A$153,0))&amp;"","")</f>
        <v/>
      </c>
      <c r="E364" s="15">
        <f>IFERROR(INDEX(Personnes!$C$5:$C$153,MATCH($C364,Personnes!$A$5:$A$153,0))&amp;"","")</f>
        <v/>
      </c>
      <c r="F364" s="14" t="n"/>
      <c r="G364" s="14" t="n"/>
      <c r="H364" s="14" t="n"/>
      <c r="I364" s="16" t="n"/>
      <c r="J364" s="16" t="n"/>
      <c r="K364" s="18" t="n"/>
      <c r="L364" s="18" t="n"/>
      <c r="M364" s="15">
        <f>IF($B364="","",IF($C364="","personne non reconnue",IF(ISERROR(SEARCH(TRIM($E364&amp;" "&amp;$D364),$B364)),"libellé incohérent avec l’identifiant",IF(COUNTIFS($A$5:$A$500,$A364,$C$5:$C$500,$C364,$F$5:$F$500,$F364,$G$5:$G$500,$G364)&gt;1,"doublon",IF($F364="","groupe manquant",IF($G364="","rôle manquant",IF($H364="","support de saisie manquant",IF(AND($I364&lt;&gt;"",$J364&lt;&gt;"",$J364&lt;$I364),"date de fin antérieure à la date de début",IF(AND($G364="encadrant",IFERROR(INDEX(Personnes!$F$5:$F$153,MATCH($C364,Personnes!$A$5:$A$153,0)),"")=""),"courriel encadrant manquant","ok")))))))))</f>
        <v/>
      </c>
    </row>
    <row r="365">
      <c r="B365" s="14" t="n"/>
      <c r="C365" s="15">
        <f>IFERROR(MID($B365,FIND("[",$B365)+1,FIND("]",$B365)-FIND("[",$B365)-1),"")</f>
        <v/>
      </c>
      <c r="D365" s="15">
        <f>IFERROR(INDEX(Personnes!$B$5:$B$153,MATCH($C365,Personnes!$A$5:$A$153,0))&amp;"","")</f>
        <v/>
      </c>
      <c r="E365" s="15">
        <f>IFERROR(INDEX(Personnes!$C$5:$C$153,MATCH($C365,Personnes!$A$5:$A$153,0))&amp;"","")</f>
        <v/>
      </c>
      <c r="F365" s="14" t="n"/>
      <c r="G365" s="14" t="n"/>
      <c r="H365" s="14" t="n"/>
      <c r="I365" s="16" t="n"/>
      <c r="J365" s="16" t="n"/>
      <c r="K365" s="18" t="n"/>
      <c r="L365" s="18" t="n"/>
      <c r="M365" s="15">
        <f>IF($B365="","",IF($C365="","personne non reconnue",IF(ISERROR(SEARCH(TRIM($E365&amp;" "&amp;$D365),$B365)),"libellé incohérent avec l’identifiant",IF(COUNTIFS($A$5:$A$500,$A365,$C$5:$C$500,$C365,$F$5:$F$500,$F365,$G$5:$G$500,$G365)&gt;1,"doublon",IF($F365="","groupe manquant",IF($G365="","rôle manquant",IF($H365="","support de saisie manquant",IF(AND($I365&lt;&gt;"",$J365&lt;&gt;"",$J365&lt;$I365),"date de fin antérieure à la date de début",IF(AND($G365="encadrant",IFERROR(INDEX(Personnes!$F$5:$F$153,MATCH($C365,Personnes!$A$5:$A$153,0)),"")=""),"courriel encadrant manquant","ok")))))))))</f>
        <v/>
      </c>
    </row>
    <row r="366">
      <c r="B366" s="14" t="n"/>
      <c r="C366" s="15">
        <f>IFERROR(MID($B366,FIND("[",$B366)+1,FIND("]",$B366)-FIND("[",$B366)-1),"")</f>
        <v/>
      </c>
      <c r="D366" s="15">
        <f>IFERROR(INDEX(Personnes!$B$5:$B$153,MATCH($C366,Personnes!$A$5:$A$153,0))&amp;"","")</f>
        <v/>
      </c>
      <c r="E366" s="15">
        <f>IFERROR(INDEX(Personnes!$C$5:$C$153,MATCH($C366,Personnes!$A$5:$A$153,0))&amp;"","")</f>
        <v/>
      </c>
      <c r="F366" s="14" t="n"/>
      <c r="G366" s="14" t="n"/>
      <c r="H366" s="14" t="n"/>
      <c r="I366" s="16" t="n"/>
      <c r="J366" s="16" t="n"/>
      <c r="K366" s="18" t="n"/>
      <c r="L366" s="18" t="n"/>
      <c r="M366" s="15">
        <f>IF($B366="","",IF($C366="","personne non reconnue",IF(ISERROR(SEARCH(TRIM($E366&amp;" "&amp;$D366),$B366)),"libellé incohérent avec l’identifiant",IF(COUNTIFS($A$5:$A$500,$A366,$C$5:$C$500,$C366,$F$5:$F$500,$F366,$G$5:$G$500,$G366)&gt;1,"doublon",IF($F366="","groupe manquant",IF($G366="","rôle manquant",IF($H366="","support de saisie manquant",IF(AND($I366&lt;&gt;"",$J366&lt;&gt;"",$J366&lt;$I366),"date de fin antérieure à la date de début",IF(AND($G366="encadrant",IFERROR(INDEX(Personnes!$F$5:$F$153,MATCH($C366,Personnes!$A$5:$A$153,0)),"")=""),"courriel encadrant manquant","ok")))))))))</f>
        <v/>
      </c>
    </row>
    <row r="367">
      <c r="B367" s="14" t="n"/>
      <c r="C367" s="15">
        <f>IFERROR(MID($B367,FIND("[",$B367)+1,FIND("]",$B367)-FIND("[",$B367)-1),"")</f>
        <v/>
      </c>
      <c r="D367" s="15">
        <f>IFERROR(INDEX(Personnes!$B$5:$B$153,MATCH($C367,Personnes!$A$5:$A$153,0))&amp;"","")</f>
        <v/>
      </c>
      <c r="E367" s="15">
        <f>IFERROR(INDEX(Personnes!$C$5:$C$153,MATCH($C367,Personnes!$A$5:$A$153,0))&amp;"","")</f>
        <v/>
      </c>
      <c r="F367" s="14" t="n"/>
      <c r="G367" s="14" t="n"/>
      <c r="H367" s="14" t="n"/>
      <c r="I367" s="16" t="n"/>
      <c r="J367" s="16" t="n"/>
      <c r="K367" s="18" t="n"/>
      <c r="L367" s="18" t="n"/>
      <c r="M367" s="15">
        <f>IF($B367="","",IF($C367="","personne non reconnue",IF(ISERROR(SEARCH(TRIM($E367&amp;" "&amp;$D367),$B367)),"libellé incohérent avec l’identifiant",IF(COUNTIFS($A$5:$A$500,$A367,$C$5:$C$500,$C367,$F$5:$F$500,$F367,$G$5:$G$500,$G367)&gt;1,"doublon",IF($F367="","groupe manquant",IF($G367="","rôle manquant",IF($H367="","support de saisie manquant",IF(AND($I367&lt;&gt;"",$J367&lt;&gt;"",$J367&lt;$I367),"date de fin antérieure à la date de début",IF(AND($G367="encadrant",IFERROR(INDEX(Personnes!$F$5:$F$153,MATCH($C367,Personnes!$A$5:$A$153,0)),"")=""),"courriel encadrant manquant","ok")))))))))</f>
        <v/>
      </c>
    </row>
    <row r="368">
      <c r="B368" s="14" t="n"/>
      <c r="C368" s="15">
        <f>IFERROR(MID($B368,FIND("[",$B368)+1,FIND("]",$B368)-FIND("[",$B368)-1),"")</f>
        <v/>
      </c>
      <c r="D368" s="15">
        <f>IFERROR(INDEX(Personnes!$B$5:$B$153,MATCH($C368,Personnes!$A$5:$A$153,0))&amp;"","")</f>
        <v/>
      </c>
      <c r="E368" s="15">
        <f>IFERROR(INDEX(Personnes!$C$5:$C$153,MATCH($C368,Personnes!$A$5:$A$153,0))&amp;"","")</f>
        <v/>
      </c>
      <c r="F368" s="14" t="n"/>
      <c r="G368" s="14" t="n"/>
      <c r="H368" s="14" t="n"/>
      <c r="I368" s="16" t="n"/>
      <c r="J368" s="16" t="n"/>
      <c r="K368" s="18" t="n"/>
      <c r="L368" s="18" t="n"/>
      <c r="M368" s="15">
        <f>IF($B368="","",IF($C368="","personne non reconnue",IF(ISERROR(SEARCH(TRIM($E368&amp;" "&amp;$D368),$B368)),"libellé incohérent avec l’identifiant",IF(COUNTIFS($A$5:$A$500,$A368,$C$5:$C$500,$C368,$F$5:$F$500,$F368,$G$5:$G$500,$G368)&gt;1,"doublon",IF($F368="","groupe manquant",IF($G368="","rôle manquant",IF($H368="","support de saisie manquant",IF(AND($I368&lt;&gt;"",$J368&lt;&gt;"",$J368&lt;$I368),"date de fin antérieure à la date de début",IF(AND($G368="encadrant",IFERROR(INDEX(Personnes!$F$5:$F$153,MATCH($C368,Personnes!$A$5:$A$153,0)),"")=""),"courriel encadrant manquant","ok")))))))))</f>
        <v/>
      </c>
    </row>
    <row r="369">
      <c r="B369" s="14" t="n"/>
      <c r="C369" s="15">
        <f>IFERROR(MID($B369,FIND("[",$B369)+1,FIND("]",$B369)-FIND("[",$B369)-1),"")</f>
        <v/>
      </c>
      <c r="D369" s="15">
        <f>IFERROR(INDEX(Personnes!$B$5:$B$153,MATCH($C369,Personnes!$A$5:$A$153,0))&amp;"","")</f>
        <v/>
      </c>
      <c r="E369" s="15">
        <f>IFERROR(INDEX(Personnes!$C$5:$C$153,MATCH($C369,Personnes!$A$5:$A$153,0))&amp;"","")</f>
        <v/>
      </c>
      <c r="F369" s="14" t="n"/>
      <c r="G369" s="14" t="n"/>
      <c r="H369" s="14" t="n"/>
      <c r="I369" s="16" t="n"/>
      <c r="J369" s="16" t="n"/>
      <c r="K369" s="18" t="n"/>
      <c r="L369" s="18" t="n"/>
      <c r="M369" s="15">
        <f>IF($B369="","",IF($C369="","personne non reconnue",IF(ISERROR(SEARCH(TRIM($E369&amp;" "&amp;$D369),$B369)),"libellé incohérent avec l’identifiant",IF(COUNTIFS($A$5:$A$500,$A369,$C$5:$C$500,$C369,$F$5:$F$500,$F369,$G$5:$G$500,$G369)&gt;1,"doublon",IF($F369="","groupe manquant",IF($G369="","rôle manquant",IF($H369="","support de saisie manquant",IF(AND($I369&lt;&gt;"",$J369&lt;&gt;"",$J369&lt;$I369),"date de fin antérieure à la date de début",IF(AND($G369="encadrant",IFERROR(INDEX(Personnes!$F$5:$F$153,MATCH($C369,Personnes!$A$5:$A$153,0)),"")=""),"courriel encadrant manquant","ok")))))))))</f>
        <v/>
      </c>
    </row>
    <row r="370">
      <c r="B370" s="14" t="n"/>
      <c r="C370" s="15">
        <f>IFERROR(MID($B370,FIND("[",$B370)+1,FIND("]",$B370)-FIND("[",$B370)-1),"")</f>
        <v/>
      </c>
      <c r="D370" s="15">
        <f>IFERROR(INDEX(Personnes!$B$5:$B$153,MATCH($C370,Personnes!$A$5:$A$153,0))&amp;"","")</f>
        <v/>
      </c>
      <c r="E370" s="15">
        <f>IFERROR(INDEX(Personnes!$C$5:$C$153,MATCH($C370,Personnes!$A$5:$A$153,0))&amp;"","")</f>
        <v/>
      </c>
      <c r="F370" s="14" t="n"/>
      <c r="G370" s="14" t="n"/>
      <c r="H370" s="14" t="n"/>
      <c r="I370" s="16" t="n"/>
      <c r="J370" s="16" t="n"/>
      <c r="K370" s="18" t="n"/>
      <c r="L370" s="18" t="n"/>
      <c r="M370" s="15">
        <f>IF($B370="","",IF($C370="","personne non reconnue",IF(ISERROR(SEARCH(TRIM($E370&amp;" "&amp;$D370),$B370)),"libellé incohérent avec l’identifiant",IF(COUNTIFS($A$5:$A$500,$A370,$C$5:$C$500,$C370,$F$5:$F$500,$F370,$G$5:$G$500,$G370)&gt;1,"doublon",IF($F370="","groupe manquant",IF($G370="","rôle manquant",IF($H370="","support de saisie manquant",IF(AND($I370&lt;&gt;"",$J370&lt;&gt;"",$J370&lt;$I370),"date de fin antérieure à la date de début",IF(AND($G370="encadrant",IFERROR(INDEX(Personnes!$F$5:$F$153,MATCH($C370,Personnes!$A$5:$A$153,0)),"")=""),"courriel encadrant manquant","ok")))))))))</f>
        <v/>
      </c>
    </row>
    <row r="371">
      <c r="B371" s="14" t="n"/>
      <c r="C371" s="15">
        <f>IFERROR(MID($B371,FIND("[",$B371)+1,FIND("]",$B371)-FIND("[",$B371)-1),"")</f>
        <v/>
      </c>
      <c r="D371" s="15">
        <f>IFERROR(INDEX(Personnes!$B$5:$B$153,MATCH($C371,Personnes!$A$5:$A$153,0))&amp;"","")</f>
        <v/>
      </c>
      <c r="E371" s="15">
        <f>IFERROR(INDEX(Personnes!$C$5:$C$153,MATCH($C371,Personnes!$A$5:$A$153,0))&amp;"","")</f>
        <v/>
      </c>
      <c r="F371" s="14" t="n"/>
      <c r="G371" s="14" t="n"/>
      <c r="H371" s="14" t="n"/>
      <c r="I371" s="16" t="n"/>
      <c r="J371" s="16" t="n"/>
      <c r="K371" s="18" t="n"/>
      <c r="L371" s="18" t="n"/>
      <c r="M371" s="15">
        <f>IF($B371="","",IF($C371="","personne non reconnue",IF(ISERROR(SEARCH(TRIM($E371&amp;" "&amp;$D371),$B371)),"libellé incohérent avec l’identifiant",IF(COUNTIFS($A$5:$A$500,$A371,$C$5:$C$500,$C371,$F$5:$F$500,$F371,$G$5:$G$500,$G371)&gt;1,"doublon",IF($F371="","groupe manquant",IF($G371="","rôle manquant",IF($H371="","support de saisie manquant",IF(AND($I371&lt;&gt;"",$J371&lt;&gt;"",$J371&lt;$I371),"date de fin antérieure à la date de début",IF(AND($G371="encadrant",IFERROR(INDEX(Personnes!$F$5:$F$153,MATCH($C371,Personnes!$A$5:$A$153,0)),"")=""),"courriel encadrant manquant","ok")))))))))</f>
        <v/>
      </c>
    </row>
    <row r="372">
      <c r="B372" s="14" t="n"/>
      <c r="C372" s="15">
        <f>IFERROR(MID($B372,FIND("[",$B372)+1,FIND("]",$B372)-FIND("[",$B372)-1),"")</f>
        <v/>
      </c>
      <c r="D372" s="15">
        <f>IFERROR(INDEX(Personnes!$B$5:$B$153,MATCH($C372,Personnes!$A$5:$A$153,0))&amp;"","")</f>
        <v/>
      </c>
      <c r="E372" s="15">
        <f>IFERROR(INDEX(Personnes!$C$5:$C$153,MATCH($C372,Personnes!$A$5:$A$153,0))&amp;"","")</f>
        <v/>
      </c>
      <c r="F372" s="14" t="n"/>
      <c r="G372" s="14" t="n"/>
      <c r="H372" s="14" t="n"/>
      <c r="I372" s="16" t="n"/>
      <c r="J372" s="16" t="n"/>
      <c r="K372" s="18" t="n"/>
      <c r="L372" s="18" t="n"/>
      <c r="M372" s="15">
        <f>IF($B372="","",IF($C372="","personne non reconnue",IF(ISERROR(SEARCH(TRIM($E372&amp;" "&amp;$D372),$B372)),"libellé incohérent avec l’identifiant",IF(COUNTIFS($A$5:$A$500,$A372,$C$5:$C$500,$C372,$F$5:$F$500,$F372,$G$5:$G$500,$G372)&gt;1,"doublon",IF($F372="","groupe manquant",IF($G372="","rôle manquant",IF($H372="","support de saisie manquant",IF(AND($I372&lt;&gt;"",$J372&lt;&gt;"",$J372&lt;$I372),"date de fin antérieure à la date de début",IF(AND($G372="encadrant",IFERROR(INDEX(Personnes!$F$5:$F$153,MATCH($C372,Personnes!$A$5:$A$153,0)),"")=""),"courriel encadrant manquant","ok")))))))))</f>
        <v/>
      </c>
    </row>
    <row r="373">
      <c r="B373" s="14" t="n"/>
      <c r="C373" s="15">
        <f>IFERROR(MID($B373,FIND("[",$B373)+1,FIND("]",$B373)-FIND("[",$B373)-1),"")</f>
        <v/>
      </c>
      <c r="D373" s="15">
        <f>IFERROR(INDEX(Personnes!$B$5:$B$153,MATCH($C373,Personnes!$A$5:$A$153,0))&amp;"","")</f>
        <v/>
      </c>
      <c r="E373" s="15">
        <f>IFERROR(INDEX(Personnes!$C$5:$C$153,MATCH($C373,Personnes!$A$5:$A$153,0))&amp;"","")</f>
        <v/>
      </c>
      <c r="F373" s="14" t="n"/>
      <c r="G373" s="14" t="n"/>
      <c r="H373" s="14" t="n"/>
      <c r="I373" s="16" t="n"/>
      <c r="J373" s="16" t="n"/>
      <c r="K373" s="18" t="n"/>
      <c r="L373" s="18" t="n"/>
      <c r="M373" s="15">
        <f>IF($B373="","",IF($C373="","personne non reconnue",IF(ISERROR(SEARCH(TRIM($E373&amp;" "&amp;$D373),$B373)),"libellé incohérent avec l’identifiant",IF(COUNTIFS($A$5:$A$500,$A373,$C$5:$C$500,$C373,$F$5:$F$500,$F373,$G$5:$G$500,$G373)&gt;1,"doublon",IF($F373="","groupe manquant",IF($G373="","rôle manquant",IF($H373="","support de saisie manquant",IF(AND($I373&lt;&gt;"",$J373&lt;&gt;"",$J373&lt;$I373),"date de fin antérieure à la date de début",IF(AND($G373="encadrant",IFERROR(INDEX(Personnes!$F$5:$F$153,MATCH($C373,Personnes!$A$5:$A$153,0)),"")=""),"courriel encadrant manquant","ok")))))))))</f>
        <v/>
      </c>
    </row>
    <row r="374">
      <c r="B374" s="14" t="n"/>
      <c r="C374" s="15">
        <f>IFERROR(MID($B374,FIND("[",$B374)+1,FIND("]",$B374)-FIND("[",$B374)-1),"")</f>
        <v/>
      </c>
      <c r="D374" s="15">
        <f>IFERROR(INDEX(Personnes!$B$5:$B$153,MATCH($C374,Personnes!$A$5:$A$153,0))&amp;"","")</f>
        <v/>
      </c>
      <c r="E374" s="15">
        <f>IFERROR(INDEX(Personnes!$C$5:$C$153,MATCH($C374,Personnes!$A$5:$A$153,0))&amp;"","")</f>
        <v/>
      </c>
      <c r="F374" s="14" t="n"/>
      <c r="G374" s="14" t="n"/>
      <c r="H374" s="14" t="n"/>
      <c r="I374" s="16" t="n"/>
      <c r="J374" s="16" t="n"/>
      <c r="K374" s="18" t="n"/>
      <c r="L374" s="18" t="n"/>
      <c r="M374" s="15">
        <f>IF($B374="","",IF($C374="","personne non reconnue",IF(ISERROR(SEARCH(TRIM($E374&amp;" "&amp;$D374),$B374)),"libellé incohérent avec l’identifiant",IF(COUNTIFS($A$5:$A$500,$A374,$C$5:$C$500,$C374,$F$5:$F$500,$F374,$G$5:$G$500,$G374)&gt;1,"doublon",IF($F374="","groupe manquant",IF($G374="","rôle manquant",IF($H374="","support de saisie manquant",IF(AND($I374&lt;&gt;"",$J374&lt;&gt;"",$J374&lt;$I374),"date de fin antérieure à la date de début",IF(AND($G374="encadrant",IFERROR(INDEX(Personnes!$F$5:$F$153,MATCH($C374,Personnes!$A$5:$A$153,0)),"")=""),"courriel encadrant manquant","ok")))))))))</f>
        <v/>
      </c>
    </row>
    <row r="375">
      <c r="B375" s="14" t="n"/>
      <c r="C375" s="15">
        <f>IFERROR(MID($B375,FIND("[",$B375)+1,FIND("]",$B375)-FIND("[",$B375)-1),"")</f>
        <v/>
      </c>
      <c r="D375" s="15">
        <f>IFERROR(INDEX(Personnes!$B$5:$B$153,MATCH($C375,Personnes!$A$5:$A$153,0))&amp;"","")</f>
        <v/>
      </c>
      <c r="E375" s="15">
        <f>IFERROR(INDEX(Personnes!$C$5:$C$153,MATCH($C375,Personnes!$A$5:$A$153,0))&amp;"","")</f>
        <v/>
      </c>
      <c r="F375" s="14" t="n"/>
      <c r="G375" s="14" t="n"/>
      <c r="H375" s="14" t="n"/>
      <c r="I375" s="16" t="n"/>
      <c r="J375" s="16" t="n"/>
      <c r="K375" s="18" t="n"/>
      <c r="L375" s="18" t="n"/>
      <c r="M375" s="15">
        <f>IF($B375="","",IF($C375="","personne non reconnue",IF(ISERROR(SEARCH(TRIM($E375&amp;" "&amp;$D375),$B375)),"libellé incohérent avec l’identifiant",IF(COUNTIFS($A$5:$A$500,$A375,$C$5:$C$500,$C375,$F$5:$F$500,$F375,$G$5:$G$500,$G375)&gt;1,"doublon",IF($F375="","groupe manquant",IF($G375="","rôle manquant",IF($H375="","support de saisie manquant",IF(AND($I375&lt;&gt;"",$J375&lt;&gt;"",$J375&lt;$I375),"date de fin antérieure à la date de début",IF(AND($G375="encadrant",IFERROR(INDEX(Personnes!$F$5:$F$153,MATCH($C375,Personnes!$A$5:$A$153,0)),"")=""),"courriel encadrant manquant","ok")))))))))</f>
        <v/>
      </c>
    </row>
    <row r="376">
      <c r="B376" s="14" t="n"/>
      <c r="C376" s="15">
        <f>IFERROR(MID($B376,FIND("[",$B376)+1,FIND("]",$B376)-FIND("[",$B376)-1),"")</f>
        <v/>
      </c>
      <c r="D376" s="15">
        <f>IFERROR(INDEX(Personnes!$B$5:$B$153,MATCH($C376,Personnes!$A$5:$A$153,0))&amp;"","")</f>
        <v/>
      </c>
      <c r="E376" s="15">
        <f>IFERROR(INDEX(Personnes!$C$5:$C$153,MATCH($C376,Personnes!$A$5:$A$153,0))&amp;"","")</f>
        <v/>
      </c>
      <c r="F376" s="14" t="n"/>
      <c r="G376" s="14" t="n"/>
      <c r="H376" s="14" t="n"/>
      <c r="I376" s="16" t="n"/>
      <c r="J376" s="16" t="n"/>
      <c r="K376" s="18" t="n"/>
      <c r="L376" s="18" t="n"/>
      <c r="M376" s="15">
        <f>IF($B376="","",IF($C376="","personne non reconnue",IF(ISERROR(SEARCH(TRIM($E376&amp;" "&amp;$D376),$B376)),"libellé incohérent avec l’identifiant",IF(COUNTIFS($A$5:$A$500,$A376,$C$5:$C$500,$C376,$F$5:$F$500,$F376,$G$5:$G$500,$G376)&gt;1,"doublon",IF($F376="","groupe manquant",IF($G376="","rôle manquant",IF($H376="","support de saisie manquant",IF(AND($I376&lt;&gt;"",$J376&lt;&gt;"",$J376&lt;$I376),"date de fin antérieure à la date de début",IF(AND($G376="encadrant",IFERROR(INDEX(Personnes!$F$5:$F$153,MATCH($C376,Personnes!$A$5:$A$153,0)),"")=""),"courriel encadrant manquant","ok")))))))))</f>
        <v/>
      </c>
    </row>
    <row r="377">
      <c r="B377" s="14" t="n"/>
      <c r="C377" s="15">
        <f>IFERROR(MID($B377,FIND("[",$B377)+1,FIND("]",$B377)-FIND("[",$B377)-1),"")</f>
        <v/>
      </c>
      <c r="D377" s="15">
        <f>IFERROR(INDEX(Personnes!$B$5:$B$153,MATCH($C377,Personnes!$A$5:$A$153,0))&amp;"","")</f>
        <v/>
      </c>
      <c r="E377" s="15">
        <f>IFERROR(INDEX(Personnes!$C$5:$C$153,MATCH($C377,Personnes!$A$5:$A$153,0))&amp;"","")</f>
        <v/>
      </c>
      <c r="F377" s="14" t="n"/>
      <c r="G377" s="14" t="n"/>
      <c r="H377" s="14" t="n"/>
      <c r="I377" s="16" t="n"/>
      <c r="J377" s="16" t="n"/>
      <c r="K377" s="18" t="n"/>
      <c r="L377" s="18" t="n"/>
      <c r="M377" s="15">
        <f>IF($B377="","",IF($C377="","personne non reconnue",IF(ISERROR(SEARCH(TRIM($E377&amp;" "&amp;$D377),$B377)),"libellé incohérent avec l’identifiant",IF(COUNTIFS($A$5:$A$500,$A377,$C$5:$C$500,$C377,$F$5:$F$500,$F377,$G$5:$G$500,$G377)&gt;1,"doublon",IF($F377="","groupe manquant",IF($G377="","rôle manquant",IF($H377="","support de saisie manquant",IF(AND($I377&lt;&gt;"",$J377&lt;&gt;"",$J377&lt;$I377),"date de fin antérieure à la date de début",IF(AND($G377="encadrant",IFERROR(INDEX(Personnes!$F$5:$F$153,MATCH($C377,Personnes!$A$5:$A$153,0)),"")=""),"courriel encadrant manquant","ok")))))))))</f>
        <v/>
      </c>
    </row>
    <row r="378">
      <c r="B378" s="14" t="n"/>
      <c r="C378" s="15">
        <f>IFERROR(MID($B378,FIND("[",$B378)+1,FIND("]",$B378)-FIND("[",$B378)-1),"")</f>
        <v/>
      </c>
      <c r="D378" s="15">
        <f>IFERROR(INDEX(Personnes!$B$5:$B$153,MATCH($C378,Personnes!$A$5:$A$153,0))&amp;"","")</f>
        <v/>
      </c>
      <c r="E378" s="15">
        <f>IFERROR(INDEX(Personnes!$C$5:$C$153,MATCH($C378,Personnes!$A$5:$A$153,0))&amp;"","")</f>
        <v/>
      </c>
      <c r="F378" s="14" t="n"/>
      <c r="G378" s="14" t="n"/>
      <c r="H378" s="14" t="n"/>
      <c r="I378" s="16" t="n"/>
      <c r="J378" s="16" t="n"/>
      <c r="K378" s="18" t="n"/>
      <c r="L378" s="18" t="n"/>
      <c r="M378" s="15">
        <f>IF($B378="","",IF($C378="","personne non reconnue",IF(ISERROR(SEARCH(TRIM($E378&amp;" "&amp;$D378),$B378)),"libellé incohérent avec l’identifiant",IF(COUNTIFS($A$5:$A$500,$A378,$C$5:$C$500,$C378,$F$5:$F$500,$F378,$G$5:$G$500,$G378)&gt;1,"doublon",IF($F378="","groupe manquant",IF($G378="","rôle manquant",IF($H378="","support de saisie manquant",IF(AND($I378&lt;&gt;"",$J378&lt;&gt;"",$J378&lt;$I378),"date de fin antérieure à la date de début",IF(AND($G378="encadrant",IFERROR(INDEX(Personnes!$F$5:$F$153,MATCH($C378,Personnes!$A$5:$A$153,0)),"")=""),"courriel encadrant manquant","ok")))))))))</f>
        <v/>
      </c>
    </row>
    <row r="379">
      <c r="B379" s="14" t="n"/>
      <c r="C379" s="15">
        <f>IFERROR(MID($B379,FIND("[",$B379)+1,FIND("]",$B379)-FIND("[",$B379)-1),"")</f>
        <v/>
      </c>
      <c r="D379" s="15">
        <f>IFERROR(INDEX(Personnes!$B$5:$B$153,MATCH($C379,Personnes!$A$5:$A$153,0))&amp;"","")</f>
        <v/>
      </c>
      <c r="E379" s="15">
        <f>IFERROR(INDEX(Personnes!$C$5:$C$153,MATCH($C379,Personnes!$A$5:$A$153,0))&amp;"","")</f>
        <v/>
      </c>
      <c r="F379" s="14" t="n"/>
      <c r="G379" s="14" t="n"/>
      <c r="H379" s="14" t="n"/>
      <c r="I379" s="16" t="n"/>
      <c r="J379" s="16" t="n"/>
      <c r="K379" s="18" t="n"/>
      <c r="L379" s="18" t="n"/>
      <c r="M379" s="15">
        <f>IF($B379="","",IF($C379="","personne non reconnue",IF(ISERROR(SEARCH(TRIM($E379&amp;" "&amp;$D379),$B379)),"libellé incohérent avec l’identifiant",IF(COUNTIFS($A$5:$A$500,$A379,$C$5:$C$500,$C379,$F$5:$F$500,$F379,$G$5:$G$500,$G379)&gt;1,"doublon",IF($F379="","groupe manquant",IF($G379="","rôle manquant",IF($H379="","support de saisie manquant",IF(AND($I379&lt;&gt;"",$J379&lt;&gt;"",$J379&lt;$I379),"date de fin antérieure à la date de début",IF(AND($G379="encadrant",IFERROR(INDEX(Personnes!$F$5:$F$153,MATCH($C379,Personnes!$A$5:$A$153,0)),"")=""),"courriel encadrant manquant","ok")))))))))</f>
        <v/>
      </c>
    </row>
    <row r="380">
      <c r="B380" s="14" t="n"/>
      <c r="C380" s="15">
        <f>IFERROR(MID($B380,FIND("[",$B380)+1,FIND("]",$B380)-FIND("[",$B380)-1),"")</f>
        <v/>
      </c>
      <c r="D380" s="15">
        <f>IFERROR(INDEX(Personnes!$B$5:$B$153,MATCH($C380,Personnes!$A$5:$A$153,0))&amp;"","")</f>
        <v/>
      </c>
      <c r="E380" s="15">
        <f>IFERROR(INDEX(Personnes!$C$5:$C$153,MATCH($C380,Personnes!$A$5:$A$153,0))&amp;"","")</f>
        <v/>
      </c>
      <c r="F380" s="14" t="n"/>
      <c r="G380" s="14" t="n"/>
      <c r="H380" s="14" t="n"/>
      <c r="I380" s="16" t="n"/>
      <c r="J380" s="16" t="n"/>
      <c r="K380" s="18" t="n"/>
      <c r="L380" s="18" t="n"/>
      <c r="M380" s="15">
        <f>IF($B380="","",IF($C380="","personne non reconnue",IF(ISERROR(SEARCH(TRIM($E380&amp;" "&amp;$D380),$B380)),"libellé incohérent avec l’identifiant",IF(COUNTIFS($A$5:$A$500,$A380,$C$5:$C$500,$C380,$F$5:$F$500,$F380,$G$5:$G$500,$G380)&gt;1,"doublon",IF($F380="","groupe manquant",IF($G380="","rôle manquant",IF($H380="","support de saisie manquant",IF(AND($I380&lt;&gt;"",$J380&lt;&gt;"",$J380&lt;$I380),"date de fin antérieure à la date de début",IF(AND($G380="encadrant",IFERROR(INDEX(Personnes!$F$5:$F$153,MATCH($C380,Personnes!$A$5:$A$153,0)),"")=""),"courriel encadrant manquant","ok")))))))))</f>
        <v/>
      </c>
    </row>
    <row r="381">
      <c r="B381" s="14" t="n"/>
      <c r="C381" s="15">
        <f>IFERROR(MID($B381,FIND("[",$B381)+1,FIND("]",$B381)-FIND("[",$B381)-1),"")</f>
        <v/>
      </c>
      <c r="D381" s="15">
        <f>IFERROR(INDEX(Personnes!$B$5:$B$153,MATCH($C381,Personnes!$A$5:$A$153,0))&amp;"","")</f>
        <v/>
      </c>
      <c r="E381" s="15">
        <f>IFERROR(INDEX(Personnes!$C$5:$C$153,MATCH($C381,Personnes!$A$5:$A$153,0))&amp;"","")</f>
        <v/>
      </c>
      <c r="F381" s="14" t="n"/>
      <c r="G381" s="14" t="n"/>
      <c r="H381" s="14" t="n"/>
      <c r="I381" s="16" t="n"/>
      <c r="J381" s="16" t="n"/>
      <c r="K381" s="18" t="n"/>
      <c r="L381" s="18" t="n"/>
      <c r="M381" s="15">
        <f>IF($B381="","",IF($C381="","personne non reconnue",IF(ISERROR(SEARCH(TRIM($E381&amp;" "&amp;$D381),$B381)),"libellé incohérent avec l’identifiant",IF(COUNTIFS($A$5:$A$500,$A381,$C$5:$C$500,$C381,$F$5:$F$500,$F381,$G$5:$G$500,$G381)&gt;1,"doublon",IF($F381="","groupe manquant",IF($G381="","rôle manquant",IF($H381="","support de saisie manquant",IF(AND($I381&lt;&gt;"",$J381&lt;&gt;"",$J381&lt;$I381),"date de fin antérieure à la date de début",IF(AND($G381="encadrant",IFERROR(INDEX(Personnes!$F$5:$F$153,MATCH($C381,Personnes!$A$5:$A$153,0)),"")=""),"courriel encadrant manquant","ok")))))))))</f>
        <v/>
      </c>
    </row>
    <row r="382">
      <c r="B382" s="14" t="n"/>
      <c r="C382" s="15">
        <f>IFERROR(MID($B382,FIND("[",$B382)+1,FIND("]",$B382)-FIND("[",$B382)-1),"")</f>
        <v/>
      </c>
      <c r="D382" s="15">
        <f>IFERROR(INDEX(Personnes!$B$5:$B$153,MATCH($C382,Personnes!$A$5:$A$153,0))&amp;"","")</f>
        <v/>
      </c>
      <c r="E382" s="15">
        <f>IFERROR(INDEX(Personnes!$C$5:$C$153,MATCH($C382,Personnes!$A$5:$A$153,0))&amp;"","")</f>
        <v/>
      </c>
      <c r="F382" s="14" t="n"/>
      <c r="G382" s="14" t="n"/>
      <c r="H382" s="14" t="n"/>
      <c r="I382" s="16" t="n"/>
      <c r="J382" s="16" t="n"/>
      <c r="K382" s="18" t="n"/>
      <c r="L382" s="18" t="n"/>
      <c r="M382" s="15">
        <f>IF($B382="","",IF($C382="","personne non reconnue",IF(ISERROR(SEARCH(TRIM($E382&amp;" "&amp;$D382),$B382)),"libellé incohérent avec l’identifiant",IF(COUNTIFS($A$5:$A$500,$A382,$C$5:$C$500,$C382,$F$5:$F$500,$F382,$G$5:$G$500,$G382)&gt;1,"doublon",IF($F382="","groupe manquant",IF($G382="","rôle manquant",IF($H382="","support de saisie manquant",IF(AND($I382&lt;&gt;"",$J382&lt;&gt;"",$J382&lt;$I382),"date de fin antérieure à la date de début",IF(AND($G382="encadrant",IFERROR(INDEX(Personnes!$F$5:$F$153,MATCH($C382,Personnes!$A$5:$A$153,0)),"")=""),"courriel encadrant manquant","ok")))))))))</f>
        <v/>
      </c>
    </row>
    <row r="383">
      <c r="B383" s="14" t="n"/>
      <c r="C383" s="15">
        <f>IFERROR(MID($B383,FIND("[",$B383)+1,FIND("]",$B383)-FIND("[",$B383)-1),"")</f>
        <v/>
      </c>
      <c r="D383" s="15">
        <f>IFERROR(INDEX(Personnes!$B$5:$B$153,MATCH($C383,Personnes!$A$5:$A$153,0))&amp;"","")</f>
        <v/>
      </c>
      <c r="E383" s="15">
        <f>IFERROR(INDEX(Personnes!$C$5:$C$153,MATCH($C383,Personnes!$A$5:$A$153,0))&amp;"","")</f>
        <v/>
      </c>
      <c r="F383" s="14" t="n"/>
      <c r="G383" s="14" t="n"/>
      <c r="H383" s="14" t="n"/>
      <c r="I383" s="16" t="n"/>
      <c r="J383" s="16" t="n"/>
      <c r="K383" s="18" t="n"/>
      <c r="L383" s="18" t="n"/>
      <c r="M383" s="15">
        <f>IF($B383="","",IF($C383="","personne non reconnue",IF(ISERROR(SEARCH(TRIM($E383&amp;" "&amp;$D383),$B383)),"libellé incohérent avec l’identifiant",IF(COUNTIFS($A$5:$A$500,$A383,$C$5:$C$500,$C383,$F$5:$F$500,$F383,$G$5:$G$500,$G383)&gt;1,"doublon",IF($F383="","groupe manquant",IF($G383="","rôle manquant",IF($H383="","support de saisie manquant",IF(AND($I383&lt;&gt;"",$J383&lt;&gt;"",$J383&lt;$I383),"date de fin antérieure à la date de début",IF(AND($G383="encadrant",IFERROR(INDEX(Personnes!$F$5:$F$153,MATCH($C383,Personnes!$A$5:$A$153,0)),"")=""),"courriel encadrant manquant","ok")))))))))</f>
        <v/>
      </c>
    </row>
    <row r="384">
      <c r="B384" s="14" t="n"/>
      <c r="C384" s="15">
        <f>IFERROR(MID($B384,FIND("[",$B384)+1,FIND("]",$B384)-FIND("[",$B384)-1),"")</f>
        <v/>
      </c>
      <c r="D384" s="15">
        <f>IFERROR(INDEX(Personnes!$B$5:$B$153,MATCH($C384,Personnes!$A$5:$A$153,0))&amp;"","")</f>
        <v/>
      </c>
      <c r="E384" s="15">
        <f>IFERROR(INDEX(Personnes!$C$5:$C$153,MATCH($C384,Personnes!$A$5:$A$153,0))&amp;"","")</f>
        <v/>
      </c>
      <c r="F384" s="14" t="n"/>
      <c r="G384" s="14" t="n"/>
      <c r="H384" s="14" t="n"/>
      <c r="I384" s="16" t="n"/>
      <c r="J384" s="16" t="n"/>
      <c r="K384" s="18" t="n"/>
      <c r="L384" s="18" t="n"/>
      <c r="M384" s="15">
        <f>IF($B384="","",IF($C384="","personne non reconnue",IF(ISERROR(SEARCH(TRIM($E384&amp;" "&amp;$D384),$B384)),"libellé incohérent avec l’identifiant",IF(COUNTIFS($A$5:$A$500,$A384,$C$5:$C$500,$C384,$F$5:$F$500,$F384,$G$5:$G$500,$G384)&gt;1,"doublon",IF($F384="","groupe manquant",IF($G384="","rôle manquant",IF($H384="","support de saisie manquant",IF(AND($I384&lt;&gt;"",$J384&lt;&gt;"",$J384&lt;$I384),"date de fin antérieure à la date de début",IF(AND($G384="encadrant",IFERROR(INDEX(Personnes!$F$5:$F$153,MATCH($C384,Personnes!$A$5:$A$153,0)),"")=""),"courriel encadrant manquant","ok")))))))))</f>
        <v/>
      </c>
    </row>
    <row r="385">
      <c r="B385" s="14" t="n"/>
      <c r="C385" s="15">
        <f>IFERROR(MID($B385,FIND("[",$B385)+1,FIND("]",$B385)-FIND("[",$B385)-1),"")</f>
        <v/>
      </c>
      <c r="D385" s="15">
        <f>IFERROR(INDEX(Personnes!$B$5:$B$153,MATCH($C385,Personnes!$A$5:$A$153,0))&amp;"","")</f>
        <v/>
      </c>
      <c r="E385" s="15">
        <f>IFERROR(INDEX(Personnes!$C$5:$C$153,MATCH($C385,Personnes!$A$5:$A$153,0))&amp;"","")</f>
        <v/>
      </c>
      <c r="F385" s="14" t="n"/>
      <c r="G385" s="14" t="n"/>
      <c r="H385" s="14" t="n"/>
      <c r="I385" s="16" t="n"/>
      <c r="J385" s="16" t="n"/>
      <c r="K385" s="18" t="n"/>
      <c r="L385" s="18" t="n"/>
      <c r="M385" s="15">
        <f>IF($B385="","",IF($C385="","personne non reconnue",IF(ISERROR(SEARCH(TRIM($E385&amp;" "&amp;$D385),$B385)),"libellé incohérent avec l’identifiant",IF(COUNTIFS($A$5:$A$500,$A385,$C$5:$C$500,$C385,$F$5:$F$500,$F385,$G$5:$G$500,$G385)&gt;1,"doublon",IF($F385="","groupe manquant",IF($G385="","rôle manquant",IF($H385="","support de saisie manquant",IF(AND($I385&lt;&gt;"",$J385&lt;&gt;"",$J385&lt;$I385),"date de fin antérieure à la date de début",IF(AND($G385="encadrant",IFERROR(INDEX(Personnes!$F$5:$F$153,MATCH($C385,Personnes!$A$5:$A$153,0)),"")=""),"courriel encadrant manquant","ok")))))))))</f>
        <v/>
      </c>
    </row>
    <row r="386">
      <c r="B386" s="14" t="n"/>
      <c r="C386" s="15">
        <f>IFERROR(MID($B386,FIND("[",$B386)+1,FIND("]",$B386)-FIND("[",$B386)-1),"")</f>
        <v/>
      </c>
      <c r="D386" s="15">
        <f>IFERROR(INDEX(Personnes!$B$5:$B$153,MATCH($C386,Personnes!$A$5:$A$153,0))&amp;"","")</f>
        <v/>
      </c>
      <c r="E386" s="15">
        <f>IFERROR(INDEX(Personnes!$C$5:$C$153,MATCH($C386,Personnes!$A$5:$A$153,0))&amp;"","")</f>
        <v/>
      </c>
      <c r="F386" s="14" t="n"/>
      <c r="G386" s="14" t="n"/>
      <c r="H386" s="14" t="n"/>
      <c r="I386" s="16" t="n"/>
      <c r="J386" s="16" t="n"/>
      <c r="K386" s="18" t="n"/>
      <c r="L386" s="18" t="n"/>
      <c r="M386" s="15">
        <f>IF($B386="","",IF($C386="","personne non reconnue",IF(ISERROR(SEARCH(TRIM($E386&amp;" "&amp;$D386),$B386)),"libellé incohérent avec l’identifiant",IF(COUNTIFS($A$5:$A$500,$A386,$C$5:$C$500,$C386,$F$5:$F$500,$F386,$G$5:$G$500,$G386)&gt;1,"doublon",IF($F386="","groupe manquant",IF($G386="","rôle manquant",IF($H386="","support de saisie manquant",IF(AND($I386&lt;&gt;"",$J386&lt;&gt;"",$J386&lt;$I386),"date de fin antérieure à la date de début",IF(AND($G386="encadrant",IFERROR(INDEX(Personnes!$F$5:$F$153,MATCH($C386,Personnes!$A$5:$A$153,0)),"")=""),"courriel encadrant manquant","ok")))))))))</f>
        <v/>
      </c>
    </row>
    <row r="387">
      <c r="B387" s="14" t="n"/>
      <c r="C387" s="15">
        <f>IFERROR(MID($B387,FIND("[",$B387)+1,FIND("]",$B387)-FIND("[",$B387)-1),"")</f>
        <v/>
      </c>
      <c r="D387" s="15">
        <f>IFERROR(INDEX(Personnes!$B$5:$B$153,MATCH($C387,Personnes!$A$5:$A$153,0))&amp;"","")</f>
        <v/>
      </c>
      <c r="E387" s="15">
        <f>IFERROR(INDEX(Personnes!$C$5:$C$153,MATCH($C387,Personnes!$A$5:$A$153,0))&amp;"","")</f>
        <v/>
      </c>
      <c r="F387" s="14" t="n"/>
      <c r="G387" s="14" t="n"/>
      <c r="H387" s="14" t="n"/>
      <c r="I387" s="16" t="n"/>
      <c r="J387" s="16" t="n"/>
      <c r="K387" s="18" t="n"/>
      <c r="L387" s="18" t="n"/>
      <c r="M387" s="15">
        <f>IF($B387="","",IF($C387="","personne non reconnue",IF(ISERROR(SEARCH(TRIM($E387&amp;" "&amp;$D387),$B387)),"libellé incohérent avec l’identifiant",IF(COUNTIFS($A$5:$A$500,$A387,$C$5:$C$500,$C387,$F$5:$F$500,$F387,$G$5:$G$500,$G387)&gt;1,"doublon",IF($F387="","groupe manquant",IF($G387="","rôle manquant",IF($H387="","support de saisie manquant",IF(AND($I387&lt;&gt;"",$J387&lt;&gt;"",$J387&lt;$I387),"date de fin antérieure à la date de début",IF(AND($G387="encadrant",IFERROR(INDEX(Personnes!$F$5:$F$153,MATCH($C387,Personnes!$A$5:$A$153,0)),"")=""),"courriel encadrant manquant","ok")))))))))</f>
        <v/>
      </c>
    </row>
    <row r="388">
      <c r="B388" s="14" t="n"/>
      <c r="C388" s="15">
        <f>IFERROR(MID($B388,FIND("[",$B388)+1,FIND("]",$B388)-FIND("[",$B388)-1),"")</f>
        <v/>
      </c>
      <c r="D388" s="15">
        <f>IFERROR(INDEX(Personnes!$B$5:$B$153,MATCH($C388,Personnes!$A$5:$A$153,0))&amp;"","")</f>
        <v/>
      </c>
      <c r="E388" s="15">
        <f>IFERROR(INDEX(Personnes!$C$5:$C$153,MATCH($C388,Personnes!$A$5:$A$153,0))&amp;"","")</f>
        <v/>
      </c>
      <c r="F388" s="14" t="n"/>
      <c r="G388" s="14" t="n"/>
      <c r="H388" s="14" t="n"/>
      <c r="I388" s="16" t="n"/>
      <c r="J388" s="16" t="n"/>
      <c r="K388" s="18" t="n"/>
      <c r="L388" s="18" t="n"/>
      <c r="M388" s="15">
        <f>IF($B388="","",IF($C388="","personne non reconnue",IF(ISERROR(SEARCH(TRIM($E388&amp;" "&amp;$D388),$B388)),"libellé incohérent avec l’identifiant",IF(COUNTIFS($A$5:$A$500,$A388,$C$5:$C$500,$C388,$F$5:$F$500,$F388,$G$5:$G$500,$G388)&gt;1,"doublon",IF($F388="","groupe manquant",IF($G388="","rôle manquant",IF($H388="","support de saisie manquant",IF(AND($I388&lt;&gt;"",$J388&lt;&gt;"",$J388&lt;$I388),"date de fin antérieure à la date de début",IF(AND($G388="encadrant",IFERROR(INDEX(Personnes!$F$5:$F$153,MATCH($C388,Personnes!$A$5:$A$153,0)),"")=""),"courriel encadrant manquant","ok")))))))))</f>
        <v/>
      </c>
    </row>
    <row r="389">
      <c r="B389" s="14" t="n"/>
      <c r="C389" s="15">
        <f>IFERROR(MID($B389,FIND("[",$B389)+1,FIND("]",$B389)-FIND("[",$B389)-1),"")</f>
        <v/>
      </c>
      <c r="D389" s="15">
        <f>IFERROR(INDEX(Personnes!$B$5:$B$153,MATCH($C389,Personnes!$A$5:$A$153,0))&amp;"","")</f>
        <v/>
      </c>
      <c r="E389" s="15">
        <f>IFERROR(INDEX(Personnes!$C$5:$C$153,MATCH($C389,Personnes!$A$5:$A$153,0))&amp;"","")</f>
        <v/>
      </c>
      <c r="F389" s="14" t="n"/>
      <c r="G389" s="14" t="n"/>
      <c r="H389" s="14" t="n"/>
      <c r="I389" s="16" t="n"/>
      <c r="J389" s="16" t="n"/>
      <c r="K389" s="18" t="n"/>
      <c r="L389" s="18" t="n"/>
      <c r="M389" s="15">
        <f>IF($B389="","",IF($C389="","personne non reconnue",IF(ISERROR(SEARCH(TRIM($E389&amp;" "&amp;$D389),$B389)),"libellé incohérent avec l’identifiant",IF(COUNTIFS($A$5:$A$500,$A389,$C$5:$C$500,$C389,$F$5:$F$500,$F389,$G$5:$G$500,$G389)&gt;1,"doublon",IF($F389="","groupe manquant",IF($G389="","rôle manquant",IF($H389="","support de saisie manquant",IF(AND($I389&lt;&gt;"",$J389&lt;&gt;"",$J389&lt;$I389),"date de fin antérieure à la date de début",IF(AND($G389="encadrant",IFERROR(INDEX(Personnes!$F$5:$F$153,MATCH($C389,Personnes!$A$5:$A$153,0)),"")=""),"courriel encadrant manquant","ok")))))))))</f>
        <v/>
      </c>
    </row>
    <row r="390">
      <c r="B390" s="14" t="n"/>
      <c r="C390" s="15">
        <f>IFERROR(MID($B390,FIND("[",$B390)+1,FIND("]",$B390)-FIND("[",$B390)-1),"")</f>
        <v/>
      </c>
      <c r="D390" s="15">
        <f>IFERROR(INDEX(Personnes!$B$5:$B$153,MATCH($C390,Personnes!$A$5:$A$153,0))&amp;"","")</f>
        <v/>
      </c>
      <c r="E390" s="15">
        <f>IFERROR(INDEX(Personnes!$C$5:$C$153,MATCH($C390,Personnes!$A$5:$A$153,0))&amp;"","")</f>
        <v/>
      </c>
      <c r="F390" s="14" t="n"/>
      <c r="G390" s="14" t="n"/>
      <c r="H390" s="14" t="n"/>
      <c r="I390" s="16" t="n"/>
      <c r="J390" s="16" t="n"/>
      <c r="K390" s="18" t="n"/>
      <c r="L390" s="18" t="n"/>
      <c r="M390" s="15">
        <f>IF($B390="","",IF($C390="","personne non reconnue",IF(ISERROR(SEARCH(TRIM($E390&amp;" "&amp;$D390),$B390)),"libellé incohérent avec l’identifiant",IF(COUNTIFS($A$5:$A$500,$A390,$C$5:$C$500,$C390,$F$5:$F$500,$F390,$G$5:$G$500,$G390)&gt;1,"doublon",IF($F390="","groupe manquant",IF($G390="","rôle manquant",IF($H390="","support de saisie manquant",IF(AND($I390&lt;&gt;"",$J390&lt;&gt;"",$J390&lt;$I390),"date de fin antérieure à la date de début",IF(AND($G390="encadrant",IFERROR(INDEX(Personnes!$F$5:$F$153,MATCH($C390,Personnes!$A$5:$A$153,0)),"")=""),"courriel encadrant manquant","ok")))))))))</f>
        <v/>
      </c>
    </row>
    <row r="391">
      <c r="B391" s="14" t="n"/>
      <c r="C391" s="15">
        <f>IFERROR(MID($B391,FIND("[",$B391)+1,FIND("]",$B391)-FIND("[",$B391)-1),"")</f>
        <v/>
      </c>
      <c r="D391" s="15">
        <f>IFERROR(INDEX(Personnes!$B$5:$B$153,MATCH($C391,Personnes!$A$5:$A$153,0))&amp;"","")</f>
        <v/>
      </c>
      <c r="E391" s="15">
        <f>IFERROR(INDEX(Personnes!$C$5:$C$153,MATCH($C391,Personnes!$A$5:$A$153,0))&amp;"","")</f>
        <v/>
      </c>
      <c r="F391" s="14" t="n"/>
      <c r="G391" s="14" t="n"/>
      <c r="H391" s="14" t="n"/>
      <c r="I391" s="16" t="n"/>
      <c r="J391" s="16" t="n"/>
      <c r="K391" s="18" t="n"/>
      <c r="L391" s="18" t="n"/>
      <c r="M391" s="15">
        <f>IF($B391="","",IF($C391="","personne non reconnue",IF(ISERROR(SEARCH(TRIM($E391&amp;" "&amp;$D391),$B391)),"libellé incohérent avec l’identifiant",IF(COUNTIFS($A$5:$A$500,$A391,$C$5:$C$500,$C391,$F$5:$F$500,$F391,$G$5:$G$500,$G391)&gt;1,"doublon",IF($F391="","groupe manquant",IF($G391="","rôle manquant",IF($H391="","support de saisie manquant",IF(AND($I391&lt;&gt;"",$J391&lt;&gt;"",$J391&lt;$I391),"date de fin antérieure à la date de début",IF(AND($G391="encadrant",IFERROR(INDEX(Personnes!$F$5:$F$153,MATCH($C391,Personnes!$A$5:$A$153,0)),"")=""),"courriel encadrant manquant","ok")))))))))</f>
        <v/>
      </c>
    </row>
    <row r="392">
      <c r="B392" s="14" t="n"/>
      <c r="C392" s="15">
        <f>IFERROR(MID($B392,FIND("[",$B392)+1,FIND("]",$B392)-FIND("[",$B392)-1),"")</f>
        <v/>
      </c>
      <c r="D392" s="15">
        <f>IFERROR(INDEX(Personnes!$B$5:$B$153,MATCH($C392,Personnes!$A$5:$A$153,0))&amp;"","")</f>
        <v/>
      </c>
      <c r="E392" s="15">
        <f>IFERROR(INDEX(Personnes!$C$5:$C$153,MATCH($C392,Personnes!$A$5:$A$153,0))&amp;"","")</f>
        <v/>
      </c>
      <c r="F392" s="14" t="n"/>
      <c r="G392" s="14" t="n"/>
      <c r="H392" s="14" t="n"/>
      <c r="I392" s="16" t="n"/>
      <c r="J392" s="16" t="n"/>
      <c r="K392" s="18" t="n"/>
      <c r="L392" s="18" t="n"/>
      <c r="M392" s="15">
        <f>IF($B392="","",IF($C392="","personne non reconnue",IF(ISERROR(SEARCH(TRIM($E392&amp;" "&amp;$D392),$B392)),"libellé incohérent avec l’identifiant",IF(COUNTIFS($A$5:$A$500,$A392,$C$5:$C$500,$C392,$F$5:$F$500,$F392,$G$5:$G$500,$G392)&gt;1,"doublon",IF($F392="","groupe manquant",IF($G392="","rôle manquant",IF($H392="","support de saisie manquant",IF(AND($I392&lt;&gt;"",$J392&lt;&gt;"",$J392&lt;$I392),"date de fin antérieure à la date de début",IF(AND($G392="encadrant",IFERROR(INDEX(Personnes!$F$5:$F$153,MATCH($C392,Personnes!$A$5:$A$153,0)),"")=""),"courriel encadrant manquant","ok")))))))))</f>
        <v/>
      </c>
    </row>
    <row r="393">
      <c r="B393" s="14" t="n"/>
      <c r="C393" s="15">
        <f>IFERROR(MID($B393,FIND("[",$B393)+1,FIND("]",$B393)-FIND("[",$B393)-1),"")</f>
        <v/>
      </c>
      <c r="D393" s="15">
        <f>IFERROR(INDEX(Personnes!$B$5:$B$153,MATCH($C393,Personnes!$A$5:$A$153,0))&amp;"","")</f>
        <v/>
      </c>
      <c r="E393" s="15">
        <f>IFERROR(INDEX(Personnes!$C$5:$C$153,MATCH($C393,Personnes!$A$5:$A$153,0))&amp;"","")</f>
        <v/>
      </c>
      <c r="F393" s="14" t="n"/>
      <c r="G393" s="14" t="n"/>
      <c r="H393" s="14" t="n"/>
      <c r="I393" s="16" t="n"/>
      <c r="J393" s="16" t="n"/>
      <c r="K393" s="18" t="n"/>
      <c r="L393" s="18" t="n"/>
      <c r="M393" s="15">
        <f>IF($B393="","",IF($C393="","personne non reconnue",IF(ISERROR(SEARCH(TRIM($E393&amp;" "&amp;$D393),$B393)),"libellé incohérent avec l’identifiant",IF(COUNTIFS($A$5:$A$500,$A393,$C$5:$C$500,$C393,$F$5:$F$500,$F393,$G$5:$G$500,$G393)&gt;1,"doublon",IF($F393="","groupe manquant",IF($G393="","rôle manquant",IF($H393="","support de saisie manquant",IF(AND($I393&lt;&gt;"",$J393&lt;&gt;"",$J393&lt;$I393),"date de fin antérieure à la date de début",IF(AND($G393="encadrant",IFERROR(INDEX(Personnes!$F$5:$F$153,MATCH($C393,Personnes!$A$5:$A$153,0)),"")=""),"courriel encadrant manquant","ok")))))))))</f>
        <v/>
      </c>
    </row>
    <row r="394">
      <c r="B394" s="14" t="n"/>
      <c r="C394" s="15">
        <f>IFERROR(MID($B394,FIND("[",$B394)+1,FIND("]",$B394)-FIND("[",$B394)-1),"")</f>
        <v/>
      </c>
      <c r="D394" s="15">
        <f>IFERROR(INDEX(Personnes!$B$5:$B$153,MATCH($C394,Personnes!$A$5:$A$153,0))&amp;"","")</f>
        <v/>
      </c>
      <c r="E394" s="15">
        <f>IFERROR(INDEX(Personnes!$C$5:$C$153,MATCH($C394,Personnes!$A$5:$A$153,0))&amp;"","")</f>
        <v/>
      </c>
      <c r="F394" s="14" t="n"/>
      <c r="G394" s="14" t="n"/>
      <c r="H394" s="14" t="n"/>
      <c r="I394" s="16" t="n"/>
      <c r="J394" s="16" t="n"/>
      <c r="K394" s="18" t="n"/>
      <c r="L394" s="18" t="n"/>
      <c r="M394" s="15">
        <f>IF($B394="","",IF($C394="","personne non reconnue",IF(ISERROR(SEARCH(TRIM($E394&amp;" "&amp;$D394),$B394)),"libellé incohérent avec l’identifiant",IF(COUNTIFS($A$5:$A$500,$A394,$C$5:$C$500,$C394,$F$5:$F$500,$F394,$G$5:$G$500,$G394)&gt;1,"doublon",IF($F394="","groupe manquant",IF($G394="","rôle manquant",IF($H394="","support de saisie manquant",IF(AND($I394&lt;&gt;"",$J394&lt;&gt;"",$J394&lt;$I394),"date de fin antérieure à la date de début",IF(AND($G394="encadrant",IFERROR(INDEX(Personnes!$F$5:$F$153,MATCH($C394,Personnes!$A$5:$A$153,0)),"")=""),"courriel encadrant manquant","ok")))))))))</f>
        <v/>
      </c>
    </row>
    <row r="395">
      <c r="B395" s="14" t="n"/>
      <c r="C395" s="15">
        <f>IFERROR(MID($B395,FIND("[",$B395)+1,FIND("]",$B395)-FIND("[",$B395)-1),"")</f>
        <v/>
      </c>
      <c r="D395" s="15">
        <f>IFERROR(INDEX(Personnes!$B$5:$B$153,MATCH($C395,Personnes!$A$5:$A$153,0))&amp;"","")</f>
        <v/>
      </c>
      <c r="E395" s="15">
        <f>IFERROR(INDEX(Personnes!$C$5:$C$153,MATCH($C395,Personnes!$A$5:$A$153,0))&amp;"","")</f>
        <v/>
      </c>
      <c r="F395" s="14" t="n"/>
      <c r="G395" s="14" t="n"/>
      <c r="H395" s="14" t="n"/>
      <c r="I395" s="16" t="n"/>
      <c r="J395" s="16" t="n"/>
      <c r="K395" s="18" t="n"/>
      <c r="L395" s="18" t="n"/>
      <c r="M395" s="15">
        <f>IF($B395="","",IF($C395="","personne non reconnue",IF(ISERROR(SEARCH(TRIM($E395&amp;" "&amp;$D395),$B395)),"libellé incohérent avec l’identifiant",IF(COUNTIFS($A$5:$A$500,$A395,$C$5:$C$500,$C395,$F$5:$F$500,$F395,$G$5:$G$500,$G395)&gt;1,"doublon",IF($F395="","groupe manquant",IF($G395="","rôle manquant",IF($H395="","support de saisie manquant",IF(AND($I395&lt;&gt;"",$J395&lt;&gt;"",$J395&lt;$I395),"date de fin antérieure à la date de début",IF(AND($G395="encadrant",IFERROR(INDEX(Personnes!$F$5:$F$153,MATCH($C395,Personnes!$A$5:$A$153,0)),"")=""),"courriel encadrant manquant","ok")))))))))</f>
        <v/>
      </c>
    </row>
    <row r="396">
      <c r="B396" s="14" t="n"/>
      <c r="C396" s="15">
        <f>IFERROR(MID($B396,FIND("[",$B396)+1,FIND("]",$B396)-FIND("[",$B396)-1),"")</f>
        <v/>
      </c>
      <c r="D396" s="15">
        <f>IFERROR(INDEX(Personnes!$B$5:$B$153,MATCH($C396,Personnes!$A$5:$A$153,0))&amp;"","")</f>
        <v/>
      </c>
      <c r="E396" s="15">
        <f>IFERROR(INDEX(Personnes!$C$5:$C$153,MATCH($C396,Personnes!$A$5:$A$153,0))&amp;"","")</f>
        <v/>
      </c>
      <c r="F396" s="14" t="n"/>
      <c r="G396" s="14" t="n"/>
      <c r="H396" s="14" t="n"/>
      <c r="I396" s="16" t="n"/>
      <c r="J396" s="16" t="n"/>
      <c r="K396" s="18" t="n"/>
      <c r="L396" s="18" t="n"/>
      <c r="M396" s="15">
        <f>IF($B396="","",IF($C396="","personne non reconnue",IF(ISERROR(SEARCH(TRIM($E396&amp;" "&amp;$D396),$B396)),"libellé incohérent avec l’identifiant",IF(COUNTIFS($A$5:$A$500,$A396,$C$5:$C$500,$C396,$F$5:$F$500,$F396,$G$5:$G$500,$G396)&gt;1,"doublon",IF($F396="","groupe manquant",IF($G396="","rôle manquant",IF($H396="","support de saisie manquant",IF(AND($I396&lt;&gt;"",$J396&lt;&gt;"",$J396&lt;$I396),"date de fin antérieure à la date de début",IF(AND($G396="encadrant",IFERROR(INDEX(Personnes!$F$5:$F$153,MATCH($C396,Personnes!$A$5:$A$153,0)),"")=""),"courriel encadrant manquant","ok")))))))))</f>
        <v/>
      </c>
    </row>
    <row r="397">
      <c r="B397" s="14" t="n"/>
      <c r="C397" s="15">
        <f>IFERROR(MID($B397,FIND("[",$B397)+1,FIND("]",$B397)-FIND("[",$B397)-1),"")</f>
        <v/>
      </c>
      <c r="D397" s="15">
        <f>IFERROR(INDEX(Personnes!$B$5:$B$153,MATCH($C397,Personnes!$A$5:$A$153,0))&amp;"","")</f>
        <v/>
      </c>
      <c r="E397" s="15">
        <f>IFERROR(INDEX(Personnes!$C$5:$C$153,MATCH($C397,Personnes!$A$5:$A$153,0))&amp;"","")</f>
        <v/>
      </c>
      <c r="F397" s="14" t="n"/>
      <c r="G397" s="14" t="n"/>
      <c r="H397" s="14" t="n"/>
      <c r="I397" s="16" t="n"/>
      <c r="J397" s="16" t="n"/>
      <c r="K397" s="18" t="n"/>
      <c r="L397" s="18" t="n"/>
      <c r="M397" s="15">
        <f>IF($B397="","",IF($C397="","personne non reconnue",IF(ISERROR(SEARCH(TRIM($E397&amp;" "&amp;$D397),$B397)),"libellé incohérent avec l’identifiant",IF(COUNTIFS($A$5:$A$500,$A397,$C$5:$C$500,$C397,$F$5:$F$500,$F397,$G$5:$G$500,$G397)&gt;1,"doublon",IF($F397="","groupe manquant",IF($G397="","rôle manquant",IF($H397="","support de saisie manquant",IF(AND($I397&lt;&gt;"",$J397&lt;&gt;"",$J397&lt;$I397),"date de fin antérieure à la date de début",IF(AND($G397="encadrant",IFERROR(INDEX(Personnes!$F$5:$F$153,MATCH($C397,Personnes!$A$5:$A$153,0)),"")=""),"courriel encadrant manquant","ok")))))))))</f>
        <v/>
      </c>
    </row>
    <row r="398">
      <c r="B398" s="14" t="n"/>
      <c r="C398" s="15">
        <f>IFERROR(MID($B398,FIND("[",$B398)+1,FIND("]",$B398)-FIND("[",$B398)-1),"")</f>
        <v/>
      </c>
      <c r="D398" s="15">
        <f>IFERROR(INDEX(Personnes!$B$5:$B$153,MATCH($C398,Personnes!$A$5:$A$153,0))&amp;"","")</f>
        <v/>
      </c>
      <c r="E398" s="15">
        <f>IFERROR(INDEX(Personnes!$C$5:$C$153,MATCH($C398,Personnes!$A$5:$A$153,0))&amp;"","")</f>
        <v/>
      </c>
      <c r="F398" s="14" t="n"/>
      <c r="G398" s="14" t="n"/>
      <c r="H398" s="14" t="n"/>
      <c r="I398" s="16" t="n"/>
      <c r="J398" s="16" t="n"/>
      <c r="K398" s="18" t="n"/>
      <c r="L398" s="18" t="n"/>
      <c r="M398" s="15">
        <f>IF($B398="","",IF($C398="","personne non reconnue",IF(ISERROR(SEARCH(TRIM($E398&amp;" "&amp;$D398),$B398)),"libellé incohérent avec l’identifiant",IF(COUNTIFS($A$5:$A$500,$A398,$C$5:$C$500,$C398,$F$5:$F$500,$F398,$G$5:$G$500,$G398)&gt;1,"doublon",IF($F398="","groupe manquant",IF($G398="","rôle manquant",IF($H398="","support de saisie manquant",IF(AND($I398&lt;&gt;"",$J398&lt;&gt;"",$J398&lt;$I398),"date de fin antérieure à la date de début",IF(AND($G398="encadrant",IFERROR(INDEX(Personnes!$F$5:$F$153,MATCH($C398,Personnes!$A$5:$A$153,0)),"")=""),"courriel encadrant manquant","ok")))))))))</f>
        <v/>
      </c>
    </row>
    <row r="399">
      <c r="B399" s="14" t="n"/>
      <c r="C399" s="15">
        <f>IFERROR(MID($B399,FIND("[",$B399)+1,FIND("]",$B399)-FIND("[",$B399)-1),"")</f>
        <v/>
      </c>
      <c r="D399" s="15">
        <f>IFERROR(INDEX(Personnes!$B$5:$B$153,MATCH($C399,Personnes!$A$5:$A$153,0))&amp;"","")</f>
        <v/>
      </c>
      <c r="E399" s="15">
        <f>IFERROR(INDEX(Personnes!$C$5:$C$153,MATCH($C399,Personnes!$A$5:$A$153,0))&amp;"","")</f>
        <v/>
      </c>
      <c r="F399" s="14" t="n"/>
      <c r="G399" s="14" t="n"/>
      <c r="H399" s="14" t="n"/>
      <c r="I399" s="16" t="n"/>
      <c r="J399" s="16" t="n"/>
      <c r="K399" s="18" t="n"/>
      <c r="L399" s="18" t="n"/>
      <c r="M399" s="15">
        <f>IF($B399="","",IF($C399="","personne non reconnue",IF(ISERROR(SEARCH(TRIM($E399&amp;" "&amp;$D399),$B399)),"libellé incohérent avec l’identifiant",IF(COUNTIFS($A$5:$A$500,$A399,$C$5:$C$500,$C399,$F$5:$F$500,$F399,$G$5:$G$500,$G399)&gt;1,"doublon",IF($F399="","groupe manquant",IF($G399="","rôle manquant",IF($H399="","support de saisie manquant",IF(AND($I399&lt;&gt;"",$J399&lt;&gt;"",$J399&lt;$I399),"date de fin antérieure à la date de début",IF(AND($G399="encadrant",IFERROR(INDEX(Personnes!$F$5:$F$153,MATCH($C399,Personnes!$A$5:$A$153,0)),"")=""),"courriel encadrant manquant","ok")))))))))</f>
        <v/>
      </c>
    </row>
    <row r="400">
      <c r="B400" s="14" t="n"/>
      <c r="C400" s="15">
        <f>IFERROR(MID($B400,FIND("[",$B400)+1,FIND("]",$B400)-FIND("[",$B400)-1),"")</f>
        <v/>
      </c>
      <c r="D400" s="15">
        <f>IFERROR(INDEX(Personnes!$B$5:$B$153,MATCH($C400,Personnes!$A$5:$A$153,0))&amp;"","")</f>
        <v/>
      </c>
      <c r="E400" s="15">
        <f>IFERROR(INDEX(Personnes!$C$5:$C$153,MATCH($C400,Personnes!$A$5:$A$153,0))&amp;"","")</f>
        <v/>
      </c>
      <c r="F400" s="14" t="n"/>
      <c r="G400" s="14" t="n"/>
      <c r="H400" s="14" t="n"/>
      <c r="I400" s="16" t="n"/>
      <c r="J400" s="16" t="n"/>
      <c r="K400" s="18" t="n"/>
      <c r="L400" s="18" t="n"/>
      <c r="M400" s="15">
        <f>IF($B400="","",IF($C400="","personne non reconnue",IF(ISERROR(SEARCH(TRIM($E400&amp;" "&amp;$D400),$B400)),"libellé incohérent avec l’identifiant",IF(COUNTIFS($A$5:$A$500,$A400,$C$5:$C$500,$C400,$F$5:$F$500,$F400,$G$5:$G$500,$G400)&gt;1,"doublon",IF($F400="","groupe manquant",IF($G400="","rôle manquant",IF($H400="","support de saisie manquant",IF(AND($I400&lt;&gt;"",$J400&lt;&gt;"",$J400&lt;$I400),"date de fin antérieure à la date de début",IF(AND($G400="encadrant",IFERROR(INDEX(Personnes!$F$5:$F$153,MATCH($C400,Personnes!$A$5:$A$153,0)),"")=""),"courriel encadrant manquant","ok")))))))))</f>
        <v/>
      </c>
    </row>
    <row r="401">
      <c r="B401" s="14" t="n"/>
      <c r="C401" s="15">
        <f>IFERROR(MID($B401,FIND("[",$B401)+1,FIND("]",$B401)-FIND("[",$B401)-1),"")</f>
        <v/>
      </c>
      <c r="D401" s="15">
        <f>IFERROR(INDEX(Personnes!$B$5:$B$153,MATCH($C401,Personnes!$A$5:$A$153,0))&amp;"","")</f>
        <v/>
      </c>
      <c r="E401" s="15">
        <f>IFERROR(INDEX(Personnes!$C$5:$C$153,MATCH($C401,Personnes!$A$5:$A$153,0))&amp;"","")</f>
        <v/>
      </c>
      <c r="F401" s="14" t="n"/>
      <c r="G401" s="14" t="n"/>
      <c r="H401" s="14" t="n"/>
      <c r="I401" s="16" t="n"/>
      <c r="J401" s="16" t="n"/>
      <c r="K401" s="18" t="n"/>
      <c r="L401" s="18" t="n"/>
      <c r="M401" s="15">
        <f>IF($B401="","",IF($C401="","personne non reconnue",IF(ISERROR(SEARCH(TRIM($E401&amp;" "&amp;$D401),$B401)),"libellé incohérent avec l’identifiant",IF(COUNTIFS($A$5:$A$500,$A401,$C$5:$C$500,$C401,$F$5:$F$500,$F401,$G$5:$G$500,$G401)&gt;1,"doublon",IF($F401="","groupe manquant",IF($G401="","rôle manquant",IF($H401="","support de saisie manquant",IF(AND($I401&lt;&gt;"",$J401&lt;&gt;"",$J401&lt;$I401),"date de fin antérieure à la date de début",IF(AND($G401="encadrant",IFERROR(INDEX(Personnes!$F$5:$F$153,MATCH($C401,Personnes!$A$5:$A$153,0)),"")=""),"courriel encadrant manquant","ok")))))))))</f>
        <v/>
      </c>
    </row>
    <row r="402">
      <c r="B402" s="14" t="n"/>
      <c r="C402" s="15">
        <f>IFERROR(MID($B402,FIND("[",$B402)+1,FIND("]",$B402)-FIND("[",$B402)-1),"")</f>
        <v/>
      </c>
      <c r="D402" s="15">
        <f>IFERROR(INDEX(Personnes!$B$5:$B$153,MATCH($C402,Personnes!$A$5:$A$153,0))&amp;"","")</f>
        <v/>
      </c>
      <c r="E402" s="15">
        <f>IFERROR(INDEX(Personnes!$C$5:$C$153,MATCH($C402,Personnes!$A$5:$A$153,0))&amp;"","")</f>
        <v/>
      </c>
      <c r="F402" s="14" t="n"/>
      <c r="G402" s="14" t="n"/>
      <c r="H402" s="14" t="n"/>
      <c r="I402" s="16" t="n"/>
      <c r="J402" s="16" t="n"/>
      <c r="K402" s="18" t="n"/>
      <c r="L402" s="18" t="n"/>
      <c r="M402" s="15">
        <f>IF($B402="","",IF($C402="","personne non reconnue",IF(ISERROR(SEARCH(TRIM($E402&amp;" "&amp;$D402),$B402)),"libellé incohérent avec l’identifiant",IF(COUNTIFS($A$5:$A$500,$A402,$C$5:$C$500,$C402,$F$5:$F$500,$F402,$G$5:$G$500,$G402)&gt;1,"doublon",IF($F402="","groupe manquant",IF($G402="","rôle manquant",IF($H402="","support de saisie manquant",IF(AND($I402&lt;&gt;"",$J402&lt;&gt;"",$J402&lt;$I402),"date de fin antérieure à la date de début",IF(AND($G402="encadrant",IFERROR(INDEX(Personnes!$F$5:$F$153,MATCH($C402,Personnes!$A$5:$A$153,0)),"")=""),"courriel encadrant manquant","ok")))))))))</f>
        <v/>
      </c>
    </row>
    <row r="403">
      <c r="B403" s="14" t="n"/>
      <c r="C403" s="15">
        <f>IFERROR(MID($B403,FIND("[",$B403)+1,FIND("]",$B403)-FIND("[",$B403)-1),"")</f>
        <v/>
      </c>
      <c r="D403" s="15">
        <f>IFERROR(INDEX(Personnes!$B$5:$B$153,MATCH($C403,Personnes!$A$5:$A$153,0))&amp;"","")</f>
        <v/>
      </c>
      <c r="E403" s="15">
        <f>IFERROR(INDEX(Personnes!$C$5:$C$153,MATCH($C403,Personnes!$A$5:$A$153,0))&amp;"","")</f>
        <v/>
      </c>
      <c r="F403" s="14" t="n"/>
      <c r="G403" s="14" t="n"/>
      <c r="H403" s="14" t="n"/>
      <c r="I403" s="16" t="n"/>
      <c r="J403" s="16" t="n"/>
      <c r="K403" s="18" t="n"/>
      <c r="L403" s="18" t="n"/>
      <c r="M403" s="15">
        <f>IF($B403="","",IF($C403="","personne non reconnue",IF(ISERROR(SEARCH(TRIM($E403&amp;" "&amp;$D403),$B403)),"libellé incohérent avec l’identifiant",IF(COUNTIFS($A$5:$A$500,$A403,$C$5:$C$500,$C403,$F$5:$F$500,$F403,$G$5:$G$500,$G403)&gt;1,"doublon",IF($F403="","groupe manquant",IF($G403="","rôle manquant",IF($H403="","support de saisie manquant",IF(AND($I403&lt;&gt;"",$J403&lt;&gt;"",$J403&lt;$I403),"date de fin antérieure à la date de début",IF(AND($G403="encadrant",IFERROR(INDEX(Personnes!$F$5:$F$153,MATCH($C403,Personnes!$A$5:$A$153,0)),"")=""),"courriel encadrant manquant","ok")))))))))</f>
        <v/>
      </c>
    </row>
    <row r="404">
      <c r="B404" s="14" t="n"/>
      <c r="C404" s="15">
        <f>IFERROR(MID($B404,FIND("[",$B404)+1,FIND("]",$B404)-FIND("[",$B404)-1),"")</f>
        <v/>
      </c>
      <c r="D404" s="15">
        <f>IFERROR(INDEX(Personnes!$B$5:$B$153,MATCH($C404,Personnes!$A$5:$A$153,0))&amp;"","")</f>
        <v/>
      </c>
      <c r="E404" s="15">
        <f>IFERROR(INDEX(Personnes!$C$5:$C$153,MATCH($C404,Personnes!$A$5:$A$153,0))&amp;"","")</f>
        <v/>
      </c>
      <c r="F404" s="14" t="n"/>
      <c r="G404" s="14" t="n"/>
      <c r="H404" s="14" t="n"/>
      <c r="I404" s="16" t="n"/>
      <c r="J404" s="16" t="n"/>
      <c r="K404" s="18" t="n"/>
      <c r="L404" s="18" t="n"/>
      <c r="M404" s="15">
        <f>IF($B404="","",IF($C404="","personne non reconnue",IF(ISERROR(SEARCH(TRIM($E404&amp;" "&amp;$D404),$B404)),"libellé incohérent avec l’identifiant",IF(COUNTIFS($A$5:$A$500,$A404,$C$5:$C$500,$C404,$F$5:$F$500,$F404,$G$5:$G$500,$G404)&gt;1,"doublon",IF($F404="","groupe manquant",IF($G404="","rôle manquant",IF($H404="","support de saisie manquant",IF(AND($I404&lt;&gt;"",$J404&lt;&gt;"",$J404&lt;$I404),"date de fin antérieure à la date de début",IF(AND($G404="encadrant",IFERROR(INDEX(Personnes!$F$5:$F$153,MATCH($C404,Personnes!$A$5:$A$153,0)),"")=""),"courriel encadrant manquant","ok")))))))))</f>
        <v/>
      </c>
    </row>
    <row r="405">
      <c r="B405" s="14" t="n"/>
      <c r="C405" s="15">
        <f>IFERROR(MID($B405,FIND("[",$B405)+1,FIND("]",$B405)-FIND("[",$B405)-1),"")</f>
        <v/>
      </c>
      <c r="D405" s="15">
        <f>IFERROR(INDEX(Personnes!$B$5:$B$153,MATCH($C405,Personnes!$A$5:$A$153,0))&amp;"","")</f>
        <v/>
      </c>
      <c r="E405" s="15">
        <f>IFERROR(INDEX(Personnes!$C$5:$C$153,MATCH($C405,Personnes!$A$5:$A$153,0))&amp;"","")</f>
        <v/>
      </c>
      <c r="F405" s="14" t="n"/>
      <c r="G405" s="14" t="n"/>
      <c r="H405" s="14" t="n"/>
      <c r="I405" s="16" t="n"/>
      <c r="J405" s="16" t="n"/>
      <c r="K405" s="18" t="n"/>
      <c r="L405" s="18" t="n"/>
      <c r="M405" s="15">
        <f>IF($B405="","",IF($C405="","personne non reconnue",IF(ISERROR(SEARCH(TRIM($E405&amp;" "&amp;$D405),$B405)),"libellé incohérent avec l’identifiant",IF(COUNTIFS($A$5:$A$500,$A405,$C$5:$C$500,$C405,$F$5:$F$500,$F405,$G$5:$G$500,$G405)&gt;1,"doublon",IF($F405="","groupe manquant",IF($G405="","rôle manquant",IF($H405="","support de saisie manquant",IF(AND($I405&lt;&gt;"",$J405&lt;&gt;"",$J405&lt;$I405),"date de fin antérieure à la date de début",IF(AND($G405="encadrant",IFERROR(INDEX(Personnes!$F$5:$F$153,MATCH($C405,Personnes!$A$5:$A$153,0)),"")=""),"courriel encadrant manquant","ok")))))))))</f>
        <v/>
      </c>
    </row>
    <row r="406">
      <c r="B406" s="14" t="n"/>
      <c r="C406" s="15">
        <f>IFERROR(MID($B406,FIND("[",$B406)+1,FIND("]",$B406)-FIND("[",$B406)-1),"")</f>
        <v/>
      </c>
      <c r="D406" s="15">
        <f>IFERROR(INDEX(Personnes!$B$5:$B$153,MATCH($C406,Personnes!$A$5:$A$153,0))&amp;"","")</f>
        <v/>
      </c>
      <c r="E406" s="15">
        <f>IFERROR(INDEX(Personnes!$C$5:$C$153,MATCH($C406,Personnes!$A$5:$A$153,0))&amp;"","")</f>
        <v/>
      </c>
      <c r="F406" s="14" t="n"/>
      <c r="G406" s="14" t="n"/>
      <c r="H406" s="14" t="n"/>
      <c r="I406" s="16" t="n"/>
      <c r="J406" s="16" t="n"/>
      <c r="K406" s="18" t="n"/>
      <c r="L406" s="18" t="n"/>
      <c r="M406" s="15">
        <f>IF($B406="","",IF($C406="","personne non reconnue",IF(ISERROR(SEARCH(TRIM($E406&amp;" "&amp;$D406),$B406)),"libellé incohérent avec l’identifiant",IF(COUNTIFS($A$5:$A$500,$A406,$C$5:$C$500,$C406,$F$5:$F$500,$F406,$G$5:$G$500,$G406)&gt;1,"doublon",IF($F406="","groupe manquant",IF($G406="","rôle manquant",IF($H406="","support de saisie manquant",IF(AND($I406&lt;&gt;"",$J406&lt;&gt;"",$J406&lt;$I406),"date de fin antérieure à la date de début",IF(AND($G406="encadrant",IFERROR(INDEX(Personnes!$F$5:$F$153,MATCH($C406,Personnes!$A$5:$A$153,0)),"")=""),"courriel encadrant manquant","ok")))))))))</f>
        <v/>
      </c>
    </row>
    <row r="407">
      <c r="B407" s="14" t="n"/>
      <c r="C407" s="15">
        <f>IFERROR(MID($B407,FIND("[",$B407)+1,FIND("]",$B407)-FIND("[",$B407)-1),"")</f>
        <v/>
      </c>
      <c r="D407" s="15">
        <f>IFERROR(INDEX(Personnes!$B$5:$B$153,MATCH($C407,Personnes!$A$5:$A$153,0))&amp;"","")</f>
        <v/>
      </c>
      <c r="E407" s="15">
        <f>IFERROR(INDEX(Personnes!$C$5:$C$153,MATCH($C407,Personnes!$A$5:$A$153,0))&amp;"","")</f>
        <v/>
      </c>
      <c r="F407" s="14" t="n"/>
      <c r="G407" s="14" t="n"/>
      <c r="H407" s="14" t="n"/>
      <c r="I407" s="16" t="n"/>
      <c r="J407" s="16" t="n"/>
      <c r="K407" s="18" t="n"/>
      <c r="L407" s="18" t="n"/>
      <c r="M407" s="15">
        <f>IF($B407="","",IF($C407="","personne non reconnue",IF(ISERROR(SEARCH(TRIM($E407&amp;" "&amp;$D407),$B407)),"libellé incohérent avec l’identifiant",IF(COUNTIFS($A$5:$A$500,$A407,$C$5:$C$500,$C407,$F$5:$F$500,$F407,$G$5:$G$500,$G407)&gt;1,"doublon",IF($F407="","groupe manquant",IF($G407="","rôle manquant",IF($H407="","support de saisie manquant",IF(AND($I407&lt;&gt;"",$J407&lt;&gt;"",$J407&lt;$I407),"date de fin antérieure à la date de début",IF(AND($G407="encadrant",IFERROR(INDEX(Personnes!$F$5:$F$153,MATCH($C407,Personnes!$A$5:$A$153,0)),"")=""),"courriel encadrant manquant","ok")))))))))</f>
        <v/>
      </c>
    </row>
    <row r="408">
      <c r="B408" s="14" t="n"/>
      <c r="C408" s="15">
        <f>IFERROR(MID($B408,FIND("[",$B408)+1,FIND("]",$B408)-FIND("[",$B408)-1),"")</f>
        <v/>
      </c>
      <c r="D408" s="15">
        <f>IFERROR(INDEX(Personnes!$B$5:$B$153,MATCH($C408,Personnes!$A$5:$A$153,0))&amp;"","")</f>
        <v/>
      </c>
      <c r="E408" s="15">
        <f>IFERROR(INDEX(Personnes!$C$5:$C$153,MATCH($C408,Personnes!$A$5:$A$153,0))&amp;"","")</f>
        <v/>
      </c>
      <c r="F408" s="14" t="n"/>
      <c r="G408" s="14" t="n"/>
      <c r="H408" s="14" t="n"/>
      <c r="I408" s="16" t="n"/>
      <c r="J408" s="16" t="n"/>
      <c r="K408" s="18" t="n"/>
      <c r="L408" s="18" t="n"/>
      <c r="M408" s="15">
        <f>IF($B408="","",IF($C408="","personne non reconnue",IF(ISERROR(SEARCH(TRIM($E408&amp;" "&amp;$D408),$B408)),"libellé incohérent avec l’identifiant",IF(COUNTIFS($A$5:$A$500,$A408,$C$5:$C$500,$C408,$F$5:$F$500,$F408,$G$5:$G$500,$G408)&gt;1,"doublon",IF($F408="","groupe manquant",IF($G408="","rôle manquant",IF($H408="","support de saisie manquant",IF(AND($I408&lt;&gt;"",$J408&lt;&gt;"",$J408&lt;$I408),"date de fin antérieure à la date de début",IF(AND($G408="encadrant",IFERROR(INDEX(Personnes!$F$5:$F$153,MATCH($C408,Personnes!$A$5:$A$153,0)),"")=""),"courriel encadrant manquant","ok")))))))))</f>
        <v/>
      </c>
    </row>
    <row r="409">
      <c r="B409" s="14" t="n"/>
      <c r="C409" s="15">
        <f>IFERROR(MID($B409,FIND("[",$B409)+1,FIND("]",$B409)-FIND("[",$B409)-1),"")</f>
        <v/>
      </c>
      <c r="D409" s="15">
        <f>IFERROR(INDEX(Personnes!$B$5:$B$153,MATCH($C409,Personnes!$A$5:$A$153,0))&amp;"","")</f>
        <v/>
      </c>
      <c r="E409" s="15">
        <f>IFERROR(INDEX(Personnes!$C$5:$C$153,MATCH($C409,Personnes!$A$5:$A$153,0))&amp;"","")</f>
        <v/>
      </c>
      <c r="F409" s="14" t="n"/>
      <c r="G409" s="14" t="n"/>
      <c r="H409" s="14" t="n"/>
      <c r="I409" s="16" t="n"/>
      <c r="J409" s="16" t="n"/>
      <c r="K409" s="18" t="n"/>
      <c r="L409" s="18" t="n"/>
      <c r="M409" s="15">
        <f>IF($B409="","",IF($C409="","personne non reconnue",IF(ISERROR(SEARCH(TRIM($E409&amp;" "&amp;$D409),$B409)),"libellé incohérent avec l’identifiant",IF(COUNTIFS($A$5:$A$500,$A409,$C$5:$C$500,$C409,$F$5:$F$500,$F409,$G$5:$G$500,$G409)&gt;1,"doublon",IF($F409="","groupe manquant",IF($G409="","rôle manquant",IF($H409="","support de saisie manquant",IF(AND($I409&lt;&gt;"",$J409&lt;&gt;"",$J409&lt;$I409),"date de fin antérieure à la date de début",IF(AND($G409="encadrant",IFERROR(INDEX(Personnes!$F$5:$F$153,MATCH($C409,Personnes!$A$5:$A$153,0)),"")=""),"courriel encadrant manquant","ok")))))))))</f>
        <v/>
      </c>
    </row>
    <row r="410">
      <c r="B410" s="14" t="n"/>
      <c r="C410" s="15">
        <f>IFERROR(MID($B410,FIND("[",$B410)+1,FIND("]",$B410)-FIND("[",$B410)-1),"")</f>
        <v/>
      </c>
      <c r="D410" s="15">
        <f>IFERROR(INDEX(Personnes!$B$5:$B$153,MATCH($C410,Personnes!$A$5:$A$153,0))&amp;"","")</f>
        <v/>
      </c>
      <c r="E410" s="15">
        <f>IFERROR(INDEX(Personnes!$C$5:$C$153,MATCH($C410,Personnes!$A$5:$A$153,0))&amp;"","")</f>
        <v/>
      </c>
      <c r="F410" s="14" t="n"/>
      <c r="G410" s="14" t="n"/>
      <c r="H410" s="14" t="n"/>
      <c r="I410" s="16" t="n"/>
      <c r="J410" s="16" t="n"/>
      <c r="K410" s="18" t="n"/>
      <c r="L410" s="18" t="n"/>
      <c r="M410" s="15">
        <f>IF($B410="","",IF($C410="","personne non reconnue",IF(ISERROR(SEARCH(TRIM($E410&amp;" "&amp;$D410),$B410)),"libellé incohérent avec l’identifiant",IF(COUNTIFS($A$5:$A$500,$A410,$C$5:$C$500,$C410,$F$5:$F$500,$F410,$G$5:$G$500,$G410)&gt;1,"doublon",IF($F410="","groupe manquant",IF($G410="","rôle manquant",IF($H410="","support de saisie manquant",IF(AND($I410&lt;&gt;"",$J410&lt;&gt;"",$J410&lt;$I410),"date de fin antérieure à la date de début",IF(AND($G410="encadrant",IFERROR(INDEX(Personnes!$F$5:$F$153,MATCH($C410,Personnes!$A$5:$A$153,0)),"")=""),"courriel encadrant manquant","ok")))))))))</f>
        <v/>
      </c>
    </row>
    <row r="411">
      <c r="B411" s="14" t="n"/>
      <c r="C411" s="15">
        <f>IFERROR(MID($B411,FIND("[",$B411)+1,FIND("]",$B411)-FIND("[",$B411)-1),"")</f>
        <v/>
      </c>
      <c r="D411" s="15">
        <f>IFERROR(INDEX(Personnes!$B$5:$B$153,MATCH($C411,Personnes!$A$5:$A$153,0))&amp;"","")</f>
        <v/>
      </c>
      <c r="E411" s="15">
        <f>IFERROR(INDEX(Personnes!$C$5:$C$153,MATCH($C411,Personnes!$A$5:$A$153,0))&amp;"","")</f>
        <v/>
      </c>
      <c r="F411" s="14" t="n"/>
      <c r="G411" s="14" t="n"/>
      <c r="H411" s="14" t="n"/>
      <c r="I411" s="16" t="n"/>
      <c r="J411" s="16" t="n"/>
      <c r="K411" s="18" t="n"/>
      <c r="L411" s="18" t="n"/>
      <c r="M411" s="15">
        <f>IF($B411="","",IF($C411="","personne non reconnue",IF(ISERROR(SEARCH(TRIM($E411&amp;" "&amp;$D411),$B411)),"libellé incohérent avec l’identifiant",IF(COUNTIFS($A$5:$A$500,$A411,$C$5:$C$500,$C411,$F$5:$F$500,$F411,$G$5:$G$500,$G411)&gt;1,"doublon",IF($F411="","groupe manquant",IF($G411="","rôle manquant",IF($H411="","support de saisie manquant",IF(AND($I411&lt;&gt;"",$J411&lt;&gt;"",$J411&lt;$I411),"date de fin antérieure à la date de début",IF(AND($G411="encadrant",IFERROR(INDEX(Personnes!$F$5:$F$153,MATCH($C411,Personnes!$A$5:$A$153,0)),"")=""),"courriel encadrant manquant","ok")))))))))</f>
        <v/>
      </c>
    </row>
    <row r="412">
      <c r="B412" s="14" t="n"/>
      <c r="C412" s="15">
        <f>IFERROR(MID($B412,FIND("[",$B412)+1,FIND("]",$B412)-FIND("[",$B412)-1),"")</f>
        <v/>
      </c>
      <c r="D412" s="15">
        <f>IFERROR(INDEX(Personnes!$B$5:$B$153,MATCH($C412,Personnes!$A$5:$A$153,0))&amp;"","")</f>
        <v/>
      </c>
      <c r="E412" s="15">
        <f>IFERROR(INDEX(Personnes!$C$5:$C$153,MATCH($C412,Personnes!$A$5:$A$153,0))&amp;"","")</f>
        <v/>
      </c>
      <c r="F412" s="14" t="n"/>
      <c r="G412" s="14" t="n"/>
      <c r="H412" s="14" t="n"/>
      <c r="I412" s="16" t="n"/>
      <c r="J412" s="16" t="n"/>
      <c r="K412" s="18" t="n"/>
      <c r="L412" s="18" t="n"/>
      <c r="M412" s="15">
        <f>IF($B412="","",IF($C412="","personne non reconnue",IF(ISERROR(SEARCH(TRIM($E412&amp;" "&amp;$D412),$B412)),"libellé incohérent avec l’identifiant",IF(COUNTIFS($A$5:$A$500,$A412,$C$5:$C$500,$C412,$F$5:$F$500,$F412,$G$5:$G$500,$G412)&gt;1,"doublon",IF($F412="","groupe manquant",IF($G412="","rôle manquant",IF($H412="","support de saisie manquant",IF(AND($I412&lt;&gt;"",$J412&lt;&gt;"",$J412&lt;$I412),"date de fin antérieure à la date de début",IF(AND($G412="encadrant",IFERROR(INDEX(Personnes!$F$5:$F$153,MATCH($C412,Personnes!$A$5:$A$153,0)),"")=""),"courriel encadrant manquant","ok")))))))))</f>
        <v/>
      </c>
    </row>
    <row r="413">
      <c r="B413" s="14" t="n"/>
      <c r="C413" s="15">
        <f>IFERROR(MID($B413,FIND("[",$B413)+1,FIND("]",$B413)-FIND("[",$B413)-1),"")</f>
        <v/>
      </c>
      <c r="D413" s="15">
        <f>IFERROR(INDEX(Personnes!$B$5:$B$153,MATCH($C413,Personnes!$A$5:$A$153,0))&amp;"","")</f>
        <v/>
      </c>
      <c r="E413" s="15">
        <f>IFERROR(INDEX(Personnes!$C$5:$C$153,MATCH($C413,Personnes!$A$5:$A$153,0))&amp;"","")</f>
        <v/>
      </c>
      <c r="F413" s="14" t="n"/>
      <c r="G413" s="14" t="n"/>
      <c r="H413" s="14" t="n"/>
      <c r="I413" s="16" t="n"/>
      <c r="J413" s="16" t="n"/>
      <c r="K413" s="18" t="n"/>
      <c r="L413" s="18" t="n"/>
      <c r="M413" s="15">
        <f>IF($B413="","",IF($C413="","personne non reconnue",IF(ISERROR(SEARCH(TRIM($E413&amp;" "&amp;$D413),$B413)),"libellé incohérent avec l’identifiant",IF(COUNTIFS($A$5:$A$500,$A413,$C$5:$C$500,$C413,$F$5:$F$500,$F413,$G$5:$G$500,$G413)&gt;1,"doublon",IF($F413="","groupe manquant",IF($G413="","rôle manquant",IF($H413="","support de saisie manquant",IF(AND($I413&lt;&gt;"",$J413&lt;&gt;"",$J413&lt;$I413),"date de fin antérieure à la date de début",IF(AND($G413="encadrant",IFERROR(INDEX(Personnes!$F$5:$F$153,MATCH($C413,Personnes!$A$5:$A$153,0)),"")=""),"courriel encadrant manquant","ok")))))))))</f>
        <v/>
      </c>
    </row>
    <row r="414">
      <c r="B414" s="14" t="n"/>
      <c r="C414" s="15">
        <f>IFERROR(MID($B414,FIND("[",$B414)+1,FIND("]",$B414)-FIND("[",$B414)-1),"")</f>
        <v/>
      </c>
      <c r="D414" s="15">
        <f>IFERROR(INDEX(Personnes!$B$5:$B$153,MATCH($C414,Personnes!$A$5:$A$153,0))&amp;"","")</f>
        <v/>
      </c>
      <c r="E414" s="15">
        <f>IFERROR(INDEX(Personnes!$C$5:$C$153,MATCH($C414,Personnes!$A$5:$A$153,0))&amp;"","")</f>
        <v/>
      </c>
      <c r="F414" s="14" t="n"/>
      <c r="G414" s="14" t="n"/>
      <c r="H414" s="14" t="n"/>
      <c r="I414" s="16" t="n"/>
      <c r="J414" s="16" t="n"/>
      <c r="K414" s="18" t="n"/>
      <c r="L414" s="18" t="n"/>
      <c r="M414" s="15">
        <f>IF($B414="","",IF($C414="","personne non reconnue",IF(ISERROR(SEARCH(TRIM($E414&amp;" "&amp;$D414),$B414)),"libellé incohérent avec l’identifiant",IF(COUNTIFS($A$5:$A$500,$A414,$C$5:$C$500,$C414,$F$5:$F$500,$F414,$G$5:$G$500,$G414)&gt;1,"doublon",IF($F414="","groupe manquant",IF($G414="","rôle manquant",IF($H414="","support de saisie manquant",IF(AND($I414&lt;&gt;"",$J414&lt;&gt;"",$J414&lt;$I414),"date de fin antérieure à la date de début",IF(AND($G414="encadrant",IFERROR(INDEX(Personnes!$F$5:$F$153,MATCH($C414,Personnes!$A$5:$A$153,0)),"")=""),"courriel encadrant manquant","ok")))))))))</f>
        <v/>
      </c>
    </row>
    <row r="415">
      <c r="B415" s="14" t="n"/>
      <c r="C415" s="15">
        <f>IFERROR(MID($B415,FIND("[",$B415)+1,FIND("]",$B415)-FIND("[",$B415)-1),"")</f>
        <v/>
      </c>
      <c r="D415" s="15">
        <f>IFERROR(INDEX(Personnes!$B$5:$B$153,MATCH($C415,Personnes!$A$5:$A$153,0))&amp;"","")</f>
        <v/>
      </c>
      <c r="E415" s="15">
        <f>IFERROR(INDEX(Personnes!$C$5:$C$153,MATCH($C415,Personnes!$A$5:$A$153,0))&amp;"","")</f>
        <v/>
      </c>
      <c r="F415" s="14" t="n"/>
      <c r="G415" s="14" t="n"/>
      <c r="H415" s="14" t="n"/>
      <c r="I415" s="16" t="n"/>
      <c r="J415" s="16" t="n"/>
      <c r="K415" s="18" t="n"/>
      <c r="L415" s="18" t="n"/>
      <c r="M415" s="15">
        <f>IF($B415="","",IF($C415="","personne non reconnue",IF(ISERROR(SEARCH(TRIM($E415&amp;" "&amp;$D415),$B415)),"libellé incohérent avec l’identifiant",IF(COUNTIFS($A$5:$A$500,$A415,$C$5:$C$500,$C415,$F$5:$F$500,$F415,$G$5:$G$500,$G415)&gt;1,"doublon",IF($F415="","groupe manquant",IF($G415="","rôle manquant",IF($H415="","support de saisie manquant",IF(AND($I415&lt;&gt;"",$J415&lt;&gt;"",$J415&lt;$I415),"date de fin antérieure à la date de début",IF(AND($G415="encadrant",IFERROR(INDEX(Personnes!$F$5:$F$153,MATCH($C415,Personnes!$A$5:$A$153,0)),"")=""),"courriel encadrant manquant","ok")))))))))</f>
        <v/>
      </c>
    </row>
    <row r="416">
      <c r="B416" s="14" t="n"/>
      <c r="C416" s="15">
        <f>IFERROR(MID($B416,FIND("[",$B416)+1,FIND("]",$B416)-FIND("[",$B416)-1),"")</f>
        <v/>
      </c>
      <c r="D416" s="15">
        <f>IFERROR(INDEX(Personnes!$B$5:$B$153,MATCH($C416,Personnes!$A$5:$A$153,0))&amp;"","")</f>
        <v/>
      </c>
      <c r="E416" s="15">
        <f>IFERROR(INDEX(Personnes!$C$5:$C$153,MATCH($C416,Personnes!$A$5:$A$153,0))&amp;"","")</f>
        <v/>
      </c>
      <c r="F416" s="14" t="n"/>
      <c r="G416" s="14" t="n"/>
      <c r="H416" s="14" t="n"/>
      <c r="I416" s="16" t="n"/>
      <c r="J416" s="16" t="n"/>
      <c r="K416" s="18" t="n"/>
      <c r="L416" s="18" t="n"/>
      <c r="M416" s="15">
        <f>IF($B416="","",IF($C416="","personne non reconnue",IF(ISERROR(SEARCH(TRIM($E416&amp;" "&amp;$D416),$B416)),"libellé incohérent avec l’identifiant",IF(COUNTIFS($A$5:$A$500,$A416,$C$5:$C$500,$C416,$F$5:$F$500,$F416,$G$5:$G$500,$G416)&gt;1,"doublon",IF($F416="","groupe manquant",IF($G416="","rôle manquant",IF($H416="","support de saisie manquant",IF(AND($I416&lt;&gt;"",$J416&lt;&gt;"",$J416&lt;$I416),"date de fin antérieure à la date de début",IF(AND($G416="encadrant",IFERROR(INDEX(Personnes!$F$5:$F$153,MATCH($C416,Personnes!$A$5:$A$153,0)),"")=""),"courriel encadrant manquant","ok")))))))))</f>
        <v/>
      </c>
    </row>
    <row r="417">
      <c r="B417" s="14" t="n"/>
      <c r="C417" s="15">
        <f>IFERROR(MID($B417,FIND("[",$B417)+1,FIND("]",$B417)-FIND("[",$B417)-1),"")</f>
        <v/>
      </c>
      <c r="D417" s="15">
        <f>IFERROR(INDEX(Personnes!$B$5:$B$153,MATCH($C417,Personnes!$A$5:$A$153,0))&amp;"","")</f>
        <v/>
      </c>
      <c r="E417" s="15">
        <f>IFERROR(INDEX(Personnes!$C$5:$C$153,MATCH($C417,Personnes!$A$5:$A$153,0))&amp;"","")</f>
        <v/>
      </c>
      <c r="F417" s="14" t="n"/>
      <c r="G417" s="14" t="n"/>
      <c r="H417" s="14" t="n"/>
      <c r="I417" s="16" t="n"/>
      <c r="J417" s="16" t="n"/>
      <c r="K417" s="18" t="n"/>
      <c r="L417" s="18" t="n"/>
      <c r="M417" s="15">
        <f>IF($B417="","",IF($C417="","personne non reconnue",IF(ISERROR(SEARCH(TRIM($E417&amp;" "&amp;$D417),$B417)),"libellé incohérent avec l’identifiant",IF(COUNTIFS($A$5:$A$500,$A417,$C$5:$C$500,$C417,$F$5:$F$500,$F417,$G$5:$G$500,$G417)&gt;1,"doublon",IF($F417="","groupe manquant",IF($G417="","rôle manquant",IF($H417="","support de saisie manquant",IF(AND($I417&lt;&gt;"",$J417&lt;&gt;"",$J417&lt;$I417),"date de fin antérieure à la date de début",IF(AND($G417="encadrant",IFERROR(INDEX(Personnes!$F$5:$F$153,MATCH($C417,Personnes!$A$5:$A$153,0)),"")=""),"courriel encadrant manquant","ok")))))))))</f>
        <v/>
      </c>
    </row>
    <row r="418">
      <c r="B418" s="14" t="n"/>
      <c r="C418" s="15">
        <f>IFERROR(MID($B418,FIND("[",$B418)+1,FIND("]",$B418)-FIND("[",$B418)-1),"")</f>
        <v/>
      </c>
      <c r="D418" s="15">
        <f>IFERROR(INDEX(Personnes!$B$5:$B$153,MATCH($C418,Personnes!$A$5:$A$153,0))&amp;"","")</f>
        <v/>
      </c>
      <c r="E418" s="15">
        <f>IFERROR(INDEX(Personnes!$C$5:$C$153,MATCH($C418,Personnes!$A$5:$A$153,0))&amp;"","")</f>
        <v/>
      </c>
      <c r="F418" s="14" t="n"/>
      <c r="G418" s="14" t="n"/>
      <c r="H418" s="14" t="n"/>
      <c r="I418" s="16" t="n"/>
      <c r="J418" s="16" t="n"/>
      <c r="K418" s="18" t="n"/>
      <c r="L418" s="18" t="n"/>
      <c r="M418" s="15">
        <f>IF($B418="","",IF($C418="","personne non reconnue",IF(ISERROR(SEARCH(TRIM($E418&amp;" "&amp;$D418),$B418)),"libellé incohérent avec l’identifiant",IF(COUNTIFS($A$5:$A$500,$A418,$C$5:$C$500,$C418,$F$5:$F$500,$F418,$G$5:$G$500,$G418)&gt;1,"doublon",IF($F418="","groupe manquant",IF($G418="","rôle manquant",IF($H418="","support de saisie manquant",IF(AND($I418&lt;&gt;"",$J418&lt;&gt;"",$J418&lt;$I418),"date de fin antérieure à la date de début",IF(AND($G418="encadrant",IFERROR(INDEX(Personnes!$F$5:$F$153,MATCH($C418,Personnes!$A$5:$A$153,0)),"")=""),"courriel encadrant manquant","ok")))))))))</f>
        <v/>
      </c>
    </row>
    <row r="419">
      <c r="B419" s="14" t="n"/>
      <c r="C419" s="15">
        <f>IFERROR(MID($B419,FIND("[",$B419)+1,FIND("]",$B419)-FIND("[",$B419)-1),"")</f>
        <v/>
      </c>
      <c r="D419" s="15">
        <f>IFERROR(INDEX(Personnes!$B$5:$B$153,MATCH($C419,Personnes!$A$5:$A$153,0))&amp;"","")</f>
        <v/>
      </c>
      <c r="E419" s="15">
        <f>IFERROR(INDEX(Personnes!$C$5:$C$153,MATCH($C419,Personnes!$A$5:$A$153,0))&amp;"","")</f>
        <v/>
      </c>
      <c r="F419" s="14" t="n"/>
      <c r="G419" s="14" t="n"/>
      <c r="H419" s="14" t="n"/>
      <c r="I419" s="16" t="n"/>
      <c r="J419" s="16" t="n"/>
      <c r="K419" s="18" t="n"/>
      <c r="L419" s="18" t="n"/>
      <c r="M419" s="15">
        <f>IF($B419="","",IF($C419="","personne non reconnue",IF(ISERROR(SEARCH(TRIM($E419&amp;" "&amp;$D419),$B419)),"libellé incohérent avec l’identifiant",IF(COUNTIFS($A$5:$A$500,$A419,$C$5:$C$500,$C419,$F$5:$F$500,$F419,$G$5:$G$500,$G419)&gt;1,"doublon",IF($F419="","groupe manquant",IF($G419="","rôle manquant",IF($H419="","support de saisie manquant",IF(AND($I419&lt;&gt;"",$J419&lt;&gt;"",$J419&lt;$I419),"date de fin antérieure à la date de début",IF(AND($G419="encadrant",IFERROR(INDEX(Personnes!$F$5:$F$153,MATCH($C419,Personnes!$A$5:$A$153,0)),"")=""),"courriel encadrant manquant","ok")))))))))</f>
        <v/>
      </c>
    </row>
    <row r="420">
      <c r="B420" s="14" t="n"/>
      <c r="C420" s="15">
        <f>IFERROR(MID($B420,FIND("[",$B420)+1,FIND("]",$B420)-FIND("[",$B420)-1),"")</f>
        <v/>
      </c>
      <c r="D420" s="15">
        <f>IFERROR(INDEX(Personnes!$B$5:$B$153,MATCH($C420,Personnes!$A$5:$A$153,0))&amp;"","")</f>
        <v/>
      </c>
      <c r="E420" s="15">
        <f>IFERROR(INDEX(Personnes!$C$5:$C$153,MATCH($C420,Personnes!$A$5:$A$153,0))&amp;"","")</f>
        <v/>
      </c>
      <c r="F420" s="14" t="n"/>
      <c r="G420" s="14" t="n"/>
      <c r="H420" s="14" t="n"/>
      <c r="I420" s="16" t="n"/>
      <c r="J420" s="16" t="n"/>
      <c r="K420" s="18" t="n"/>
      <c r="L420" s="18" t="n"/>
      <c r="M420" s="15">
        <f>IF($B420="","",IF($C420="","personne non reconnue",IF(ISERROR(SEARCH(TRIM($E420&amp;" "&amp;$D420),$B420)),"libellé incohérent avec l’identifiant",IF(COUNTIFS($A$5:$A$500,$A420,$C$5:$C$500,$C420,$F$5:$F$500,$F420,$G$5:$G$500,$G420)&gt;1,"doublon",IF($F420="","groupe manquant",IF($G420="","rôle manquant",IF($H420="","support de saisie manquant",IF(AND($I420&lt;&gt;"",$J420&lt;&gt;"",$J420&lt;$I420),"date de fin antérieure à la date de début",IF(AND($G420="encadrant",IFERROR(INDEX(Personnes!$F$5:$F$153,MATCH($C420,Personnes!$A$5:$A$153,0)),"")=""),"courriel encadrant manquant","ok")))))))))</f>
        <v/>
      </c>
    </row>
    <row r="421">
      <c r="B421" s="14" t="n"/>
      <c r="C421" s="15">
        <f>IFERROR(MID($B421,FIND("[",$B421)+1,FIND("]",$B421)-FIND("[",$B421)-1),"")</f>
        <v/>
      </c>
      <c r="D421" s="15">
        <f>IFERROR(INDEX(Personnes!$B$5:$B$153,MATCH($C421,Personnes!$A$5:$A$153,0))&amp;"","")</f>
        <v/>
      </c>
      <c r="E421" s="15">
        <f>IFERROR(INDEX(Personnes!$C$5:$C$153,MATCH($C421,Personnes!$A$5:$A$153,0))&amp;"","")</f>
        <v/>
      </c>
      <c r="F421" s="14" t="n"/>
      <c r="G421" s="14" t="n"/>
      <c r="H421" s="14" t="n"/>
      <c r="I421" s="16" t="n"/>
      <c r="J421" s="16" t="n"/>
      <c r="K421" s="18" t="n"/>
      <c r="L421" s="18" t="n"/>
      <c r="M421" s="15">
        <f>IF($B421="","",IF($C421="","personne non reconnue",IF(ISERROR(SEARCH(TRIM($E421&amp;" "&amp;$D421),$B421)),"libellé incohérent avec l’identifiant",IF(COUNTIFS($A$5:$A$500,$A421,$C$5:$C$500,$C421,$F$5:$F$500,$F421,$G$5:$G$500,$G421)&gt;1,"doublon",IF($F421="","groupe manquant",IF($G421="","rôle manquant",IF($H421="","support de saisie manquant",IF(AND($I421&lt;&gt;"",$J421&lt;&gt;"",$J421&lt;$I421),"date de fin antérieure à la date de début",IF(AND($G421="encadrant",IFERROR(INDEX(Personnes!$F$5:$F$153,MATCH($C421,Personnes!$A$5:$A$153,0)),"")=""),"courriel encadrant manquant","ok")))))))))</f>
        <v/>
      </c>
    </row>
    <row r="422">
      <c r="B422" s="14" t="n"/>
      <c r="C422" s="15">
        <f>IFERROR(MID($B422,FIND("[",$B422)+1,FIND("]",$B422)-FIND("[",$B422)-1),"")</f>
        <v/>
      </c>
      <c r="D422" s="15">
        <f>IFERROR(INDEX(Personnes!$B$5:$B$153,MATCH($C422,Personnes!$A$5:$A$153,0))&amp;"","")</f>
        <v/>
      </c>
      <c r="E422" s="15">
        <f>IFERROR(INDEX(Personnes!$C$5:$C$153,MATCH($C422,Personnes!$A$5:$A$153,0))&amp;"","")</f>
        <v/>
      </c>
      <c r="F422" s="14" t="n"/>
      <c r="G422" s="14" t="n"/>
      <c r="H422" s="14" t="n"/>
      <c r="I422" s="16" t="n"/>
      <c r="J422" s="16" t="n"/>
      <c r="K422" s="18" t="n"/>
      <c r="L422" s="18" t="n"/>
      <c r="M422" s="15">
        <f>IF($B422="","",IF($C422="","personne non reconnue",IF(ISERROR(SEARCH(TRIM($E422&amp;" "&amp;$D422),$B422)),"libellé incohérent avec l’identifiant",IF(COUNTIFS($A$5:$A$500,$A422,$C$5:$C$500,$C422,$F$5:$F$500,$F422,$G$5:$G$500,$G422)&gt;1,"doublon",IF($F422="","groupe manquant",IF($G422="","rôle manquant",IF($H422="","support de saisie manquant",IF(AND($I422&lt;&gt;"",$J422&lt;&gt;"",$J422&lt;$I422),"date de fin antérieure à la date de début",IF(AND($G422="encadrant",IFERROR(INDEX(Personnes!$F$5:$F$153,MATCH($C422,Personnes!$A$5:$A$153,0)),"")=""),"courriel encadrant manquant","ok")))))))))</f>
        <v/>
      </c>
    </row>
    <row r="423">
      <c r="B423" s="14" t="n"/>
      <c r="C423" s="15">
        <f>IFERROR(MID($B423,FIND("[",$B423)+1,FIND("]",$B423)-FIND("[",$B423)-1),"")</f>
        <v/>
      </c>
      <c r="D423" s="15">
        <f>IFERROR(INDEX(Personnes!$B$5:$B$153,MATCH($C423,Personnes!$A$5:$A$153,0))&amp;"","")</f>
        <v/>
      </c>
      <c r="E423" s="15">
        <f>IFERROR(INDEX(Personnes!$C$5:$C$153,MATCH($C423,Personnes!$A$5:$A$153,0))&amp;"","")</f>
        <v/>
      </c>
      <c r="F423" s="14" t="n"/>
      <c r="G423" s="14" t="n"/>
      <c r="H423" s="14" t="n"/>
      <c r="I423" s="16" t="n"/>
      <c r="J423" s="16" t="n"/>
      <c r="K423" s="18" t="n"/>
      <c r="L423" s="18" t="n"/>
      <c r="M423" s="15">
        <f>IF($B423="","",IF($C423="","personne non reconnue",IF(ISERROR(SEARCH(TRIM($E423&amp;" "&amp;$D423),$B423)),"libellé incohérent avec l’identifiant",IF(COUNTIFS($A$5:$A$500,$A423,$C$5:$C$500,$C423,$F$5:$F$500,$F423,$G$5:$G$500,$G423)&gt;1,"doublon",IF($F423="","groupe manquant",IF($G423="","rôle manquant",IF($H423="","support de saisie manquant",IF(AND($I423&lt;&gt;"",$J423&lt;&gt;"",$J423&lt;$I423),"date de fin antérieure à la date de début",IF(AND($G423="encadrant",IFERROR(INDEX(Personnes!$F$5:$F$153,MATCH($C423,Personnes!$A$5:$A$153,0)),"")=""),"courriel encadrant manquant","ok")))))))))</f>
        <v/>
      </c>
    </row>
    <row r="424">
      <c r="B424" s="14" t="n"/>
      <c r="C424" s="15">
        <f>IFERROR(MID($B424,FIND("[",$B424)+1,FIND("]",$B424)-FIND("[",$B424)-1),"")</f>
        <v/>
      </c>
      <c r="D424" s="15">
        <f>IFERROR(INDEX(Personnes!$B$5:$B$153,MATCH($C424,Personnes!$A$5:$A$153,0))&amp;"","")</f>
        <v/>
      </c>
      <c r="E424" s="15">
        <f>IFERROR(INDEX(Personnes!$C$5:$C$153,MATCH($C424,Personnes!$A$5:$A$153,0))&amp;"","")</f>
        <v/>
      </c>
      <c r="F424" s="14" t="n"/>
      <c r="G424" s="14" t="n"/>
      <c r="H424" s="14" t="n"/>
      <c r="I424" s="16" t="n"/>
      <c r="J424" s="16" t="n"/>
      <c r="K424" s="18" t="n"/>
      <c r="L424" s="18" t="n"/>
      <c r="M424" s="15">
        <f>IF($B424="","",IF($C424="","personne non reconnue",IF(ISERROR(SEARCH(TRIM($E424&amp;" "&amp;$D424),$B424)),"libellé incohérent avec l’identifiant",IF(COUNTIFS($A$5:$A$500,$A424,$C$5:$C$500,$C424,$F$5:$F$500,$F424,$G$5:$G$500,$G424)&gt;1,"doublon",IF($F424="","groupe manquant",IF($G424="","rôle manquant",IF($H424="","support de saisie manquant",IF(AND($I424&lt;&gt;"",$J424&lt;&gt;"",$J424&lt;$I424),"date de fin antérieure à la date de début",IF(AND($G424="encadrant",IFERROR(INDEX(Personnes!$F$5:$F$153,MATCH($C424,Personnes!$A$5:$A$153,0)),"")=""),"courriel encadrant manquant","ok")))))))))</f>
        <v/>
      </c>
    </row>
    <row r="425">
      <c r="B425" s="14" t="n"/>
      <c r="C425" s="15">
        <f>IFERROR(MID($B425,FIND("[",$B425)+1,FIND("]",$B425)-FIND("[",$B425)-1),"")</f>
        <v/>
      </c>
      <c r="D425" s="15">
        <f>IFERROR(INDEX(Personnes!$B$5:$B$153,MATCH($C425,Personnes!$A$5:$A$153,0))&amp;"","")</f>
        <v/>
      </c>
      <c r="E425" s="15">
        <f>IFERROR(INDEX(Personnes!$C$5:$C$153,MATCH($C425,Personnes!$A$5:$A$153,0))&amp;"","")</f>
        <v/>
      </c>
      <c r="F425" s="14" t="n"/>
      <c r="G425" s="14" t="n"/>
      <c r="H425" s="14" t="n"/>
      <c r="I425" s="16" t="n"/>
      <c r="J425" s="16" t="n"/>
      <c r="K425" s="18" t="n"/>
      <c r="L425" s="18" t="n"/>
      <c r="M425" s="15">
        <f>IF($B425="","",IF($C425="","personne non reconnue",IF(ISERROR(SEARCH(TRIM($E425&amp;" "&amp;$D425),$B425)),"libellé incohérent avec l’identifiant",IF(COUNTIFS($A$5:$A$500,$A425,$C$5:$C$500,$C425,$F$5:$F$500,$F425,$G$5:$G$500,$G425)&gt;1,"doublon",IF($F425="","groupe manquant",IF($G425="","rôle manquant",IF($H425="","support de saisie manquant",IF(AND($I425&lt;&gt;"",$J425&lt;&gt;"",$J425&lt;$I425),"date de fin antérieure à la date de début",IF(AND($G425="encadrant",IFERROR(INDEX(Personnes!$F$5:$F$153,MATCH($C425,Personnes!$A$5:$A$153,0)),"")=""),"courriel encadrant manquant","ok")))))))))</f>
        <v/>
      </c>
    </row>
    <row r="426">
      <c r="B426" s="14" t="n"/>
      <c r="C426" s="15">
        <f>IFERROR(MID($B426,FIND("[",$B426)+1,FIND("]",$B426)-FIND("[",$B426)-1),"")</f>
        <v/>
      </c>
      <c r="D426" s="15">
        <f>IFERROR(INDEX(Personnes!$B$5:$B$153,MATCH($C426,Personnes!$A$5:$A$153,0))&amp;"","")</f>
        <v/>
      </c>
      <c r="E426" s="15">
        <f>IFERROR(INDEX(Personnes!$C$5:$C$153,MATCH($C426,Personnes!$A$5:$A$153,0))&amp;"","")</f>
        <v/>
      </c>
      <c r="F426" s="14" t="n"/>
      <c r="G426" s="14" t="n"/>
      <c r="H426" s="14" t="n"/>
      <c r="I426" s="16" t="n"/>
      <c r="J426" s="16" t="n"/>
      <c r="K426" s="18" t="n"/>
      <c r="L426" s="18" t="n"/>
      <c r="M426" s="15">
        <f>IF($B426="","",IF($C426="","personne non reconnue",IF(ISERROR(SEARCH(TRIM($E426&amp;" "&amp;$D426),$B426)),"libellé incohérent avec l’identifiant",IF(COUNTIFS($A$5:$A$500,$A426,$C$5:$C$500,$C426,$F$5:$F$500,$F426,$G$5:$G$500,$G426)&gt;1,"doublon",IF($F426="","groupe manquant",IF($G426="","rôle manquant",IF($H426="","support de saisie manquant",IF(AND($I426&lt;&gt;"",$J426&lt;&gt;"",$J426&lt;$I426),"date de fin antérieure à la date de début",IF(AND($G426="encadrant",IFERROR(INDEX(Personnes!$F$5:$F$153,MATCH($C426,Personnes!$A$5:$A$153,0)),"")=""),"courriel encadrant manquant","ok")))))))))</f>
        <v/>
      </c>
    </row>
    <row r="427">
      <c r="B427" s="14" t="n"/>
      <c r="C427" s="15">
        <f>IFERROR(MID($B427,FIND("[",$B427)+1,FIND("]",$B427)-FIND("[",$B427)-1),"")</f>
        <v/>
      </c>
      <c r="D427" s="15">
        <f>IFERROR(INDEX(Personnes!$B$5:$B$153,MATCH($C427,Personnes!$A$5:$A$153,0))&amp;"","")</f>
        <v/>
      </c>
      <c r="E427" s="15">
        <f>IFERROR(INDEX(Personnes!$C$5:$C$153,MATCH($C427,Personnes!$A$5:$A$153,0))&amp;"","")</f>
        <v/>
      </c>
      <c r="F427" s="14" t="n"/>
      <c r="G427" s="14" t="n"/>
      <c r="H427" s="14" t="n"/>
      <c r="I427" s="16" t="n"/>
      <c r="J427" s="16" t="n"/>
      <c r="K427" s="18" t="n"/>
      <c r="L427" s="18" t="n"/>
      <c r="M427" s="15">
        <f>IF($B427="","",IF($C427="","personne non reconnue",IF(ISERROR(SEARCH(TRIM($E427&amp;" "&amp;$D427),$B427)),"libellé incohérent avec l’identifiant",IF(COUNTIFS($A$5:$A$500,$A427,$C$5:$C$500,$C427,$F$5:$F$500,$F427,$G$5:$G$500,$G427)&gt;1,"doublon",IF($F427="","groupe manquant",IF($G427="","rôle manquant",IF($H427="","support de saisie manquant",IF(AND($I427&lt;&gt;"",$J427&lt;&gt;"",$J427&lt;$I427),"date de fin antérieure à la date de début",IF(AND($G427="encadrant",IFERROR(INDEX(Personnes!$F$5:$F$153,MATCH($C427,Personnes!$A$5:$A$153,0)),"")=""),"courriel encadrant manquant","ok")))))))))</f>
        <v/>
      </c>
    </row>
    <row r="428">
      <c r="B428" s="14" t="n"/>
      <c r="C428" s="15">
        <f>IFERROR(MID($B428,FIND("[",$B428)+1,FIND("]",$B428)-FIND("[",$B428)-1),"")</f>
        <v/>
      </c>
      <c r="D428" s="15">
        <f>IFERROR(INDEX(Personnes!$B$5:$B$153,MATCH($C428,Personnes!$A$5:$A$153,0))&amp;"","")</f>
        <v/>
      </c>
      <c r="E428" s="15">
        <f>IFERROR(INDEX(Personnes!$C$5:$C$153,MATCH($C428,Personnes!$A$5:$A$153,0))&amp;"","")</f>
        <v/>
      </c>
      <c r="F428" s="14" t="n"/>
      <c r="G428" s="14" t="n"/>
      <c r="H428" s="14" t="n"/>
      <c r="I428" s="16" t="n"/>
      <c r="J428" s="16" t="n"/>
      <c r="K428" s="18" t="n"/>
      <c r="L428" s="18" t="n"/>
      <c r="M428" s="15">
        <f>IF($B428="","",IF($C428="","personne non reconnue",IF(ISERROR(SEARCH(TRIM($E428&amp;" "&amp;$D428),$B428)),"libellé incohérent avec l’identifiant",IF(COUNTIFS($A$5:$A$500,$A428,$C$5:$C$500,$C428,$F$5:$F$500,$F428,$G$5:$G$500,$G428)&gt;1,"doublon",IF($F428="","groupe manquant",IF($G428="","rôle manquant",IF($H428="","support de saisie manquant",IF(AND($I428&lt;&gt;"",$J428&lt;&gt;"",$J428&lt;$I428),"date de fin antérieure à la date de début",IF(AND($G428="encadrant",IFERROR(INDEX(Personnes!$F$5:$F$153,MATCH($C428,Personnes!$A$5:$A$153,0)),"")=""),"courriel encadrant manquant","ok")))))))))</f>
        <v/>
      </c>
    </row>
    <row r="429">
      <c r="B429" s="14" t="n"/>
      <c r="C429" s="15">
        <f>IFERROR(MID($B429,FIND("[",$B429)+1,FIND("]",$B429)-FIND("[",$B429)-1),"")</f>
        <v/>
      </c>
      <c r="D429" s="15">
        <f>IFERROR(INDEX(Personnes!$B$5:$B$153,MATCH($C429,Personnes!$A$5:$A$153,0))&amp;"","")</f>
        <v/>
      </c>
      <c r="E429" s="15">
        <f>IFERROR(INDEX(Personnes!$C$5:$C$153,MATCH($C429,Personnes!$A$5:$A$153,0))&amp;"","")</f>
        <v/>
      </c>
      <c r="F429" s="14" t="n"/>
      <c r="G429" s="14" t="n"/>
      <c r="H429" s="14" t="n"/>
      <c r="I429" s="16" t="n"/>
      <c r="J429" s="16" t="n"/>
      <c r="K429" s="18" t="n"/>
      <c r="L429" s="18" t="n"/>
      <c r="M429" s="15">
        <f>IF($B429="","",IF($C429="","personne non reconnue",IF(ISERROR(SEARCH(TRIM($E429&amp;" "&amp;$D429),$B429)),"libellé incohérent avec l’identifiant",IF(COUNTIFS($A$5:$A$500,$A429,$C$5:$C$500,$C429,$F$5:$F$500,$F429,$G$5:$G$500,$G429)&gt;1,"doublon",IF($F429="","groupe manquant",IF($G429="","rôle manquant",IF($H429="","support de saisie manquant",IF(AND($I429&lt;&gt;"",$J429&lt;&gt;"",$J429&lt;$I429),"date de fin antérieure à la date de début",IF(AND($G429="encadrant",IFERROR(INDEX(Personnes!$F$5:$F$153,MATCH($C429,Personnes!$A$5:$A$153,0)),"")=""),"courriel encadrant manquant","ok")))))))))</f>
        <v/>
      </c>
    </row>
    <row r="430">
      <c r="B430" s="14" t="n"/>
      <c r="C430" s="15">
        <f>IFERROR(MID($B430,FIND("[",$B430)+1,FIND("]",$B430)-FIND("[",$B430)-1),"")</f>
        <v/>
      </c>
      <c r="D430" s="15">
        <f>IFERROR(INDEX(Personnes!$B$5:$B$153,MATCH($C430,Personnes!$A$5:$A$153,0))&amp;"","")</f>
        <v/>
      </c>
      <c r="E430" s="15">
        <f>IFERROR(INDEX(Personnes!$C$5:$C$153,MATCH($C430,Personnes!$A$5:$A$153,0))&amp;"","")</f>
        <v/>
      </c>
      <c r="F430" s="14" t="n"/>
      <c r="G430" s="14" t="n"/>
      <c r="H430" s="14" t="n"/>
      <c r="I430" s="16" t="n"/>
      <c r="J430" s="16" t="n"/>
      <c r="K430" s="18" t="n"/>
      <c r="L430" s="18" t="n"/>
      <c r="M430" s="15">
        <f>IF($B430="","",IF($C430="","personne non reconnue",IF(ISERROR(SEARCH(TRIM($E430&amp;" "&amp;$D430),$B430)),"libellé incohérent avec l’identifiant",IF(COUNTIFS($A$5:$A$500,$A430,$C$5:$C$500,$C430,$F$5:$F$500,$F430,$G$5:$G$500,$G430)&gt;1,"doublon",IF($F430="","groupe manquant",IF($G430="","rôle manquant",IF($H430="","support de saisie manquant",IF(AND($I430&lt;&gt;"",$J430&lt;&gt;"",$J430&lt;$I430),"date de fin antérieure à la date de début",IF(AND($G430="encadrant",IFERROR(INDEX(Personnes!$F$5:$F$153,MATCH($C430,Personnes!$A$5:$A$153,0)),"")=""),"courriel encadrant manquant","ok")))))))))</f>
        <v/>
      </c>
    </row>
    <row r="431">
      <c r="B431" s="14" t="n"/>
      <c r="C431" s="15">
        <f>IFERROR(MID($B431,FIND("[",$B431)+1,FIND("]",$B431)-FIND("[",$B431)-1),"")</f>
        <v/>
      </c>
      <c r="D431" s="15">
        <f>IFERROR(INDEX(Personnes!$B$5:$B$153,MATCH($C431,Personnes!$A$5:$A$153,0))&amp;"","")</f>
        <v/>
      </c>
      <c r="E431" s="15">
        <f>IFERROR(INDEX(Personnes!$C$5:$C$153,MATCH($C431,Personnes!$A$5:$A$153,0))&amp;"","")</f>
        <v/>
      </c>
      <c r="F431" s="14" t="n"/>
      <c r="G431" s="14" t="n"/>
      <c r="H431" s="14" t="n"/>
      <c r="I431" s="16" t="n"/>
      <c r="J431" s="16" t="n"/>
      <c r="K431" s="18" t="n"/>
      <c r="L431" s="18" t="n"/>
      <c r="M431" s="15">
        <f>IF($B431="","",IF($C431="","personne non reconnue",IF(ISERROR(SEARCH(TRIM($E431&amp;" "&amp;$D431),$B431)),"libellé incohérent avec l’identifiant",IF(COUNTIFS($A$5:$A$500,$A431,$C$5:$C$500,$C431,$F$5:$F$500,$F431,$G$5:$G$500,$G431)&gt;1,"doublon",IF($F431="","groupe manquant",IF($G431="","rôle manquant",IF($H431="","support de saisie manquant",IF(AND($I431&lt;&gt;"",$J431&lt;&gt;"",$J431&lt;$I431),"date de fin antérieure à la date de début",IF(AND($G431="encadrant",IFERROR(INDEX(Personnes!$F$5:$F$153,MATCH($C431,Personnes!$A$5:$A$153,0)),"")=""),"courriel encadrant manquant","ok")))))))))</f>
        <v/>
      </c>
    </row>
    <row r="432">
      <c r="B432" s="14" t="n"/>
      <c r="C432" s="15">
        <f>IFERROR(MID($B432,FIND("[",$B432)+1,FIND("]",$B432)-FIND("[",$B432)-1),"")</f>
        <v/>
      </c>
      <c r="D432" s="15">
        <f>IFERROR(INDEX(Personnes!$B$5:$B$153,MATCH($C432,Personnes!$A$5:$A$153,0))&amp;"","")</f>
        <v/>
      </c>
      <c r="E432" s="15">
        <f>IFERROR(INDEX(Personnes!$C$5:$C$153,MATCH($C432,Personnes!$A$5:$A$153,0))&amp;"","")</f>
        <v/>
      </c>
      <c r="F432" s="14" t="n"/>
      <c r="G432" s="14" t="n"/>
      <c r="H432" s="14" t="n"/>
      <c r="I432" s="16" t="n"/>
      <c r="J432" s="16" t="n"/>
      <c r="K432" s="18" t="n"/>
      <c r="L432" s="18" t="n"/>
      <c r="M432" s="15">
        <f>IF($B432="","",IF($C432="","personne non reconnue",IF(ISERROR(SEARCH(TRIM($E432&amp;" "&amp;$D432),$B432)),"libellé incohérent avec l’identifiant",IF(COUNTIFS($A$5:$A$500,$A432,$C$5:$C$500,$C432,$F$5:$F$500,$F432,$G$5:$G$500,$G432)&gt;1,"doublon",IF($F432="","groupe manquant",IF($G432="","rôle manquant",IF($H432="","support de saisie manquant",IF(AND($I432&lt;&gt;"",$J432&lt;&gt;"",$J432&lt;$I432),"date de fin antérieure à la date de début",IF(AND($G432="encadrant",IFERROR(INDEX(Personnes!$F$5:$F$153,MATCH($C432,Personnes!$A$5:$A$153,0)),"")=""),"courriel encadrant manquant","ok")))))))))</f>
        <v/>
      </c>
    </row>
    <row r="433">
      <c r="B433" s="14" t="n"/>
      <c r="C433" s="15">
        <f>IFERROR(MID($B433,FIND("[",$B433)+1,FIND("]",$B433)-FIND("[",$B433)-1),"")</f>
        <v/>
      </c>
      <c r="D433" s="15">
        <f>IFERROR(INDEX(Personnes!$B$5:$B$153,MATCH($C433,Personnes!$A$5:$A$153,0))&amp;"","")</f>
        <v/>
      </c>
      <c r="E433" s="15">
        <f>IFERROR(INDEX(Personnes!$C$5:$C$153,MATCH($C433,Personnes!$A$5:$A$153,0))&amp;"","")</f>
        <v/>
      </c>
      <c r="F433" s="14" t="n"/>
      <c r="G433" s="14" t="n"/>
      <c r="H433" s="14" t="n"/>
      <c r="I433" s="16" t="n"/>
      <c r="J433" s="16" t="n"/>
      <c r="K433" s="18" t="n"/>
      <c r="L433" s="18" t="n"/>
      <c r="M433" s="15">
        <f>IF($B433="","",IF($C433="","personne non reconnue",IF(ISERROR(SEARCH(TRIM($E433&amp;" "&amp;$D433),$B433)),"libellé incohérent avec l’identifiant",IF(COUNTIFS($A$5:$A$500,$A433,$C$5:$C$500,$C433,$F$5:$F$500,$F433,$G$5:$G$500,$G433)&gt;1,"doublon",IF($F433="","groupe manquant",IF($G433="","rôle manquant",IF($H433="","support de saisie manquant",IF(AND($I433&lt;&gt;"",$J433&lt;&gt;"",$J433&lt;$I433),"date de fin antérieure à la date de début",IF(AND($G433="encadrant",IFERROR(INDEX(Personnes!$F$5:$F$153,MATCH($C433,Personnes!$A$5:$A$153,0)),"")=""),"courriel encadrant manquant","ok")))))))))</f>
        <v/>
      </c>
    </row>
    <row r="434">
      <c r="B434" s="14" t="n"/>
      <c r="C434" s="15">
        <f>IFERROR(MID($B434,FIND("[",$B434)+1,FIND("]",$B434)-FIND("[",$B434)-1),"")</f>
        <v/>
      </c>
      <c r="D434" s="15">
        <f>IFERROR(INDEX(Personnes!$B$5:$B$153,MATCH($C434,Personnes!$A$5:$A$153,0))&amp;"","")</f>
        <v/>
      </c>
      <c r="E434" s="15">
        <f>IFERROR(INDEX(Personnes!$C$5:$C$153,MATCH($C434,Personnes!$A$5:$A$153,0))&amp;"","")</f>
        <v/>
      </c>
      <c r="F434" s="14" t="n"/>
      <c r="G434" s="14" t="n"/>
      <c r="H434" s="14" t="n"/>
      <c r="I434" s="16" t="n"/>
      <c r="J434" s="16" t="n"/>
      <c r="K434" s="18" t="n"/>
      <c r="L434" s="18" t="n"/>
      <c r="M434" s="15">
        <f>IF($B434="","",IF($C434="","personne non reconnue",IF(ISERROR(SEARCH(TRIM($E434&amp;" "&amp;$D434),$B434)),"libellé incohérent avec l’identifiant",IF(COUNTIFS($A$5:$A$500,$A434,$C$5:$C$500,$C434,$F$5:$F$500,$F434,$G$5:$G$500,$G434)&gt;1,"doublon",IF($F434="","groupe manquant",IF($G434="","rôle manquant",IF($H434="","support de saisie manquant",IF(AND($I434&lt;&gt;"",$J434&lt;&gt;"",$J434&lt;$I434),"date de fin antérieure à la date de début",IF(AND($G434="encadrant",IFERROR(INDEX(Personnes!$F$5:$F$153,MATCH($C434,Personnes!$A$5:$A$153,0)),"")=""),"courriel encadrant manquant","ok")))))))))</f>
        <v/>
      </c>
    </row>
    <row r="435">
      <c r="B435" s="14" t="n"/>
      <c r="C435" s="15">
        <f>IFERROR(MID($B435,FIND("[",$B435)+1,FIND("]",$B435)-FIND("[",$B435)-1),"")</f>
        <v/>
      </c>
      <c r="D435" s="15">
        <f>IFERROR(INDEX(Personnes!$B$5:$B$153,MATCH($C435,Personnes!$A$5:$A$153,0))&amp;"","")</f>
        <v/>
      </c>
      <c r="E435" s="15">
        <f>IFERROR(INDEX(Personnes!$C$5:$C$153,MATCH($C435,Personnes!$A$5:$A$153,0))&amp;"","")</f>
        <v/>
      </c>
      <c r="F435" s="14" t="n"/>
      <c r="G435" s="14" t="n"/>
      <c r="H435" s="14" t="n"/>
      <c r="I435" s="16" t="n"/>
      <c r="J435" s="16" t="n"/>
      <c r="K435" s="18" t="n"/>
      <c r="L435" s="18" t="n"/>
      <c r="M435" s="15">
        <f>IF($B435="","",IF($C435="","personne non reconnue",IF(ISERROR(SEARCH(TRIM($E435&amp;" "&amp;$D435),$B435)),"libellé incohérent avec l’identifiant",IF(COUNTIFS($A$5:$A$500,$A435,$C$5:$C$500,$C435,$F$5:$F$500,$F435,$G$5:$G$500,$G435)&gt;1,"doublon",IF($F435="","groupe manquant",IF($G435="","rôle manquant",IF($H435="","support de saisie manquant",IF(AND($I435&lt;&gt;"",$J435&lt;&gt;"",$J435&lt;$I435),"date de fin antérieure à la date de début",IF(AND($G435="encadrant",IFERROR(INDEX(Personnes!$F$5:$F$153,MATCH($C435,Personnes!$A$5:$A$153,0)),"")=""),"courriel encadrant manquant","ok")))))))))</f>
        <v/>
      </c>
    </row>
    <row r="436">
      <c r="B436" s="14" t="n"/>
      <c r="C436" s="15">
        <f>IFERROR(MID($B436,FIND("[",$B436)+1,FIND("]",$B436)-FIND("[",$B436)-1),"")</f>
        <v/>
      </c>
      <c r="D436" s="15">
        <f>IFERROR(INDEX(Personnes!$B$5:$B$153,MATCH($C436,Personnes!$A$5:$A$153,0))&amp;"","")</f>
        <v/>
      </c>
      <c r="E436" s="15">
        <f>IFERROR(INDEX(Personnes!$C$5:$C$153,MATCH($C436,Personnes!$A$5:$A$153,0))&amp;"","")</f>
        <v/>
      </c>
      <c r="F436" s="14" t="n"/>
      <c r="G436" s="14" t="n"/>
      <c r="H436" s="14" t="n"/>
      <c r="I436" s="16" t="n"/>
      <c r="J436" s="16" t="n"/>
      <c r="K436" s="18" t="n"/>
      <c r="L436" s="18" t="n"/>
      <c r="M436" s="15">
        <f>IF($B436="","",IF($C436="","personne non reconnue",IF(ISERROR(SEARCH(TRIM($E436&amp;" "&amp;$D436),$B436)),"libellé incohérent avec l’identifiant",IF(COUNTIFS($A$5:$A$500,$A436,$C$5:$C$500,$C436,$F$5:$F$500,$F436,$G$5:$G$500,$G436)&gt;1,"doublon",IF($F436="","groupe manquant",IF($G436="","rôle manquant",IF($H436="","support de saisie manquant",IF(AND($I436&lt;&gt;"",$J436&lt;&gt;"",$J436&lt;$I436),"date de fin antérieure à la date de début",IF(AND($G436="encadrant",IFERROR(INDEX(Personnes!$F$5:$F$153,MATCH($C436,Personnes!$A$5:$A$153,0)),"")=""),"courriel encadrant manquant","ok")))))))))</f>
        <v/>
      </c>
    </row>
    <row r="437">
      <c r="B437" s="14" t="n"/>
      <c r="C437" s="15">
        <f>IFERROR(MID($B437,FIND("[",$B437)+1,FIND("]",$B437)-FIND("[",$B437)-1),"")</f>
        <v/>
      </c>
      <c r="D437" s="15">
        <f>IFERROR(INDEX(Personnes!$B$5:$B$153,MATCH($C437,Personnes!$A$5:$A$153,0))&amp;"","")</f>
        <v/>
      </c>
      <c r="E437" s="15">
        <f>IFERROR(INDEX(Personnes!$C$5:$C$153,MATCH($C437,Personnes!$A$5:$A$153,0))&amp;"","")</f>
        <v/>
      </c>
      <c r="F437" s="14" t="n"/>
      <c r="G437" s="14" t="n"/>
      <c r="H437" s="14" t="n"/>
      <c r="I437" s="16" t="n"/>
      <c r="J437" s="16" t="n"/>
      <c r="K437" s="18" t="n"/>
      <c r="L437" s="18" t="n"/>
      <c r="M437" s="15">
        <f>IF($B437="","",IF($C437="","personne non reconnue",IF(ISERROR(SEARCH(TRIM($E437&amp;" "&amp;$D437),$B437)),"libellé incohérent avec l’identifiant",IF(COUNTIFS($A$5:$A$500,$A437,$C$5:$C$500,$C437,$F$5:$F$500,$F437,$G$5:$G$500,$G437)&gt;1,"doublon",IF($F437="","groupe manquant",IF($G437="","rôle manquant",IF($H437="","support de saisie manquant",IF(AND($I437&lt;&gt;"",$J437&lt;&gt;"",$J437&lt;$I437),"date de fin antérieure à la date de début",IF(AND($G437="encadrant",IFERROR(INDEX(Personnes!$F$5:$F$153,MATCH($C437,Personnes!$A$5:$A$153,0)),"")=""),"courriel encadrant manquant","ok")))))))))</f>
        <v/>
      </c>
    </row>
    <row r="438">
      <c r="B438" s="14" t="n"/>
      <c r="C438" s="15">
        <f>IFERROR(MID($B438,FIND("[",$B438)+1,FIND("]",$B438)-FIND("[",$B438)-1),"")</f>
        <v/>
      </c>
      <c r="D438" s="15">
        <f>IFERROR(INDEX(Personnes!$B$5:$B$153,MATCH($C438,Personnes!$A$5:$A$153,0))&amp;"","")</f>
        <v/>
      </c>
      <c r="E438" s="15">
        <f>IFERROR(INDEX(Personnes!$C$5:$C$153,MATCH($C438,Personnes!$A$5:$A$153,0))&amp;"","")</f>
        <v/>
      </c>
      <c r="F438" s="14" t="n"/>
      <c r="G438" s="14" t="n"/>
      <c r="H438" s="14" t="n"/>
      <c r="I438" s="16" t="n"/>
      <c r="J438" s="16" t="n"/>
      <c r="K438" s="18" t="n"/>
      <c r="L438" s="18" t="n"/>
      <c r="M438" s="15">
        <f>IF($B438="","",IF($C438="","personne non reconnue",IF(ISERROR(SEARCH(TRIM($E438&amp;" "&amp;$D438),$B438)),"libellé incohérent avec l’identifiant",IF(COUNTIFS($A$5:$A$500,$A438,$C$5:$C$500,$C438,$F$5:$F$500,$F438,$G$5:$G$500,$G438)&gt;1,"doublon",IF($F438="","groupe manquant",IF($G438="","rôle manquant",IF($H438="","support de saisie manquant",IF(AND($I438&lt;&gt;"",$J438&lt;&gt;"",$J438&lt;$I438),"date de fin antérieure à la date de début",IF(AND($G438="encadrant",IFERROR(INDEX(Personnes!$F$5:$F$153,MATCH($C438,Personnes!$A$5:$A$153,0)),"")=""),"courriel encadrant manquant","ok")))))))))</f>
        <v/>
      </c>
    </row>
    <row r="439">
      <c r="B439" s="14" t="n"/>
      <c r="C439" s="15">
        <f>IFERROR(MID($B439,FIND("[",$B439)+1,FIND("]",$B439)-FIND("[",$B439)-1),"")</f>
        <v/>
      </c>
      <c r="D439" s="15">
        <f>IFERROR(INDEX(Personnes!$B$5:$B$153,MATCH($C439,Personnes!$A$5:$A$153,0))&amp;"","")</f>
        <v/>
      </c>
      <c r="E439" s="15">
        <f>IFERROR(INDEX(Personnes!$C$5:$C$153,MATCH($C439,Personnes!$A$5:$A$153,0))&amp;"","")</f>
        <v/>
      </c>
      <c r="F439" s="14" t="n"/>
      <c r="G439" s="14" t="n"/>
      <c r="H439" s="14" t="n"/>
      <c r="I439" s="16" t="n"/>
      <c r="J439" s="16" t="n"/>
      <c r="K439" s="18" t="n"/>
      <c r="L439" s="18" t="n"/>
      <c r="M439" s="15">
        <f>IF($B439="","",IF($C439="","personne non reconnue",IF(ISERROR(SEARCH(TRIM($E439&amp;" "&amp;$D439),$B439)),"libellé incohérent avec l’identifiant",IF(COUNTIFS($A$5:$A$500,$A439,$C$5:$C$500,$C439,$F$5:$F$500,$F439,$G$5:$G$500,$G439)&gt;1,"doublon",IF($F439="","groupe manquant",IF($G439="","rôle manquant",IF($H439="","support de saisie manquant",IF(AND($I439&lt;&gt;"",$J439&lt;&gt;"",$J439&lt;$I439),"date de fin antérieure à la date de début",IF(AND($G439="encadrant",IFERROR(INDEX(Personnes!$F$5:$F$153,MATCH($C439,Personnes!$A$5:$A$153,0)),"")=""),"courriel encadrant manquant","ok")))))))))</f>
        <v/>
      </c>
    </row>
    <row r="440">
      <c r="B440" s="14" t="n"/>
      <c r="C440" s="15">
        <f>IFERROR(MID($B440,FIND("[",$B440)+1,FIND("]",$B440)-FIND("[",$B440)-1),"")</f>
        <v/>
      </c>
      <c r="D440" s="15">
        <f>IFERROR(INDEX(Personnes!$B$5:$B$153,MATCH($C440,Personnes!$A$5:$A$153,0))&amp;"","")</f>
        <v/>
      </c>
      <c r="E440" s="15">
        <f>IFERROR(INDEX(Personnes!$C$5:$C$153,MATCH($C440,Personnes!$A$5:$A$153,0))&amp;"","")</f>
        <v/>
      </c>
      <c r="F440" s="14" t="n"/>
      <c r="G440" s="14" t="n"/>
      <c r="H440" s="14" t="n"/>
      <c r="I440" s="16" t="n"/>
      <c r="J440" s="16" t="n"/>
      <c r="K440" s="18" t="n"/>
      <c r="L440" s="18" t="n"/>
      <c r="M440" s="15">
        <f>IF($B440="","",IF($C440="","personne non reconnue",IF(ISERROR(SEARCH(TRIM($E440&amp;" "&amp;$D440),$B440)),"libellé incohérent avec l’identifiant",IF(COUNTIFS($A$5:$A$500,$A440,$C$5:$C$500,$C440,$F$5:$F$500,$F440,$G$5:$G$500,$G440)&gt;1,"doublon",IF($F440="","groupe manquant",IF($G440="","rôle manquant",IF($H440="","support de saisie manquant",IF(AND($I440&lt;&gt;"",$J440&lt;&gt;"",$J440&lt;$I440),"date de fin antérieure à la date de début",IF(AND($G440="encadrant",IFERROR(INDEX(Personnes!$F$5:$F$153,MATCH($C440,Personnes!$A$5:$A$153,0)),"")=""),"courriel encadrant manquant","ok")))))))))</f>
        <v/>
      </c>
    </row>
    <row r="441">
      <c r="B441" s="14" t="n"/>
      <c r="C441" s="15">
        <f>IFERROR(MID($B441,FIND("[",$B441)+1,FIND("]",$B441)-FIND("[",$B441)-1),"")</f>
        <v/>
      </c>
      <c r="D441" s="15">
        <f>IFERROR(INDEX(Personnes!$B$5:$B$153,MATCH($C441,Personnes!$A$5:$A$153,0))&amp;"","")</f>
        <v/>
      </c>
      <c r="E441" s="15">
        <f>IFERROR(INDEX(Personnes!$C$5:$C$153,MATCH($C441,Personnes!$A$5:$A$153,0))&amp;"","")</f>
        <v/>
      </c>
      <c r="F441" s="14" t="n"/>
      <c r="G441" s="14" t="n"/>
      <c r="H441" s="14" t="n"/>
      <c r="I441" s="16" t="n"/>
      <c r="J441" s="16" t="n"/>
      <c r="K441" s="18" t="n"/>
      <c r="L441" s="18" t="n"/>
      <c r="M441" s="15">
        <f>IF($B441="","",IF($C441="","personne non reconnue",IF(ISERROR(SEARCH(TRIM($E441&amp;" "&amp;$D441),$B441)),"libellé incohérent avec l’identifiant",IF(COUNTIFS($A$5:$A$500,$A441,$C$5:$C$500,$C441,$F$5:$F$500,$F441,$G$5:$G$500,$G441)&gt;1,"doublon",IF($F441="","groupe manquant",IF($G441="","rôle manquant",IF($H441="","support de saisie manquant",IF(AND($I441&lt;&gt;"",$J441&lt;&gt;"",$J441&lt;$I441),"date de fin antérieure à la date de début",IF(AND($G441="encadrant",IFERROR(INDEX(Personnes!$F$5:$F$153,MATCH($C441,Personnes!$A$5:$A$153,0)),"")=""),"courriel encadrant manquant","ok")))))))))</f>
        <v/>
      </c>
    </row>
    <row r="442">
      <c r="B442" s="14" t="n"/>
      <c r="C442" s="15">
        <f>IFERROR(MID($B442,FIND("[",$B442)+1,FIND("]",$B442)-FIND("[",$B442)-1),"")</f>
        <v/>
      </c>
      <c r="D442" s="15">
        <f>IFERROR(INDEX(Personnes!$B$5:$B$153,MATCH($C442,Personnes!$A$5:$A$153,0))&amp;"","")</f>
        <v/>
      </c>
      <c r="E442" s="15">
        <f>IFERROR(INDEX(Personnes!$C$5:$C$153,MATCH($C442,Personnes!$A$5:$A$153,0))&amp;"","")</f>
        <v/>
      </c>
      <c r="F442" s="14" t="n"/>
      <c r="G442" s="14" t="n"/>
      <c r="H442" s="14" t="n"/>
      <c r="I442" s="16" t="n"/>
      <c r="J442" s="16" t="n"/>
      <c r="K442" s="18" t="n"/>
      <c r="L442" s="18" t="n"/>
      <c r="M442" s="15">
        <f>IF($B442="","",IF($C442="","personne non reconnue",IF(ISERROR(SEARCH(TRIM($E442&amp;" "&amp;$D442),$B442)),"libellé incohérent avec l’identifiant",IF(COUNTIFS($A$5:$A$500,$A442,$C$5:$C$500,$C442,$F$5:$F$500,$F442,$G$5:$G$500,$G442)&gt;1,"doublon",IF($F442="","groupe manquant",IF($G442="","rôle manquant",IF($H442="","support de saisie manquant",IF(AND($I442&lt;&gt;"",$J442&lt;&gt;"",$J442&lt;$I442),"date de fin antérieure à la date de début",IF(AND($G442="encadrant",IFERROR(INDEX(Personnes!$F$5:$F$153,MATCH($C442,Personnes!$A$5:$A$153,0)),"")=""),"courriel encadrant manquant","ok")))))))))</f>
        <v/>
      </c>
    </row>
    <row r="443">
      <c r="B443" s="14" t="n"/>
      <c r="C443" s="15">
        <f>IFERROR(MID($B443,FIND("[",$B443)+1,FIND("]",$B443)-FIND("[",$B443)-1),"")</f>
        <v/>
      </c>
      <c r="D443" s="15">
        <f>IFERROR(INDEX(Personnes!$B$5:$B$153,MATCH($C443,Personnes!$A$5:$A$153,0))&amp;"","")</f>
        <v/>
      </c>
      <c r="E443" s="15">
        <f>IFERROR(INDEX(Personnes!$C$5:$C$153,MATCH($C443,Personnes!$A$5:$A$153,0))&amp;"","")</f>
        <v/>
      </c>
      <c r="F443" s="14" t="n"/>
      <c r="G443" s="14" t="n"/>
      <c r="H443" s="14" t="n"/>
      <c r="I443" s="16" t="n"/>
      <c r="J443" s="16" t="n"/>
      <c r="K443" s="18" t="n"/>
      <c r="L443" s="18" t="n"/>
      <c r="M443" s="15">
        <f>IF($B443="","",IF($C443="","personne non reconnue",IF(ISERROR(SEARCH(TRIM($E443&amp;" "&amp;$D443),$B443)),"libellé incohérent avec l’identifiant",IF(COUNTIFS($A$5:$A$500,$A443,$C$5:$C$500,$C443,$F$5:$F$500,$F443,$G$5:$G$500,$G443)&gt;1,"doublon",IF($F443="","groupe manquant",IF($G443="","rôle manquant",IF($H443="","support de saisie manquant",IF(AND($I443&lt;&gt;"",$J443&lt;&gt;"",$J443&lt;$I443),"date de fin antérieure à la date de début",IF(AND($G443="encadrant",IFERROR(INDEX(Personnes!$F$5:$F$153,MATCH($C443,Personnes!$A$5:$A$153,0)),"")=""),"courriel encadrant manquant","ok")))))))))</f>
        <v/>
      </c>
    </row>
    <row r="444">
      <c r="B444" s="14" t="n"/>
      <c r="C444" s="15">
        <f>IFERROR(MID($B444,FIND("[",$B444)+1,FIND("]",$B444)-FIND("[",$B444)-1),"")</f>
        <v/>
      </c>
      <c r="D444" s="15">
        <f>IFERROR(INDEX(Personnes!$B$5:$B$153,MATCH($C444,Personnes!$A$5:$A$153,0))&amp;"","")</f>
        <v/>
      </c>
      <c r="E444" s="15">
        <f>IFERROR(INDEX(Personnes!$C$5:$C$153,MATCH($C444,Personnes!$A$5:$A$153,0))&amp;"","")</f>
        <v/>
      </c>
      <c r="F444" s="14" t="n"/>
      <c r="G444" s="14" t="n"/>
      <c r="H444" s="14" t="n"/>
      <c r="I444" s="16" t="n"/>
      <c r="J444" s="16" t="n"/>
      <c r="K444" s="18" t="n"/>
      <c r="L444" s="18" t="n"/>
      <c r="M444" s="15">
        <f>IF($B444="","",IF($C444="","personne non reconnue",IF(ISERROR(SEARCH(TRIM($E444&amp;" "&amp;$D444),$B444)),"libellé incohérent avec l’identifiant",IF(COUNTIFS($A$5:$A$500,$A444,$C$5:$C$500,$C444,$F$5:$F$500,$F444,$G$5:$G$500,$G444)&gt;1,"doublon",IF($F444="","groupe manquant",IF($G444="","rôle manquant",IF($H444="","support de saisie manquant",IF(AND($I444&lt;&gt;"",$J444&lt;&gt;"",$J444&lt;$I444),"date de fin antérieure à la date de début",IF(AND($G444="encadrant",IFERROR(INDEX(Personnes!$F$5:$F$153,MATCH($C444,Personnes!$A$5:$A$153,0)),"")=""),"courriel encadrant manquant","ok")))))))))</f>
        <v/>
      </c>
    </row>
    <row r="445">
      <c r="B445" s="14" t="n"/>
      <c r="C445" s="15">
        <f>IFERROR(MID($B445,FIND("[",$B445)+1,FIND("]",$B445)-FIND("[",$B445)-1),"")</f>
        <v/>
      </c>
      <c r="D445" s="15">
        <f>IFERROR(INDEX(Personnes!$B$5:$B$153,MATCH($C445,Personnes!$A$5:$A$153,0))&amp;"","")</f>
        <v/>
      </c>
      <c r="E445" s="15">
        <f>IFERROR(INDEX(Personnes!$C$5:$C$153,MATCH($C445,Personnes!$A$5:$A$153,0))&amp;"","")</f>
        <v/>
      </c>
      <c r="F445" s="14" t="n"/>
      <c r="G445" s="14" t="n"/>
      <c r="H445" s="14" t="n"/>
      <c r="I445" s="16" t="n"/>
      <c r="J445" s="16" t="n"/>
      <c r="K445" s="18" t="n"/>
      <c r="L445" s="18" t="n"/>
      <c r="M445" s="15">
        <f>IF($B445="","",IF($C445="","personne non reconnue",IF(ISERROR(SEARCH(TRIM($E445&amp;" "&amp;$D445),$B445)),"libellé incohérent avec l’identifiant",IF(COUNTIFS($A$5:$A$500,$A445,$C$5:$C$500,$C445,$F$5:$F$500,$F445,$G$5:$G$500,$G445)&gt;1,"doublon",IF($F445="","groupe manquant",IF($G445="","rôle manquant",IF($H445="","support de saisie manquant",IF(AND($I445&lt;&gt;"",$J445&lt;&gt;"",$J445&lt;$I445),"date de fin antérieure à la date de début",IF(AND($G445="encadrant",IFERROR(INDEX(Personnes!$F$5:$F$153,MATCH($C445,Personnes!$A$5:$A$153,0)),"")=""),"courriel encadrant manquant","ok")))))))))</f>
        <v/>
      </c>
    </row>
    <row r="446">
      <c r="B446" s="14" t="n"/>
      <c r="C446" s="15">
        <f>IFERROR(MID($B446,FIND("[",$B446)+1,FIND("]",$B446)-FIND("[",$B446)-1),"")</f>
        <v/>
      </c>
      <c r="D446" s="15">
        <f>IFERROR(INDEX(Personnes!$B$5:$B$153,MATCH($C446,Personnes!$A$5:$A$153,0))&amp;"","")</f>
        <v/>
      </c>
      <c r="E446" s="15">
        <f>IFERROR(INDEX(Personnes!$C$5:$C$153,MATCH($C446,Personnes!$A$5:$A$153,0))&amp;"","")</f>
        <v/>
      </c>
      <c r="F446" s="14" t="n"/>
      <c r="G446" s="14" t="n"/>
      <c r="H446" s="14" t="n"/>
      <c r="I446" s="16" t="n"/>
      <c r="J446" s="16" t="n"/>
      <c r="K446" s="18" t="n"/>
      <c r="L446" s="18" t="n"/>
      <c r="M446" s="15">
        <f>IF($B446="","",IF($C446="","personne non reconnue",IF(ISERROR(SEARCH(TRIM($E446&amp;" "&amp;$D446),$B446)),"libellé incohérent avec l’identifiant",IF(COUNTIFS($A$5:$A$500,$A446,$C$5:$C$500,$C446,$F$5:$F$500,$F446,$G$5:$G$500,$G446)&gt;1,"doublon",IF($F446="","groupe manquant",IF($G446="","rôle manquant",IF($H446="","support de saisie manquant",IF(AND($I446&lt;&gt;"",$J446&lt;&gt;"",$J446&lt;$I446),"date de fin antérieure à la date de début",IF(AND($G446="encadrant",IFERROR(INDEX(Personnes!$F$5:$F$153,MATCH($C446,Personnes!$A$5:$A$153,0)),"")=""),"courriel encadrant manquant","ok")))))))))</f>
        <v/>
      </c>
    </row>
    <row r="447">
      <c r="B447" s="14" t="n"/>
      <c r="C447" s="15">
        <f>IFERROR(MID($B447,FIND("[",$B447)+1,FIND("]",$B447)-FIND("[",$B447)-1),"")</f>
        <v/>
      </c>
      <c r="D447" s="15">
        <f>IFERROR(INDEX(Personnes!$B$5:$B$153,MATCH($C447,Personnes!$A$5:$A$153,0))&amp;"","")</f>
        <v/>
      </c>
      <c r="E447" s="15">
        <f>IFERROR(INDEX(Personnes!$C$5:$C$153,MATCH($C447,Personnes!$A$5:$A$153,0))&amp;"","")</f>
        <v/>
      </c>
      <c r="F447" s="14" t="n"/>
      <c r="G447" s="14" t="n"/>
      <c r="H447" s="14" t="n"/>
      <c r="I447" s="16" t="n"/>
      <c r="J447" s="16" t="n"/>
      <c r="K447" s="18" t="n"/>
      <c r="L447" s="18" t="n"/>
      <c r="M447" s="15">
        <f>IF($B447="","",IF($C447="","personne non reconnue",IF(ISERROR(SEARCH(TRIM($E447&amp;" "&amp;$D447),$B447)),"libellé incohérent avec l’identifiant",IF(COUNTIFS($A$5:$A$500,$A447,$C$5:$C$500,$C447,$F$5:$F$500,$F447,$G$5:$G$500,$G447)&gt;1,"doublon",IF($F447="","groupe manquant",IF($G447="","rôle manquant",IF($H447="","support de saisie manquant",IF(AND($I447&lt;&gt;"",$J447&lt;&gt;"",$J447&lt;$I447),"date de fin antérieure à la date de début",IF(AND($G447="encadrant",IFERROR(INDEX(Personnes!$F$5:$F$153,MATCH($C447,Personnes!$A$5:$A$153,0)),"")=""),"courriel encadrant manquant","ok")))))))))</f>
        <v/>
      </c>
    </row>
    <row r="448">
      <c r="B448" s="14" t="n"/>
      <c r="C448" s="15">
        <f>IFERROR(MID($B448,FIND("[",$B448)+1,FIND("]",$B448)-FIND("[",$B448)-1),"")</f>
        <v/>
      </c>
      <c r="D448" s="15">
        <f>IFERROR(INDEX(Personnes!$B$5:$B$153,MATCH($C448,Personnes!$A$5:$A$153,0))&amp;"","")</f>
        <v/>
      </c>
      <c r="E448" s="15">
        <f>IFERROR(INDEX(Personnes!$C$5:$C$153,MATCH($C448,Personnes!$A$5:$A$153,0))&amp;"","")</f>
        <v/>
      </c>
      <c r="F448" s="14" t="n"/>
      <c r="G448" s="14" t="n"/>
      <c r="H448" s="14" t="n"/>
      <c r="I448" s="16" t="n"/>
      <c r="J448" s="16" t="n"/>
      <c r="K448" s="18" t="n"/>
      <c r="L448" s="18" t="n"/>
      <c r="M448" s="15">
        <f>IF($B448="","",IF($C448="","personne non reconnue",IF(ISERROR(SEARCH(TRIM($E448&amp;" "&amp;$D448),$B448)),"libellé incohérent avec l’identifiant",IF(COUNTIFS($A$5:$A$500,$A448,$C$5:$C$500,$C448,$F$5:$F$500,$F448,$G$5:$G$500,$G448)&gt;1,"doublon",IF($F448="","groupe manquant",IF($G448="","rôle manquant",IF($H448="","support de saisie manquant",IF(AND($I448&lt;&gt;"",$J448&lt;&gt;"",$J448&lt;$I448),"date de fin antérieure à la date de début",IF(AND($G448="encadrant",IFERROR(INDEX(Personnes!$F$5:$F$153,MATCH($C448,Personnes!$A$5:$A$153,0)),"")=""),"courriel encadrant manquant","ok")))))))))</f>
        <v/>
      </c>
    </row>
    <row r="449">
      <c r="B449" s="14" t="n"/>
      <c r="C449" s="15">
        <f>IFERROR(MID($B449,FIND("[",$B449)+1,FIND("]",$B449)-FIND("[",$B449)-1),"")</f>
        <v/>
      </c>
      <c r="D449" s="15">
        <f>IFERROR(INDEX(Personnes!$B$5:$B$153,MATCH($C449,Personnes!$A$5:$A$153,0))&amp;"","")</f>
        <v/>
      </c>
      <c r="E449" s="15">
        <f>IFERROR(INDEX(Personnes!$C$5:$C$153,MATCH($C449,Personnes!$A$5:$A$153,0))&amp;"","")</f>
        <v/>
      </c>
      <c r="F449" s="14" t="n"/>
      <c r="G449" s="14" t="n"/>
      <c r="H449" s="14" t="n"/>
      <c r="I449" s="16" t="n"/>
      <c r="J449" s="16" t="n"/>
      <c r="K449" s="18" t="n"/>
      <c r="L449" s="18" t="n"/>
      <c r="M449" s="15">
        <f>IF($B449="","",IF($C449="","personne non reconnue",IF(ISERROR(SEARCH(TRIM($E449&amp;" "&amp;$D449),$B449)),"libellé incohérent avec l’identifiant",IF(COUNTIFS($A$5:$A$500,$A449,$C$5:$C$500,$C449,$F$5:$F$500,$F449,$G$5:$G$500,$G449)&gt;1,"doublon",IF($F449="","groupe manquant",IF($G449="","rôle manquant",IF($H449="","support de saisie manquant",IF(AND($I449&lt;&gt;"",$J449&lt;&gt;"",$J449&lt;$I449),"date de fin antérieure à la date de début",IF(AND($G449="encadrant",IFERROR(INDEX(Personnes!$F$5:$F$153,MATCH($C449,Personnes!$A$5:$A$153,0)),"")=""),"courriel encadrant manquant","ok")))))))))</f>
        <v/>
      </c>
    </row>
    <row r="450">
      <c r="B450" s="14" t="n"/>
      <c r="C450" s="15">
        <f>IFERROR(MID($B450,FIND("[",$B450)+1,FIND("]",$B450)-FIND("[",$B450)-1),"")</f>
        <v/>
      </c>
      <c r="D450" s="15">
        <f>IFERROR(INDEX(Personnes!$B$5:$B$153,MATCH($C450,Personnes!$A$5:$A$153,0))&amp;"","")</f>
        <v/>
      </c>
      <c r="E450" s="15">
        <f>IFERROR(INDEX(Personnes!$C$5:$C$153,MATCH($C450,Personnes!$A$5:$A$153,0))&amp;"","")</f>
        <v/>
      </c>
      <c r="F450" s="14" t="n"/>
      <c r="G450" s="14" t="n"/>
      <c r="H450" s="14" t="n"/>
      <c r="I450" s="16" t="n"/>
      <c r="J450" s="16" t="n"/>
      <c r="K450" s="18" t="n"/>
      <c r="L450" s="18" t="n"/>
      <c r="M450" s="15">
        <f>IF($B450="","",IF($C450="","personne non reconnue",IF(ISERROR(SEARCH(TRIM($E450&amp;" "&amp;$D450),$B450)),"libellé incohérent avec l’identifiant",IF(COUNTIFS($A$5:$A$500,$A450,$C$5:$C$500,$C450,$F$5:$F$500,$F450,$G$5:$G$500,$G450)&gt;1,"doublon",IF($F450="","groupe manquant",IF($G450="","rôle manquant",IF($H450="","support de saisie manquant",IF(AND($I450&lt;&gt;"",$J450&lt;&gt;"",$J450&lt;$I450),"date de fin antérieure à la date de début",IF(AND($G450="encadrant",IFERROR(INDEX(Personnes!$F$5:$F$153,MATCH($C450,Personnes!$A$5:$A$153,0)),"")=""),"courriel encadrant manquant","ok")))))))))</f>
        <v/>
      </c>
    </row>
    <row r="451">
      <c r="B451" s="14" t="n"/>
      <c r="C451" s="15">
        <f>IFERROR(MID($B451,FIND("[",$B451)+1,FIND("]",$B451)-FIND("[",$B451)-1),"")</f>
        <v/>
      </c>
      <c r="D451" s="15">
        <f>IFERROR(INDEX(Personnes!$B$5:$B$153,MATCH($C451,Personnes!$A$5:$A$153,0))&amp;"","")</f>
        <v/>
      </c>
      <c r="E451" s="15">
        <f>IFERROR(INDEX(Personnes!$C$5:$C$153,MATCH($C451,Personnes!$A$5:$A$153,0))&amp;"","")</f>
        <v/>
      </c>
      <c r="F451" s="14" t="n"/>
      <c r="G451" s="14" t="n"/>
      <c r="H451" s="14" t="n"/>
      <c r="I451" s="16" t="n"/>
      <c r="J451" s="16" t="n"/>
      <c r="K451" s="18" t="n"/>
      <c r="L451" s="18" t="n"/>
      <c r="M451" s="15">
        <f>IF($B451="","",IF($C451="","personne non reconnue",IF(ISERROR(SEARCH(TRIM($E451&amp;" "&amp;$D451),$B451)),"libellé incohérent avec l’identifiant",IF(COUNTIFS($A$5:$A$500,$A451,$C$5:$C$500,$C451,$F$5:$F$500,$F451,$G$5:$G$500,$G451)&gt;1,"doublon",IF($F451="","groupe manquant",IF($G451="","rôle manquant",IF($H451="","support de saisie manquant",IF(AND($I451&lt;&gt;"",$J451&lt;&gt;"",$J451&lt;$I451),"date de fin antérieure à la date de début",IF(AND($G451="encadrant",IFERROR(INDEX(Personnes!$F$5:$F$153,MATCH($C451,Personnes!$A$5:$A$153,0)),"")=""),"courriel encadrant manquant","ok")))))))))</f>
        <v/>
      </c>
    </row>
    <row r="452">
      <c r="B452" s="14" t="n"/>
      <c r="C452" s="15">
        <f>IFERROR(MID($B452,FIND("[",$B452)+1,FIND("]",$B452)-FIND("[",$B452)-1),"")</f>
        <v/>
      </c>
      <c r="D452" s="15">
        <f>IFERROR(INDEX(Personnes!$B$5:$B$153,MATCH($C452,Personnes!$A$5:$A$153,0))&amp;"","")</f>
        <v/>
      </c>
      <c r="E452" s="15">
        <f>IFERROR(INDEX(Personnes!$C$5:$C$153,MATCH($C452,Personnes!$A$5:$A$153,0))&amp;"","")</f>
        <v/>
      </c>
      <c r="F452" s="14" t="n"/>
      <c r="G452" s="14" t="n"/>
      <c r="H452" s="14" t="n"/>
      <c r="I452" s="16" t="n"/>
      <c r="J452" s="16" t="n"/>
      <c r="K452" s="18" t="n"/>
      <c r="L452" s="18" t="n"/>
      <c r="M452" s="15">
        <f>IF($B452="","",IF($C452="","personne non reconnue",IF(ISERROR(SEARCH(TRIM($E452&amp;" "&amp;$D452),$B452)),"libellé incohérent avec l’identifiant",IF(COUNTIFS($A$5:$A$500,$A452,$C$5:$C$500,$C452,$F$5:$F$500,$F452,$G$5:$G$500,$G452)&gt;1,"doublon",IF($F452="","groupe manquant",IF($G452="","rôle manquant",IF($H452="","support de saisie manquant",IF(AND($I452&lt;&gt;"",$J452&lt;&gt;"",$J452&lt;$I452),"date de fin antérieure à la date de début",IF(AND($G452="encadrant",IFERROR(INDEX(Personnes!$F$5:$F$153,MATCH($C452,Personnes!$A$5:$A$153,0)),"")=""),"courriel encadrant manquant","ok")))))))))</f>
        <v/>
      </c>
    </row>
    <row r="453">
      <c r="B453" s="14" t="n"/>
      <c r="C453" s="15">
        <f>IFERROR(MID($B453,FIND("[",$B453)+1,FIND("]",$B453)-FIND("[",$B453)-1),"")</f>
        <v/>
      </c>
      <c r="D453" s="15">
        <f>IFERROR(INDEX(Personnes!$B$5:$B$153,MATCH($C453,Personnes!$A$5:$A$153,0))&amp;"","")</f>
        <v/>
      </c>
      <c r="E453" s="15">
        <f>IFERROR(INDEX(Personnes!$C$5:$C$153,MATCH($C453,Personnes!$A$5:$A$153,0))&amp;"","")</f>
        <v/>
      </c>
      <c r="F453" s="14" t="n"/>
      <c r="G453" s="14" t="n"/>
      <c r="H453" s="14" t="n"/>
      <c r="I453" s="16" t="n"/>
      <c r="J453" s="16" t="n"/>
      <c r="K453" s="18" t="n"/>
      <c r="L453" s="18" t="n"/>
      <c r="M453" s="15">
        <f>IF($B453="","",IF($C453="","personne non reconnue",IF(ISERROR(SEARCH(TRIM($E453&amp;" "&amp;$D453),$B453)),"libellé incohérent avec l’identifiant",IF(COUNTIFS($A$5:$A$500,$A453,$C$5:$C$500,$C453,$F$5:$F$500,$F453,$G$5:$G$500,$G453)&gt;1,"doublon",IF($F453="","groupe manquant",IF($G453="","rôle manquant",IF($H453="","support de saisie manquant",IF(AND($I453&lt;&gt;"",$J453&lt;&gt;"",$J453&lt;$I453),"date de fin antérieure à la date de début",IF(AND($G453="encadrant",IFERROR(INDEX(Personnes!$F$5:$F$153,MATCH($C453,Personnes!$A$5:$A$153,0)),"")=""),"courriel encadrant manquant","ok")))))))))</f>
        <v/>
      </c>
    </row>
    <row r="454">
      <c r="B454" s="14" t="n"/>
      <c r="C454" s="15">
        <f>IFERROR(MID($B454,FIND("[",$B454)+1,FIND("]",$B454)-FIND("[",$B454)-1),"")</f>
        <v/>
      </c>
      <c r="D454" s="15">
        <f>IFERROR(INDEX(Personnes!$B$5:$B$153,MATCH($C454,Personnes!$A$5:$A$153,0))&amp;"","")</f>
        <v/>
      </c>
      <c r="E454" s="15">
        <f>IFERROR(INDEX(Personnes!$C$5:$C$153,MATCH($C454,Personnes!$A$5:$A$153,0))&amp;"","")</f>
        <v/>
      </c>
      <c r="F454" s="14" t="n"/>
      <c r="G454" s="14" t="n"/>
      <c r="H454" s="14" t="n"/>
      <c r="I454" s="16" t="n"/>
      <c r="J454" s="16" t="n"/>
      <c r="K454" s="18" t="n"/>
      <c r="L454" s="18" t="n"/>
      <c r="M454" s="15">
        <f>IF($B454="","",IF($C454="","personne non reconnue",IF(ISERROR(SEARCH(TRIM($E454&amp;" "&amp;$D454),$B454)),"libellé incohérent avec l’identifiant",IF(COUNTIFS($A$5:$A$500,$A454,$C$5:$C$500,$C454,$F$5:$F$500,$F454,$G$5:$G$500,$G454)&gt;1,"doublon",IF($F454="","groupe manquant",IF($G454="","rôle manquant",IF($H454="","support de saisie manquant",IF(AND($I454&lt;&gt;"",$J454&lt;&gt;"",$J454&lt;$I454),"date de fin antérieure à la date de début",IF(AND($G454="encadrant",IFERROR(INDEX(Personnes!$F$5:$F$153,MATCH($C454,Personnes!$A$5:$A$153,0)),"")=""),"courriel encadrant manquant","ok")))))))))</f>
        <v/>
      </c>
    </row>
    <row r="455">
      <c r="B455" s="14" t="n"/>
      <c r="C455" s="15">
        <f>IFERROR(MID($B455,FIND("[",$B455)+1,FIND("]",$B455)-FIND("[",$B455)-1),"")</f>
        <v/>
      </c>
      <c r="D455" s="15">
        <f>IFERROR(INDEX(Personnes!$B$5:$B$153,MATCH($C455,Personnes!$A$5:$A$153,0))&amp;"","")</f>
        <v/>
      </c>
      <c r="E455" s="15">
        <f>IFERROR(INDEX(Personnes!$C$5:$C$153,MATCH($C455,Personnes!$A$5:$A$153,0))&amp;"","")</f>
        <v/>
      </c>
      <c r="F455" s="14" t="n"/>
      <c r="G455" s="14" t="n"/>
      <c r="H455" s="14" t="n"/>
      <c r="I455" s="16" t="n"/>
      <c r="J455" s="16" t="n"/>
      <c r="K455" s="18" t="n"/>
      <c r="L455" s="18" t="n"/>
      <c r="M455" s="15">
        <f>IF($B455="","",IF($C455="","personne non reconnue",IF(ISERROR(SEARCH(TRIM($E455&amp;" "&amp;$D455),$B455)),"libellé incohérent avec l’identifiant",IF(COUNTIFS($A$5:$A$500,$A455,$C$5:$C$500,$C455,$F$5:$F$500,$F455,$G$5:$G$500,$G455)&gt;1,"doublon",IF($F455="","groupe manquant",IF($G455="","rôle manquant",IF($H455="","support de saisie manquant",IF(AND($I455&lt;&gt;"",$J455&lt;&gt;"",$J455&lt;$I455),"date de fin antérieure à la date de début",IF(AND($G455="encadrant",IFERROR(INDEX(Personnes!$F$5:$F$153,MATCH($C455,Personnes!$A$5:$A$153,0)),"")=""),"courriel encadrant manquant","ok")))))))))</f>
        <v/>
      </c>
    </row>
    <row r="456">
      <c r="B456" s="14" t="n"/>
      <c r="C456" s="15">
        <f>IFERROR(MID($B456,FIND("[",$B456)+1,FIND("]",$B456)-FIND("[",$B456)-1),"")</f>
        <v/>
      </c>
      <c r="D456" s="15">
        <f>IFERROR(INDEX(Personnes!$B$5:$B$153,MATCH($C456,Personnes!$A$5:$A$153,0))&amp;"","")</f>
        <v/>
      </c>
      <c r="E456" s="15">
        <f>IFERROR(INDEX(Personnes!$C$5:$C$153,MATCH($C456,Personnes!$A$5:$A$153,0))&amp;"","")</f>
        <v/>
      </c>
      <c r="F456" s="14" t="n"/>
      <c r="G456" s="14" t="n"/>
      <c r="H456" s="14" t="n"/>
      <c r="I456" s="16" t="n"/>
      <c r="J456" s="16" t="n"/>
      <c r="K456" s="18" t="n"/>
      <c r="L456" s="18" t="n"/>
      <c r="M456" s="15">
        <f>IF($B456="","",IF($C456="","personne non reconnue",IF(ISERROR(SEARCH(TRIM($E456&amp;" "&amp;$D456),$B456)),"libellé incohérent avec l’identifiant",IF(COUNTIFS($A$5:$A$500,$A456,$C$5:$C$500,$C456,$F$5:$F$500,$F456,$G$5:$G$500,$G456)&gt;1,"doublon",IF($F456="","groupe manquant",IF($G456="","rôle manquant",IF($H456="","support de saisie manquant",IF(AND($I456&lt;&gt;"",$J456&lt;&gt;"",$J456&lt;$I456),"date de fin antérieure à la date de début",IF(AND($G456="encadrant",IFERROR(INDEX(Personnes!$F$5:$F$153,MATCH($C456,Personnes!$A$5:$A$153,0)),"")=""),"courriel encadrant manquant","ok")))))))))</f>
        <v/>
      </c>
    </row>
    <row r="457">
      <c r="B457" s="14" t="n"/>
      <c r="C457" s="15">
        <f>IFERROR(MID($B457,FIND("[",$B457)+1,FIND("]",$B457)-FIND("[",$B457)-1),"")</f>
        <v/>
      </c>
      <c r="D457" s="15">
        <f>IFERROR(INDEX(Personnes!$B$5:$B$153,MATCH($C457,Personnes!$A$5:$A$153,0))&amp;"","")</f>
        <v/>
      </c>
      <c r="E457" s="15">
        <f>IFERROR(INDEX(Personnes!$C$5:$C$153,MATCH($C457,Personnes!$A$5:$A$153,0))&amp;"","")</f>
        <v/>
      </c>
      <c r="F457" s="14" t="n"/>
      <c r="G457" s="14" t="n"/>
      <c r="H457" s="14" t="n"/>
      <c r="I457" s="16" t="n"/>
      <c r="J457" s="16" t="n"/>
      <c r="K457" s="18" t="n"/>
      <c r="L457" s="18" t="n"/>
      <c r="M457" s="15">
        <f>IF($B457="","",IF($C457="","personne non reconnue",IF(ISERROR(SEARCH(TRIM($E457&amp;" "&amp;$D457),$B457)),"libellé incohérent avec l’identifiant",IF(COUNTIFS($A$5:$A$500,$A457,$C$5:$C$500,$C457,$F$5:$F$500,$F457,$G$5:$G$500,$G457)&gt;1,"doublon",IF($F457="","groupe manquant",IF($G457="","rôle manquant",IF($H457="","support de saisie manquant",IF(AND($I457&lt;&gt;"",$J457&lt;&gt;"",$J457&lt;$I457),"date de fin antérieure à la date de début",IF(AND($G457="encadrant",IFERROR(INDEX(Personnes!$F$5:$F$153,MATCH($C457,Personnes!$A$5:$A$153,0)),"")=""),"courriel encadrant manquant","ok")))))))))</f>
        <v/>
      </c>
    </row>
    <row r="458">
      <c r="B458" s="14" t="n"/>
      <c r="C458" s="15">
        <f>IFERROR(MID($B458,FIND("[",$B458)+1,FIND("]",$B458)-FIND("[",$B458)-1),"")</f>
        <v/>
      </c>
      <c r="D458" s="15">
        <f>IFERROR(INDEX(Personnes!$B$5:$B$153,MATCH($C458,Personnes!$A$5:$A$153,0))&amp;"","")</f>
        <v/>
      </c>
      <c r="E458" s="15">
        <f>IFERROR(INDEX(Personnes!$C$5:$C$153,MATCH($C458,Personnes!$A$5:$A$153,0))&amp;"","")</f>
        <v/>
      </c>
      <c r="F458" s="14" t="n"/>
      <c r="G458" s="14" t="n"/>
      <c r="H458" s="14" t="n"/>
      <c r="I458" s="16" t="n"/>
      <c r="J458" s="16" t="n"/>
      <c r="K458" s="18" t="n"/>
      <c r="L458" s="18" t="n"/>
      <c r="M458" s="15">
        <f>IF($B458="","",IF($C458="","personne non reconnue",IF(ISERROR(SEARCH(TRIM($E458&amp;" "&amp;$D458),$B458)),"libellé incohérent avec l’identifiant",IF(COUNTIFS($A$5:$A$500,$A458,$C$5:$C$500,$C458,$F$5:$F$500,$F458,$G$5:$G$500,$G458)&gt;1,"doublon",IF($F458="","groupe manquant",IF($G458="","rôle manquant",IF($H458="","support de saisie manquant",IF(AND($I458&lt;&gt;"",$J458&lt;&gt;"",$J458&lt;$I458),"date de fin antérieure à la date de début",IF(AND($G458="encadrant",IFERROR(INDEX(Personnes!$F$5:$F$153,MATCH($C458,Personnes!$A$5:$A$153,0)),"")=""),"courriel encadrant manquant","ok")))))))))</f>
        <v/>
      </c>
    </row>
    <row r="459">
      <c r="B459" s="14" t="n"/>
      <c r="C459" s="15">
        <f>IFERROR(MID($B459,FIND("[",$B459)+1,FIND("]",$B459)-FIND("[",$B459)-1),"")</f>
        <v/>
      </c>
      <c r="D459" s="15">
        <f>IFERROR(INDEX(Personnes!$B$5:$B$153,MATCH($C459,Personnes!$A$5:$A$153,0))&amp;"","")</f>
        <v/>
      </c>
      <c r="E459" s="15">
        <f>IFERROR(INDEX(Personnes!$C$5:$C$153,MATCH($C459,Personnes!$A$5:$A$153,0))&amp;"","")</f>
        <v/>
      </c>
      <c r="F459" s="14" t="n"/>
      <c r="G459" s="14" t="n"/>
      <c r="H459" s="14" t="n"/>
      <c r="I459" s="16" t="n"/>
      <c r="J459" s="16" t="n"/>
      <c r="K459" s="18" t="n"/>
      <c r="L459" s="18" t="n"/>
      <c r="M459" s="15">
        <f>IF($B459="","",IF($C459="","personne non reconnue",IF(ISERROR(SEARCH(TRIM($E459&amp;" "&amp;$D459),$B459)),"libellé incohérent avec l’identifiant",IF(COUNTIFS($A$5:$A$500,$A459,$C$5:$C$500,$C459,$F$5:$F$500,$F459,$G$5:$G$500,$G459)&gt;1,"doublon",IF($F459="","groupe manquant",IF($G459="","rôle manquant",IF($H459="","support de saisie manquant",IF(AND($I459&lt;&gt;"",$J459&lt;&gt;"",$J459&lt;$I459),"date de fin antérieure à la date de début",IF(AND($G459="encadrant",IFERROR(INDEX(Personnes!$F$5:$F$153,MATCH($C459,Personnes!$A$5:$A$153,0)),"")=""),"courriel encadrant manquant","ok")))))))))</f>
        <v/>
      </c>
    </row>
    <row r="460">
      <c r="B460" s="14" t="n"/>
      <c r="C460" s="15">
        <f>IFERROR(MID($B460,FIND("[",$B460)+1,FIND("]",$B460)-FIND("[",$B460)-1),"")</f>
        <v/>
      </c>
      <c r="D460" s="15">
        <f>IFERROR(INDEX(Personnes!$B$5:$B$153,MATCH($C460,Personnes!$A$5:$A$153,0))&amp;"","")</f>
        <v/>
      </c>
      <c r="E460" s="15">
        <f>IFERROR(INDEX(Personnes!$C$5:$C$153,MATCH($C460,Personnes!$A$5:$A$153,0))&amp;"","")</f>
        <v/>
      </c>
      <c r="F460" s="14" t="n"/>
      <c r="G460" s="14" t="n"/>
      <c r="H460" s="14" t="n"/>
      <c r="I460" s="16" t="n"/>
      <c r="J460" s="16" t="n"/>
      <c r="K460" s="18" t="n"/>
      <c r="L460" s="18" t="n"/>
      <c r="M460" s="15">
        <f>IF($B460="","",IF($C460="","personne non reconnue",IF(ISERROR(SEARCH(TRIM($E460&amp;" "&amp;$D460),$B460)),"libellé incohérent avec l’identifiant",IF(COUNTIFS($A$5:$A$500,$A460,$C$5:$C$500,$C460,$F$5:$F$500,$F460,$G$5:$G$500,$G460)&gt;1,"doublon",IF($F460="","groupe manquant",IF($G460="","rôle manquant",IF($H460="","support de saisie manquant",IF(AND($I460&lt;&gt;"",$J460&lt;&gt;"",$J460&lt;$I460),"date de fin antérieure à la date de début",IF(AND($G460="encadrant",IFERROR(INDEX(Personnes!$F$5:$F$153,MATCH($C460,Personnes!$A$5:$A$153,0)),"")=""),"courriel encadrant manquant","ok")))))))))</f>
        <v/>
      </c>
    </row>
    <row r="461">
      <c r="B461" s="14" t="n"/>
      <c r="C461" s="15">
        <f>IFERROR(MID($B461,FIND("[",$B461)+1,FIND("]",$B461)-FIND("[",$B461)-1),"")</f>
        <v/>
      </c>
      <c r="D461" s="15">
        <f>IFERROR(INDEX(Personnes!$B$5:$B$153,MATCH($C461,Personnes!$A$5:$A$153,0))&amp;"","")</f>
        <v/>
      </c>
      <c r="E461" s="15">
        <f>IFERROR(INDEX(Personnes!$C$5:$C$153,MATCH($C461,Personnes!$A$5:$A$153,0))&amp;"","")</f>
        <v/>
      </c>
      <c r="F461" s="14" t="n"/>
      <c r="G461" s="14" t="n"/>
      <c r="H461" s="14" t="n"/>
      <c r="I461" s="16" t="n"/>
      <c r="J461" s="16" t="n"/>
      <c r="K461" s="18" t="n"/>
      <c r="L461" s="18" t="n"/>
      <c r="M461" s="15">
        <f>IF($B461="","",IF($C461="","personne non reconnue",IF(ISERROR(SEARCH(TRIM($E461&amp;" "&amp;$D461),$B461)),"libellé incohérent avec l’identifiant",IF(COUNTIFS($A$5:$A$500,$A461,$C$5:$C$500,$C461,$F$5:$F$500,$F461,$G$5:$G$500,$G461)&gt;1,"doublon",IF($F461="","groupe manquant",IF($G461="","rôle manquant",IF($H461="","support de saisie manquant",IF(AND($I461&lt;&gt;"",$J461&lt;&gt;"",$J461&lt;$I461),"date de fin antérieure à la date de début",IF(AND($G461="encadrant",IFERROR(INDEX(Personnes!$F$5:$F$153,MATCH($C461,Personnes!$A$5:$A$153,0)),"")=""),"courriel encadrant manquant","ok")))))))))</f>
        <v/>
      </c>
    </row>
    <row r="462">
      <c r="B462" s="14" t="n"/>
      <c r="C462" s="15">
        <f>IFERROR(MID($B462,FIND("[",$B462)+1,FIND("]",$B462)-FIND("[",$B462)-1),"")</f>
        <v/>
      </c>
      <c r="D462" s="15">
        <f>IFERROR(INDEX(Personnes!$B$5:$B$153,MATCH($C462,Personnes!$A$5:$A$153,0))&amp;"","")</f>
        <v/>
      </c>
      <c r="E462" s="15">
        <f>IFERROR(INDEX(Personnes!$C$5:$C$153,MATCH($C462,Personnes!$A$5:$A$153,0))&amp;"","")</f>
        <v/>
      </c>
      <c r="F462" s="14" t="n"/>
      <c r="G462" s="14" t="n"/>
      <c r="H462" s="14" t="n"/>
      <c r="I462" s="16" t="n"/>
      <c r="J462" s="16" t="n"/>
      <c r="K462" s="18" t="n"/>
      <c r="L462" s="18" t="n"/>
      <c r="M462" s="15">
        <f>IF($B462="","",IF($C462="","personne non reconnue",IF(ISERROR(SEARCH(TRIM($E462&amp;" "&amp;$D462),$B462)),"libellé incohérent avec l’identifiant",IF(COUNTIFS($A$5:$A$500,$A462,$C$5:$C$500,$C462,$F$5:$F$500,$F462,$G$5:$G$500,$G462)&gt;1,"doublon",IF($F462="","groupe manquant",IF($G462="","rôle manquant",IF($H462="","support de saisie manquant",IF(AND($I462&lt;&gt;"",$J462&lt;&gt;"",$J462&lt;$I462),"date de fin antérieure à la date de début",IF(AND($G462="encadrant",IFERROR(INDEX(Personnes!$F$5:$F$153,MATCH($C462,Personnes!$A$5:$A$153,0)),"")=""),"courriel encadrant manquant","ok")))))))))</f>
        <v/>
      </c>
    </row>
    <row r="463">
      <c r="B463" s="14" t="n"/>
      <c r="C463" s="15">
        <f>IFERROR(MID($B463,FIND("[",$B463)+1,FIND("]",$B463)-FIND("[",$B463)-1),"")</f>
        <v/>
      </c>
      <c r="D463" s="15">
        <f>IFERROR(INDEX(Personnes!$B$5:$B$153,MATCH($C463,Personnes!$A$5:$A$153,0))&amp;"","")</f>
        <v/>
      </c>
      <c r="E463" s="15">
        <f>IFERROR(INDEX(Personnes!$C$5:$C$153,MATCH($C463,Personnes!$A$5:$A$153,0))&amp;"","")</f>
        <v/>
      </c>
      <c r="F463" s="14" t="n"/>
      <c r="G463" s="14" t="n"/>
      <c r="H463" s="14" t="n"/>
      <c r="I463" s="16" t="n"/>
      <c r="J463" s="16" t="n"/>
      <c r="K463" s="18" t="n"/>
      <c r="L463" s="18" t="n"/>
      <c r="M463" s="15">
        <f>IF($B463="","",IF($C463="","personne non reconnue",IF(ISERROR(SEARCH(TRIM($E463&amp;" "&amp;$D463),$B463)),"libellé incohérent avec l’identifiant",IF(COUNTIFS($A$5:$A$500,$A463,$C$5:$C$500,$C463,$F$5:$F$500,$F463,$G$5:$G$500,$G463)&gt;1,"doublon",IF($F463="","groupe manquant",IF($G463="","rôle manquant",IF($H463="","support de saisie manquant",IF(AND($I463&lt;&gt;"",$J463&lt;&gt;"",$J463&lt;$I463),"date de fin antérieure à la date de début",IF(AND($G463="encadrant",IFERROR(INDEX(Personnes!$F$5:$F$153,MATCH($C463,Personnes!$A$5:$A$153,0)),"")=""),"courriel encadrant manquant","ok")))))))))</f>
        <v/>
      </c>
    </row>
    <row r="464">
      <c r="B464" s="14" t="n"/>
      <c r="C464" s="15">
        <f>IFERROR(MID($B464,FIND("[",$B464)+1,FIND("]",$B464)-FIND("[",$B464)-1),"")</f>
        <v/>
      </c>
      <c r="D464" s="15">
        <f>IFERROR(INDEX(Personnes!$B$5:$B$153,MATCH($C464,Personnes!$A$5:$A$153,0))&amp;"","")</f>
        <v/>
      </c>
      <c r="E464" s="15">
        <f>IFERROR(INDEX(Personnes!$C$5:$C$153,MATCH($C464,Personnes!$A$5:$A$153,0))&amp;"","")</f>
        <v/>
      </c>
      <c r="F464" s="14" t="n"/>
      <c r="G464" s="14" t="n"/>
      <c r="H464" s="14" t="n"/>
      <c r="I464" s="16" t="n"/>
      <c r="J464" s="16" t="n"/>
      <c r="K464" s="18" t="n"/>
      <c r="L464" s="18" t="n"/>
      <c r="M464" s="15">
        <f>IF($B464="","",IF($C464="","personne non reconnue",IF(ISERROR(SEARCH(TRIM($E464&amp;" "&amp;$D464),$B464)),"libellé incohérent avec l’identifiant",IF(COUNTIFS($A$5:$A$500,$A464,$C$5:$C$500,$C464,$F$5:$F$500,$F464,$G$5:$G$500,$G464)&gt;1,"doublon",IF($F464="","groupe manquant",IF($G464="","rôle manquant",IF($H464="","support de saisie manquant",IF(AND($I464&lt;&gt;"",$J464&lt;&gt;"",$J464&lt;$I464),"date de fin antérieure à la date de début",IF(AND($G464="encadrant",IFERROR(INDEX(Personnes!$F$5:$F$153,MATCH($C464,Personnes!$A$5:$A$153,0)),"")=""),"courriel encadrant manquant","ok")))))))))</f>
        <v/>
      </c>
    </row>
    <row r="465">
      <c r="B465" s="14" t="n"/>
      <c r="C465" s="15">
        <f>IFERROR(MID($B465,FIND("[",$B465)+1,FIND("]",$B465)-FIND("[",$B465)-1),"")</f>
        <v/>
      </c>
      <c r="D465" s="15">
        <f>IFERROR(INDEX(Personnes!$B$5:$B$153,MATCH($C465,Personnes!$A$5:$A$153,0))&amp;"","")</f>
        <v/>
      </c>
      <c r="E465" s="15">
        <f>IFERROR(INDEX(Personnes!$C$5:$C$153,MATCH($C465,Personnes!$A$5:$A$153,0))&amp;"","")</f>
        <v/>
      </c>
      <c r="F465" s="14" t="n"/>
      <c r="G465" s="14" t="n"/>
      <c r="H465" s="14" t="n"/>
      <c r="I465" s="16" t="n"/>
      <c r="J465" s="16" t="n"/>
      <c r="K465" s="18" t="n"/>
      <c r="L465" s="18" t="n"/>
      <c r="M465" s="15">
        <f>IF($B465="","",IF($C465="","personne non reconnue",IF(ISERROR(SEARCH(TRIM($E465&amp;" "&amp;$D465),$B465)),"libellé incohérent avec l’identifiant",IF(COUNTIFS($A$5:$A$500,$A465,$C$5:$C$500,$C465,$F$5:$F$500,$F465,$G$5:$G$500,$G465)&gt;1,"doublon",IF($F465="","groupe manquant",IF($G465="","rôle manquant",IF($H465="","support de saisie manquant",IF(AND($I465&lt;&gt;"",$J465&lt;&gt;"",$J465&lt;$I465),"date de fin antérieure à la date de début",IF(AND($G465="encadrant",IFERROR(INDEX(Personnes!$F$5:$F$153,MATCH($C465,Personnes!$A$5:$A$153,0)),"")=""),"courriel encadrant manquant","ok")))))))))</f>
        <v/>
      </c>
    </row>
    <row r="466">
      <c r="B466" s="14" t="n"/>
      <c r="C466" s="15">
        <f>IFERROR(MID($B466,FIND("[",$B466)+1,FIND("]",$B466)-FIND("[",$B466)-1),"")</f>
        <v/>
      </c>
      <c r="D466" s="15">
        <f>IFERROR(INDEX(Personnes!$B$5:$B$153,MATCH($C466,Personnes!$A$5:$A$153,0))&amp;"","")</f>
        <v/>
      </c>
      <c r="E466" s="15">
        <f>IFERROR(INDEX(Personnes!$C$5:$C$153,MATCH($C466,Personnes!$A$5:$A$153,0))&amp;"","")</f>
        <v/>
      </c>
      <c r="F466" s="14" t="n"/>
      <c r="G466" s="14" t="n"/>
      <c r="H466" s="14" t="n"/>
      <c r="I466" s="16" t="n"/>
      <c r="J466" s="16" t="n"/>
      <c r="K466" s="18" t="n"/>
      <c r="L466" s="18" t="n"/>
      <c r="M466" s="15">
        <f>IF($B466="","",IF($C466="","personne non reconnue",IF(ISERROR(SEARCH(TRIM($E466&amp;" "&amp;$D466),$B466)),"libellé incohérent avec l’identifiant",IF(COUNTIFS($A$5:$A$500,$A466,$C$5:$C$500,$C466,$F$5:$F$500,$F466,$G$5:$G$500,$G466)&gt;1,"doublon",IF($F466="","groupe manquant",IF($G466="","rôle manquant",IF($H466="","support de saisie manquant",IF(AND($I466&lt;&gt;"",$J466&lt;&gt;"",$J466&lt;$I466),"date de fin antérieure à la date de début",IF(AND($G466="encadrant",IFERROR(INDEX(Personnes!$F$5:$F$153,MATCH($C466,Personnes!$A$5:$A$153,0)),"")=""),"courriel encadrant manquant","ok")))))))))</f>
        <v/>
      </c>
    </row>
    <row r="467">
      <c r="B467" s="14" t="n"/>
      <c r="C467" s="15">
        <f>IFERROR(MID($B467,FIND("[",$B467)+1,FIND("]",$B467)-FIND("[",$B467)-1),"")</f>
        <v/>
      </c>
      <c r="D467" s="15">
        <f>IFERROR(INDEX(Personnes!$B$5:$B$153,MATCH($C467,Personnes!$A$5:$A$153,0))&amp;"","")</f>
        <v/>
      </c>
      <c r="E467" s="15">
        <f>IFERROR(INDEX(Personnes!$C$5:$C$153,MATCH($C467,Personnes!$A$5:$A$153,0))&amp;"","")</f>
        <v/>
      </c>
      <c r="F467" s="14" t="n"/>
      <c r="G467" s="14" t="n"/>
      <c r="H467" s="14" t="n"/>
      <c r="I467" s="16" t="n"/>
      <c r="J467" s="16" t="n"/>
      <c r="K467" s="18" t="n"/>
      <c r="L467" s="18" t="n"/>
      <c r="M467" s="15">
        <f>IF($B467="","",IF($C467="","personne non reconnue",IF(ISERROR(SEARCH(TRIM($E467&amp;" "&amp;$D467),$B467)),"libellé incohérent avec l’identifiant",IF(COUNTIFS($A$5:$A$500,$A467,$C$5:$C$500,$C467,$F$5:$F$500,$F467,$G$5:$G$500,$G467)&gt;1,"doublon",IF($F467="","groupe manquant",IF($G467="","rôle manquant",IF($H467="","support de saisie manquant",IF(AND($I467&lt;&gt;"",$J467&lt;&gt;"",$J467&lt;$I467),"date de fin antérieure à la date de début",IF(AND($G467="encadrant",IFERROR(INDEX(Personnes!$F$5:$F$153,MATCH($C467,Personnes!$A$5:$A$153,0)),"")=""),"courriel encadrant manquant","ok")))))))))</f>
        <v/>
      </c>
    </row>
    <row r="468">
      <c r="B468" s="14" t="n"/>
      <c r="C468" s="15">
        <f>IFERROR(MID($B468,FIND("[",$B468)+1,FIND("]",$B468)-FIND("[",$B468)-1),"")</f>
        <v/>
      </c>
      <c r="D468" s="15">
        <f>IFERROR(INDEX(Personnes!$B$5:$B$153,MATCH($C468,Personnes!$A$5:$A$153,0))&amp;"","")</f>
        <v/>
      </c>
      <c r="E468" s="15">
        <f>IFERROR(INDEX(Personnes!$C$5:$C$153,MATCH($C468,Personnes!$A$5:$A$153,0))&amp;"","")</f>
        <v/>
      </c>
      <c r="F468" s="14" t="n"/>
      <c r="G468" s="14" t="n"/>
      <c r="H468" s="14" t="n"/>
      <c r="I468" s="16" t="n"/>
      <c r="J468" s="16" t="n"/>
      <c r="K468" s="18" t="n"/>
      <c r="L468" s="18" t="n"/>
      <c r="M468" s="15">
        <f>IF($B468="","",IF($C468="","personne non reconnue",IF(ISERROR(SEARCH(TRIM($E468&amp;" "&amp;$D468),$B468)),"libellé incohérent avec l’identifiant",IF(COUNTIFS($A$5:$A$500,$A468,$C$5:$C$500,$C468,$F$5:$F$500,$F468,$G$5:$G$500,$G468)&gt;1,"doublon",IF($F468="","groupe manquant",IF($G468="","rôle manquant",IF($H468="","support de saisie manquant",IF(AND($I468&lt;&gt;"",$J468&lt;&gt;"",$J468&lt;$I468),"date de fin antérieure à la date de début",IF(AND($G468="encadrant",IFERROR(INDEX(Personnes!$F$5:$F$153,MATCH($C468,Personnes!$A$5:$A$153,0)),"")=""),"courriel encadrant manquant","ok")))))))))</f>
        <v/>
      </c>
    </row>
    <row r="469">
      <c r="B469" s="14" t="n"/>
      <c r="C469" s="15">
        <f>IFERROR(MID($B469,FIND("[",$B469)+1,FIND("]",$B469)-FIND("[",$B469)-1),"")</f>
        <v/>
      </c>
      <c r="D469" s="15">
        <f>IFERROR(INDEX(Personnes!$B$5:$B$153,MATCH($C469,Personnes!$A$5:$A$153,0))&amp;"","")</f>
        <v/>
      </c>
      <c r="E469" s="15">
        <f>IFERROR(INDEX(Personnes!$C$5:$C$153,MATCH($C469,Personnes!$A$5:$A$153,0))&amp;"","")</f>
        <v/>
      </c>
      <c r="F469" s="14" t="n"/>
      <c r="G469" s="14" t="n"/>
      <c r="H469" s="14" t="n"/>
      <c r="I469" s="16" t="n"/>
      <c r="J469" s="16" t="n"/>
      <c r="K469" s="18" t="n"/>
      <c r="L469" s="18" t="n"/>
      <c r="M469" s="15">
        <f>IF($B469="","",IF($C469="","personne non reconnue",IF(ISERROR(SEARCH(TRIM($E469&amp;" "&amp;$D469),$B469)),"libellé incohérent avec l’identifiant",IF(COUNTIFS($A$5:$A$500,$A469,$C$5:$C$500,$C469,$F$5:$F$500,$F469,$G$5:$G$500,$G469)&gt;1,"doublon",IF($F469="","groupe manquant",IF($G469="","rôle manquant",IF($H469="","support de saisie manquant",IF(AND($I469&lt;&gt;"",$J469&lt;&gt;"",$J469&lt;$I469),"date de fin antérieure à la date de début",IF(AND($G469="encadrant",IFERROR(INDEX(Personnes!$F$5:$F$153,MATCH($C469,Personnes!$A$5:$A$153,0)),"")=""),"courriel encadrant manquant","ok")))))))))</f>
        <v/>
      </c>
    </row>
    <row r="470">
      <c r="B470" s="14" t="n"/>
      <c r="C470" s="15">
        <f>IFERROR(MID($B470,FIND("[",$B470)+1,FIND("]",$B470)-FIND("[",$B470)-1),"")</f>
        <v/>
      </c>
      <c r="D470" s="15">
        <f>IFERROR(INDEX(Personnes!$B$5:$B$153,MATCH($C470,Personnes!$A$5:$A$153,0))&amp;"","")</f>
        <v/>
      </c>
      <c r="E470" s="15">
        <f>IFERROR(INDEX(Personnes!$C$5:$C$153,MATCH($C470,Personnes!$A$5:$A$153,0))&amp;"","")</f>
        <v/>
      </c>
      <c r="F470" s="14" t="n"/>
      <c r="G470" s="14" t="n"/>
      <c r="H470" s="14" t="n"/>
      <c r="I470" s="16" t="n"/>
      <c r="J470" s="16" t="n"/>
      <c r="K470" s="18" t="n"/>
      <c r="L470" s="18" t="n"/>
      <c r="M470" s="15">
        <f>IF($B470="","",IF($C470="","personne non reconnue",IF(ISERROR(SEARCH(TRIM($E470&amp;" "&amp;$D470),$B470)),"libellé incohérent avec l’identifiant",IF(COUNTIFS($A$5:$A$500,$A470,$C$5:$C$500,$C470,$F$5:$F$500,$F470,$G$5:$G$500,$G470)&gt;1,"doublon",IF($F470="","groupe manquant",IF($G470="","rôle manquant",IF($H470="","support de saisie manquant",IF(AND($I470&lt;&gt;"",$J470&lt;&gt;"",$J470&lt;$I470),"date de fin antérieure à la date de début",IF(AND($G470="encadrant",IFERROR(INDEX(Personnes!$F$5:$F$153,MATCH($C470,Personnes!$A$5:$A$153,0)),"")=""),"courriel encadrant manquant","ok")))))))))</f>
        <v/>
      </c>
    </row>
    <row r="471">
      <c r="B471" s="14" t="n"/>
      <c r="C471" s="15">
        <f>IFERROR(MID($B471,FIND("[",$B471)+1,FIND("]",$B471)-FIND("[",$B471)-1),"")</f>
        <v/>
      </c>
      <c r="D471" s="15">
        <f>IFERROR(INDEX(Personnes!$B$5:$B$153,MATCH($C471,Personnes!$A$5:$A$153,0))&amp;"","")</f>
        <v/>
      </c>
      <c r="E471" s="15">
        <f>IFERROR(INDEX(Personnes!$C$5:$C$153,MATCH($C471,Personnes!$A$5:$A$153,0))&amp;"","")</f>
        <v/>
      </c>
      <c r="F471" s="14" t="n"/>
      <c r="G471" s="14" t="n"/>
      <c r="H471" s="14" t="n"/>
      <c r="I471" s="16" t="n"/>
      <c r="J471" s="16" t="n"/>
      <c r="K471" s="18" t="n"/>
      <c r="L471" s="18" t="n"/>
      <c r="M471" s="15">
        <f>IF($B471="","",IF($C471="","personne non reconnue",IF(ISERROR(SEARCH(TRIM($E471&amp;" "&amp;$D471),$B471)),"libellé incohérent avec l’identifiant",IF(COUNTIFS($A$5:$A$500,$A471,$C$5:$C$500,$C471,$F$5:$F$500,$F471,$G$5:$G$500,$G471)&gt;1,"doublon",IF($F471="","groupe manquant",IF($G471="","rôle manquant",IF($H471="","support de saisie manquant",IF(AND($I471&lt;&gt;"",$J471&lt;&gt;"",$J471&lt;$I471),"date de fin antérieure à la date de début",IF(AND($G471="encadrant",IFERROR(INDEX(Personnes!$F$5:$F$153,MATCH($C471,Personnes!$A$5:$A$153,0)),"")=""),"courriel encadrant manquant","ok")))))))))</f>
        <v/>
      </c>
    </row>
    <row r="472">
      <c r="B472" s="14" t="n"/>
      <c r="C472" s="15">
        <f>IFERROR(MID($B472,FIND("[",$B472)+1,FIND("]",$B472)-FIND("[",$B472)-1),"")</f>
        <v/>
      </c>
      <c r="D472" s="15">
        <f>IFERROR(INDEX(Personnes!$B$5:$B$153,MATCH($C472,Personnes!$A$5:$A$153,0))&amp;"","")</f>
        <v/>
      </c>
      <c r="E472" s="15">
        <f>IFERROR(INDEX(Personnes!$C$5:$C$153,MATCH($C472,Personnes!$A$5:$A$153,0))&amp;"","")</f>
        <v/>
      </c>
      <c r="F472" s="14" t="n"/>
      <c r="G472" s="14" t="n"/>
      <c r="H472" s="14" t="n"/>
      <c r="I472" s="16" t="n"/>
      <c r="J472" s="16" t="n"/>
      <c r="K472" s="18" t="n"/>
      <c r="L472" s="18" t="n"/>
      <c r="M472" s="15">
        <f>IF($B472="","",IF($C472="","personne non reconnue",IF(ISERROR(SEARCH(TRIM($E472&amp;" "&amp;$D472),$B472)),"libellé incohérent avec l’identifiant",IF(COUNTIFS($A$5:$A$500,$A472,$C$5:$C$500,$C472,$F$5:$F$500,$F472,$G$5:$G$500,$G472)&gt;1,"doublon",IF($F472="","groupe manquant",IF($G472="","rôle manquant",IF($H472="","support de saisie manquant",IF(AND($I472&lt;&gt;"",$J472&lt;&gt;"",$J472&lt;$I472),"date de fin antérieure à la date de début",IF(AND($G472="encadrant",IFERROR(INDEX(Personnes!$F$5:$F$153,MATCH($C472,Personnes!$A$5:$A$153,0)),"")=""),"courriel encadrant manquant","ok")))))))))</f>
        <v/>
      </c>
    </row>
    <row r="473">
      <c r="B473" s="14" t="n"/>
      <c r="C473" s="15">
        <f>IFERROR(MID($B473,FIND("[",$B473)+1,FIND("]",$B473)-FIND("[",$B473)-1),"")</f>
        <v/>
      </c>
      <c r="D473" s="15">
        <f>IFERROR(INDEX(Personnes!$B$5:$B$153,MATCH($C473,Personnes!$A$5:$A$153,0))&amp;"","")</f>
        <v/>
      </c>
      <c r="E473" s="15">
        <f>IFERROR(INDEX(Personnes!$C$5:$C$153,MATCH($C473,Personnes!$A$5:$A$153,0))&amp;"","")</f>
        <v/>
      </c>
      <c r="F473" s="14" t="n"/>
      <c r="G473" s="14" t="n"/>
      <c r="H473" s="14" t="n"/>
      <c r="I473" s="16" t="n"/>
      <c r="J473" s="16" t="n"/>
      <c r="K473" s="18" t="n"/>
      <c r="L473" s="18" t="n"/>
      <c r="M473" s="15">
        <f>IF($B473="","",IF($C473="","personne non reconnue",IF(ISERROR(SEARCH(TRIM($E473&amp;" "&amp;$D473),$B473)),"libellé incohérent avec l’identifiant",IF(COUNTIFS($A$5:$A$500,$A473,$C$5:$C$500,$C473,$F$5:$F$500,$F473,$G$5:$G$500,$G473)&gt;1,"doublon",IF($F473="","groupe manquant",IF($G473="","rôle manquant",IF($H473="","support de saisie manquant",IF(AND($I473&lt;&gt;"",$J473&lt;&gt;"",$J473&lt;$I473),"date de fin antérieure à la date de début",IF(AND($G473="encadrant",IFERROR(INDEX(Personnes!$F$5:$F$153,MATCH($C473,Personnes!$A$5:$A$153,0)),"")=""),"courriel encadrant manquant","ok")))))))))</f>
        <v/>
      </c>
    </row>
    <row r="474">
      <c r="B474" s="14" t="n"/>
      <c r="C474" s="15">
        <f>IFERROR(MID($B474,FIND("[",$B474)+1,FIND("]",$B474)-FIND("[",$B474)-1),"")</f>
        <v/>
      </c>
      <c r="D474" s="15">
        <f>IFERROR(INDEX(Personnes!$B$5:$B$153,MATCH($C474,Personnes!$A$5:$A$153,0))&amp;"","")</f>
        <v/>
      </c>
      <c r="E474" s="15">
        <f>IFERROR(INDEX(Personnes!$C$5:$C$153,MATCH($C474,Personnes!$A$5:$A$153,0))&amp;"","")</f>
        <v/>
      </c>
      <c r="F474" s="14" t="n"/>
      <c r="G474" s="14" t="n"/>
      <c r="H474" s="14" t="n"/>
      <c r="I474" s="16" t="n"/>
      <c r="J474" s="16" t="n"/>
      <c r="K474" s="18" t="n"/>
      <c r="L474" s="18" t="n"/>
      <c r="M474" s="15">
        <f>IF($B474="","",IF($C474="","personne non reconnue",IF(ISERROR(SEARCH(TRIM($E474&amp;" "&amp;$D474),$B474)),"libellé incohérent avec l’identifiant",IF(COUNTIFS($A$5:$A$500,$A474,$C$5:$C$500,$C474,$F$5:$F$500,$F474,$G$5:$G$500,$G474)&gt;1,"doublon",IF($F474="","groupe manquant",IF($G474="","rôle manquant",IF($H474="","support de saisie manquant",IF(AND($I474&lt;&gt;"",$J474&lt;&gt;"",$J474&lt;$I474),"date de fin antérieure à la date de début",IF(AND($G474="encadrant",IFERROR(INDEX(Personnes!$F$5:$F$153,MATCH($C474,Personnes!$A$5:$A$153,0)),"")=""),"courriel encadrant manquant","ok")))))))))</f>
        <v/>
      </c>
    </row>
    <row r="475">
      <c r="B475" s="14" t="n"/>
      <c r="C475" s="15">
        <f>IFERROR(MID($B475,FIND("[",$B475)+1,FIND("]",$B475)-FIND("[",$B475)-1),"")</f>
        <v/>
      </c>
      <c r="D475" s="15">
        <f>IFERROR(INDEX(Personnes!$B$5:$B$153,MATCH($C475,Personnes!$A$5:$A$153,0))&amp;"","")</f>
        <v/>
      </c>
      <c r="E475" s="15">
        <f>IFERROR(INDEX(Personnes!$C$5:$C$153,MATCH($C475,Personnes!$A$5:$A$153,0))&amp;"","")</f>
        <v/>
      </c>
      <c r="F475" s="14" t="n"/>
      <c r="G475" s="14" t="n"/>
      <c r="H475" s="14" t="n"/>
      <c r="I475" s="16" t="n"/>
      <c r="J475" s="16" t="n"/>
      <c r="K475" s="18" t="n"/>
      <c r="L475" s="18" t="n"/>
      <c r="M475" s="15">
        <f>IF($B475="","",IF($C475="","personne non reconnue",IF(ISERROR(SEARCH(TRIM($E475&amp;" "&amp;$D475),$B475)),"libellé incohérent avec l’identifiant",IF(COUNTIFS($A$5:$A$500,$A475,$C$5:$C$500,$C475,$F$5:$F$500,$F475,$G$5:$G$500,$G475)&gt;1,"doublon",IF($F475="","groupe manquant",IF($G475="","rôle manquant",IF($H475="","support de saisie manquant",IF(AND($I475&lt;&gt;"",$J475&lt;&gt;"",$J475&lt;$I475),"date de fin antérieure à la date de début",IF(AND($G475="encadrant",IFERROR(INDEX(Personnes!$F$5:$F$153,MATCH($C475,Personnes!$A$5:$A$153,0)),"")=""),"courriel encadrant manquant","ok")))))))))</f>
        <v/>
      </c>
    </row>
    <row r="476">
      <c r="B476" s="14" t="n"/>
      <c r="C476" s="15">
        <f>IFERROR(MID($B476,FIND("[",$B476)+1,FIND("]",$B476)-FIND("[",$B476)-1),"")</f>
        <v/>
      </c>
      <c r="D476" s="15">
        <f>IFERROR(INDEX(Personnes!$B$5:$B$153,MATCH($C476,Personnes!$A$5:$A$153,0))&amp;"","")</f>
        <v/>
      </c>
      <c r="E476" s="15">
        <f>IFERROR(INDEX(Personnes!$C$5:$C$153,MATCH($C476,Personnes!$A$5:$A$153,0))&amp;"","")</f>
        <v/>
      </c>
      <c r="F476" s="14" t="n"/>
      <c r="G476" s="14" t="n"/>
      <c r="H476" s="14" t="n"/>
      <c r="I476" s="16" t="n"/>
      <c r="J476" s="16" t="n"/>
      <c r="K476" s="18" t="n"/>
      <c r="L476" s="18" t="n"/>
      <c r="M476" s="15">
        <f>IF($B476="","",IF($C476="","personne non reconnue",IF(ISERROR(SEARCH(TRIM($E476&amp;" "&amp;$D476),$B476)),"libellé incohérent avec l’identifiant",IF(COUNTIFS($A$5:$A$500,$A476,$C$5:$C$500,$C476,$F$5:$F$500,$F476,$G$5:$G$500,$G476)&gt;1,"doublon",IF($F476="","groupe manquant",IF($G476="","rôle manquant",IF($H476="","support de saisie manquant",IF(AND($I476&lt;&gt;"",$J476&lt;&gt;"",$J476&lt;$I476),"date de fin antérieure à la date de début",IF(AND($G476="encadrant",IFERROR(INDEX(Personnes!$F$5:$F$153,MATCH($C476,Personnes!$A$5:$A$153,0)),"")=""),"courriel encadrant manquant","ok")))))))))</f>
        <v/>
      </c>
    </row>
    <row r="477">
      <c r="B477" s="14" t="n"/>
      <c r="C477" s="15">
        <f>IFERROR(MID($B477,FIND("[",$B477)+1,FIND("]",$B477)-FIND("[",$B477)-1),"")</f>
        <v/>
      </c>
      <c r="D477" s="15">
        <f>IFERROR(INDEX(Personnes!$B$5:$B$153,MATCH($C477,Personnes!$A$5:$A$153,0))&amp;"","")</f>
        <v/>
      </c>
      <c r="E477" s="15">
        <f>IFERROR(INDEX(Personnes!$C$5:$C$153,MATCH($C477,Personnes!$A$5:$A$153,0))&amp;"","")</f>
        <v/>
      </c>
      <c r="F477" s="14" t="n"/>
      <c r="G477" s="14" t="n"/>
      <c r="H477" s="14" t="n"/>
      <c r="I477" s="16" t="n"/>
      <c r="J477" s="16" t="n"/>
      <c r="K477" s="18" t="n"/>
      <c r="L477" s="18" t="n"/>
      <c r="M477" s="15">
        <f>IF($B477="","",IF($C477="","personne non reconnue",IF(ISERROR(SEARCH(TRIM($E477&amp;" "&amp;$D477),$B477)),"libellé incohérent avec l’identifiant",IF(COUNTIFS($A$5:$A$500,$A477,$C$5:$C$500,$C477,$F$5:$F$500,$F477,$G$5:$G$500,$G477)&gt;1,"doublon",IF($F477="","groupe manquant",IF($G477="","rôle manquant",IF($H477="","support de saisie manquant",IF(AND($I477&lt;&gt;"",$J477&lt;&gt;"",$J477&lt;$I477),"date de fin antérieure à la date de début",IF(AND($G477="encadrant",IFERROR(INDEX(Personnes!$F$5:$F$153,MATCH($C477,Personnes!$A$5:$A$153,0)),"")=""),"courriel encadrant manquant","ok")))))))))</f>
        <v/>
      </c>
    </row>
    <row r="478">
      <c r="B478" s="14" t="n"/>
      <c r="C478" s="15">
        <f>IFERROR(MID($B478,FIND("[",$B478)+1,FIND("]",$B478)-FIND("[",$B478)-1),"")</f>
        <v/>
      </c>
      <c r="D478" s="15">
        <f>IFERROR(INDEX(Personnes!$B$5:$B$153,MATCH($C478,Personnes!$A$5:$A$153,0))&amp;"","")</f>
        <v/>
      </c>
      <c r="E478" s="15">
        <f>IFERROR(INDEX(Personnes!$C$5:$C$153,MATCH($C478,Personnes!$A$5:$A$153,0))&amp;"","")</f>
        <v/>
      </c>
      <c r="F478" s="14" t="n"/>
      <c r="G478" s="14" t="n"/>
      <c r="H478" s="14" t="n"/>
      <c r="I478" s="16" t="n"/>
      <c r="J478" s="16" t="n"/>
      <c r="K478" s="18" t="n"/>
      <c r="L478" s="18" t="n"/>
      <c r="M478" s="15">
        <f>IF($B478="","",IF($C478="","personne non reconnue",IF(ISERROR(SEARCH(TRIM($E478&amp;" "&amp;$D478),$B478)),"libellé incohérent avec l’identifiant",IF(COUNTIFS($A$5:$A$500,$A478,$C$5:$C$500,$C478,$F$5:$F$500,$F478,$G$5:$G$500,$G478)&gt;1,"doublon",IF($F478="","groupe manquant",IF($G478="","rôle manquant",IF($H478="","support de saisie manquant",IF(AND($I478&lt;&gt;"",$J478&lt;&gt;"",$J478&lt;$I478),"date de fin antérieure à la date de début",IF(AND($G478="encadrant",IFERROR(INDEX(Personnes!$F$5:$F$153,MATCH($C478,Personnes!$A$5:$A$153,0)),"")=""),"courriel encadrant manquant","ok")))))))))</f>
        <v/>
      </c>
    </row>
    <row r="479">
      <c r="B479" s="14" t="n"/>
      <c r="C479" s="15">
        <f>IFERROR(MID($B479,FIND("[",$B479)+1,FIND("]",$B479)-FIND("[",$B479)-1),"")</f>
        <v/>
      </c>
      <c r="D479" s="15">
        <f>IFERROR(INDEX(Personnes!$B$5:$B$153,MATCH($C479,Personnes!$A$5:$A$153,0))&amp;"","")</f>
        <v/>
      </c>
      <c r="E479" s="15">
        <f>IFERROR(INDEX(Personnes!$C$5:$C$153,MATCH($C479,Personnes!$A$5:$A$153,0))&amp;"","")</f>
        <v/>
      </c>
      <c r="F479" s="14" t="n"/>
      <c r="G479" s="14" t="n"/>
      <c r="H479" s="14" t="n"/>
      <c r="I479" s="16" t="n"/>
      <c r="J479" s="16" t="n"/>
      <c r="K479" s="18" t="n"/>
      <c r="L479" s="18" t="n"/>
      <c r="M479" s="15">
        <f>IF($B479="","",IF($C479="","personne non reconnue",IF(ISERROR(SEARCH(TRIM($E479&amp;" "&amp;$D479),$B479)),"libellé incohérent avec l’identifiant",IF(COUNTIFS($A$5:$A$500,$A479,$C$5:$C$500,$C479,$F$5:$F$500,$F479,$G$5:$G$500,$G479)&gt;1,"doublon",IF($F479="","groupe manquant",IF($G479="","rôle manquant",IF($H479="","support de saisie manquant",IF(AND($I479&lt;&gt;"",$J479&lt;&gt;"",$J479&lt;$I479),"date de fin antérieure à la date de début",IF(AND($G479="encadrant",IFERROR(INDEX(Personnes!$F$5:$F$153,MATCH($C479,Personnes!$A$5:$A$153,0)),"")=""),"courriel encadrant manquant","ok")))))))))</f>
        <v/>
      </c>
    </row>
    <row r="480">
      <c r="B480" s="14" t="n"/>
      <c r="C480" s="15">
        <f>IFERROR(MID($B480,FIND("[",$B480)+1,FIND("]",$B480)-FIND("[",$B480)-1),"")</f>
        <v/>
      </c>
      <c r="D480" s="15">
        <f>IFERROR(INDEX(Personnes!$B$5:$B$153,MATCH($C480,Personnes!$A$5:$A$153,0))&amp;"","")</f>
        <v/>
      </c>
      <c r="E480" s="15">
        <f>IFERROR(INDEX(Personnes!$C$5:$C$153,MATCH($C480,Personnes!$A$5:$A$153,0))&amp;"","")</f>
        <v/>
      </c>
      <c r="F480" s="14" t="n"/>
      <c r="G480" s="14" t="n"/>
      <c r="H480" s="14" t="n"/>
      <c r="I480" s="16" t="n"/>
      <c r="J480" s="16" t="n"/>
      <c r="K480" s="18" t="n"/>
      <c r="L480" s="18" t="n"/>
      <c r="M480" s="15">
        <f>IF($B480="","",IF($C480="","personne non reconnue",IF(ISERROR(SEARCH(TRIM($E480&amp;" "&amp;$D480),$B480)),"libellé incohérent avec l’identifiant",IF(COUNTIFS($A$5:$A$500,$A480,$C$5:$C$500,$C480,$F$5:$F$500,$F480,$G$5:$G$500,$G480)&gt;1,"doublon",IF($F480="","groupe manquant",IF($G480="","rôle manquant",IF($H480="","support de saisie manquant",IF(AND($I480&lt;&gt;"",$J480&lt;&gt;"",$J480&lt;$I480),"date de fin antérieure à la date de début",IF(AND($G480="encadrant",IFERROR(INDEX(Personnes!$F$5:$F$153,MATCH($C480,Personnes!$A$5:$A$153,0)),"")=""),"courriel encadrant manquant","ok")))))))))</f>
        <v/>
      </c>
    </row>
    <row r="481">
      <c r="B481" s="14" t="n"/>
      <c r="C481" s="15">
        <f>IFERROR(MID($B481,FIND("[",$B481)+1,FIND("]",$B481)-FIND("[",$B481)-1),"")</f>
        <v/>
      </c>
      <c r="D481" s="15">
        <f>IFERROR(INDEX(Personnes!$B$5:$B$153,MATCH($C481,Personnes!$A$5:$A$153,0))&amp;"","")</f>
        <v/>
      </c>
      <c r="E481" s="15">
        <f>IFERROR(INDEX(Personnes!$C$5:$C$153,MATCH($C481,Personnes!$A$5:$A$153,0))&amp;"","")</f>
        <v/>
      </c>
      <c r="F481" s="14" t="n"/>
      <c r="G481" s="14" t="n"/>
      <c r="H481" s="14" t="n"/>
      <c r="I481" s="16" t="n"/>
      <c r="J481" s="16" t="n"/>
      <c r="K481" s="18" t="n"/>
      <c r="L481" s="18" t="n"/>
      <c r="M481" s="15">
        <f>IF($B481="","",IF($C481="","personne non reconnue",IF(ISERROR(SEARCH(TRIM($E481&amp;" "&amp;$D481),$B481)),"libellé incohérent avec l’identifiant",IF(COUNTIFS($A$5:$A$500,$A481,$C$5:$C$500,$C481,$F$5:$F$500,$F481,$G$5:$G$500,$G481)&gt;1,"doublon",IF($F481="","groupe manquant",IF($G481="","rôle manquant",IF($H481="","support de saisie manquant",IF(AND($I481&lt;&gt;"",$J481&lt;&gt;"",$J481&lt;$I481),"date de fin antérieure à la date de début",IF(AND($G481="encadrant",IFERROR(INDEX(Personnes!$F$5:$F$153,MATCH($C481,Personnes!$A$5:$A$153,0)),"")=""),"courriel encadrant manquant","ok")))))))))</f>
        <v/>
      </c>
    </row>
    <row r="482">
      <c r="B482" s="14" t="n"/>
      <c r="C482" s="15">
        <f>IFERROR(MID($B482,FIND("[",$B482)+1,FIND("]",$B482)-FIND("[",$B482)-1),"")</f>
        <v/>
      </c>
      <c r="D482" s="15">
        <f>IFERROR(INDEX(Personnes!$B$5:$B$153,MATCH($C482,Personnes!$A$5:$A$153,0))&amp;"","")</f>
        <v/>
      </c>
      <c r="E482" s="15">
        <f>IFERROR(INDEX(Personnes!$C$5:$C$153,MATCH($C482,Personnes!$A$5:$A$153,0))&amp;"","")</f>
        <v/>
      </c>
      <c r="F482" s="14" t="n"/>
      <c r="G482" s="14" t="n"/>
      <c r="H482" s="14" t="n"/>
      <c r="I482" s="16" t="n"/>
      <c r="J482" s="16" t="n"/>
      <c r="K482" s="18" t="n"/>
      <c r="L482" s="18" t="n"/>
      <c r="M482" s="15">
        <f>IF($B482="","",IF($C482="","personne non reconnue",IF(ISERROR(SEARCH(TRIM($E482&amp;" "&amp;$D482),$B482)),"libellé incohérent avec l’identifiant",IF(COUNTIFS($A$5:$A$500,$A482,$C$5:$C$500,$C482,$F$5:$F$500,$F482,$G$5:$G$500,$G482)&gt;1,"doublon",IF($F482="","groupe manquant",IF($G482="","rôle manquant",IF($H482="","support de saisie manquant",IF(AND($I482&lt;&gt;"",$J482&lt;&gt;"",$J482&lt;$I482),"date de fin antérieure à la date de début",IF(AND($G482="encadrant",IFERROR(INDEX(Personnes!$F$5:$F$153,MATCH($C482,Personnes!$A$5:$A$153,0)),"")=""),"courriel encadrant manquant","ok")))))))))</f>
        <v/>
      </c>
    </row>
    <row r="483">
      <c r="B483" s="14" t="n"/>
      <c r="C483" s="15">
        <f>IFERROR(MID($B483,FIND("[",$B483)+1,FIND("]",$B483)-FIND("[",$B483)-1),"")</f>
        <v/>
      </c>
      <c r="D483" s="15">
        <f>IFERROR(INDEX(Personnes!$B$5:$B$153,MATCH($C483,Personnes!$A$5:$A$153,0))&amp;"","")</f>
        <v/>
      </c>
      <c r="E483" s="15">
        <f>IFERROR(INDEX(Personnes!$C$5:$C$153,MATCH($C483,Personnes!$A$5:$A$153,0))&amp;"","")</f>
        <v/>
      </c>
      <c r="F483" s="14" t="n"/>
      <c r="G483" s="14" t="n"/>
      <c r="H483" s="14" t="n"/>
      <c r="I483" s="16" t="n"/>
      <c r="J483" s="16" t="n"/>
      <c r="K483" s="18" t="n"/>
      <c r="L483" s="18" t="n"/>
      <c r="M483" s="15">
        <f>IF($B483="","",IF($C483="","personne non reconnue",IF(ISERROR(SEARCH(TRIM($E483&amp;" "&amp;$D483),$B483)),"libellé incohérent avec l’identifiant",IF(COUNTIFS($A$5:$A$500,$A483,$C$5:$C$500,$C483,$F$5:$F$500,$F483,$G$5:$G$500,$G483)&gt;1,"doublon",IF($F483="","groupe manquant",IF($G483="","rôle manquant",IF($H483="","support de saisie manquant",IF(AND($I483&lt;&gt;"",$J483&lt;&gt;"",$J483&lt;$I483),"date de fin antérieure à la date de début",IF(AND($G483="encadrant",IFERROR(INDEX(Personnes!$F$5:$F$153,MATCH($C483,Personnes!$A$5:$A$153,0)),"")=""),"courriel encadrant manquant","ok")))))))))</f>
        <v/>
      </c>
    </row>
    <row r="484">
      <c r="B484" s="14" t="n"/>
      <c r="C484" s="15">
        <f>IFERROR(MID($B484,FIND("[",$B484)+1,FIND("]",$B484)-FIND("[",$B484)-1),"")</f>
        <v/>
      </c>
      <c r="D484" s="15">
        <f>IFERROR(INDEX(Personnes!$B$5:$B$153,MATCH($C484,Personnes!$A$5:$A$153,0))&amp;"","")</f>
        <v/>
      </c>
      <c r="E484" s="15">
        <f>IFERROR(INDEX(Personnes!$C$5:$C$153,MATCH($C484,Personnes!$A$5:$A$153,0))&amp;"","")</f>
        <v/>
      </c>
      <c r="F484" s="14" t="n"/>
      <c r="G484" s="14" t="n"/>
      <c r="H484" s="14" t="n"/>
      <c r="I484" s="16" t="n"/>
      <c r="J484" s="16" t="n"/>
      <c r="K484" s="18" t="n"/>
      <c r="L484" s="18" t="n"/>
      <c r="M484" s="15">
        <f>IF($B484="","",IF($C484="","personne non reconnue",IF(ISERROR(SEARCH(TRIM($E484&amp;" "&amp;$D484),$B484)),"libellé incohérent avec l’identifiant",IF(COUNTIFS($A$5:$A$500,$A484,$C$5:$C$500,$C484,$F$5:$F$500,$F484,$G$5:$G$500,$G484)&gt;1,"doublon",IF($F484="","groupe manquant",IF($G484="","rôle manquant",IF($H484="","support de saisie manquant",IF(AND($I484&lt;&gt;"",$J484&lt;&gt;"",$J484&lt;$I484),"date de fin antérieure à la date de début",IF(AND($G484="encadrant",IFERROR(INDEX(Personnes!$F$5:$F$153,MATCH($C484,Personnes!$A$5:$A$153,0)),"")=""),"courriel encadrant manquant","ok")))))))))</f>
        <v/>
      </c>
    </row>
    <row r="485">
      <c r="B485" s="14" t="n"/>
      <c r="C485" s="15">
        <f>IFERROR(MID($B485,FIND("[",$B485)+1,FIND("]",$B485)-FIND("[",$B485)-1),"")</f>
        <v/>
      </c>
      <c r="D485" s="15">
        <f>IFERROR(INDEX(Personnes!$B$5:$B$153,MATCH($C485,Personnes!$A$5:$A$153,0))&amp;"","")</f>
        <v/>
      </c>
      <c r="E485" s="15">
        <f>IFERROR(INDEX(Personnes!$C$5:$C$153,MATCH($C485,Personnes!$A$5:$A$153,0))&amp;"","")</f>
        <v/>
      </c>
      <c r="F485" s="14" t="n"/>
      <c r="G485" s="14" t="n"/>
      <c r="H485" s="14" t="n"/>
      <c r="I485" s="16" t="n"/>
      <c r="J485" s="16" t="n"/>
      <c r="K485" s="18" t="n"/>
      <c r="L485" s="18" t="n"/>
      <c r="M485" s="15">
        <f>IF($B485="","",IF($C485="","personne non reconnue",IF(ISERROR(SEARCH(TRIM($E485&amp;" "&amp;$D485),$B485)),"libellé incohérent avec l’identifiant",IF(COUNTIFS($A$5:$A$500,$A485,$C$5:$C$500,$C485,$F$5:$F$500,$F485,$G$5:$G$500,$G485)&gt;1,"doublon",IF($F485="","groupe manquant",IF($G485="","rôle manquant",IF($H485="","support de saisie manquant",IF(AND($I485&lt;&gt;"",$J485&lt;&gt;"",$J485&lt;$I485),"date de fin antérieure à la date de début",IF(AND($G485="encadrant",IFERROR(INDEX(Personnes!$F$5:$F$153,MATCH($C485,Personnes!$A$5:$A$153,0)),"")=""),"courriel encadrant manquant","ok")))))))))</f>
        <v/>
      </c>
    </row>
    <row r="486">
      <c r="B486" s="14" t="n"/>
      <c r="C486" s="15">
        <f>IFERROR(MID($B486,FIND("[",$B486)+1,FIND("]",$B486)-FIND("[",$B486)-1),"")</f>
        <v/>
      </c>
      <c r="D486" s="15">
        <f>IFERROR(INDEX(Personnes!$B$5:$B$153,MATCH($C486,Personnes!$A$5:$A$153,0))&amp;"","")</f>
        <v/>
      </c>
      <c r="E486" s="15">
        <f>IFERROR(INDEX(Personnes!$C$5:$C$153,MATCH($C486,Personnes!$A$5:$A$153,0))&amp;"","")</f>
        <v/>
      </c>
      <c r="F486" s="14" t="n"/>
      <c r="G486" s="14" t="n"/>
      <c r="H486" s="14" t="n"/>
      <c r="I486" s="16" t="n"/>
      <c r="J486" s="16" t="n"/>
      <c r="K486" s="18" t="n"/>
      <c r="L486" s="18" t="n"/>
      <c r="M486" s="15">
        <f>IF($B486="","",IF($C486="","personne non reconnue",IF(ISERROR(SEARCH(TRIM($E486&amp;" "&amp;$D486),$B486)),"libellé incohérent avec l’identifiant",IF(COUNTIFS($A$5:$A$500,$A486,$C$5:$C$500,$C486,$F$5:$F$500,$F486,$G$5:$G$500,$G486)&gt;1,"doublon",IF($F486="","groupe manquant",IF($G486="","rôle manquant",IF($H486="","support de saisie manquant",IF(AND($I486&lt;&gt;"",$J486&lt;&gt;"",$J486&lt;$I486),"date de fin antérieure à la date de début",IF(AND($G486="encadrant",IFERROR(INDEX(Personnes!$F$5:$F$153,MATCH($C486,Personnes!$A$5:$A$153,0)),"")=""),"courriel encadrant manquant","ok")))))))))</f>
        <v/>
      </c>
    </row>
    <row r="487">
      <c r="B487" s="14" t="n"/>
      <c r="C487" s="15">
        <f>IFERROR(MID($B487,FIND("[",$B487)+1,FIND("]",$B487)-FIND("[",$B487)-1),"")</f>
        <v/>
      </c>
      <c r="D487" s="15">
        <f>IFERROR(INDEX(Personnes!$B$5:$B$153,MATCH($C487,Personnes!$A$5:$A$153,0))&amp;"","")</f>
        <v/>
      </c>
      <c r="E487" s="15">
        <f>IFERROR(INDEX(Personnes!$C$5:$C$153,MATCH($C487,Personnes!$A$5:$A$153,0))&amp;"","")</f>
        <v/>
      </c>
      <c r="F487" s="14" t="n"/>
      <c r="G487" s="14" t="n"/>
      <c r="H487" s="14" t="n"/>
      <c r="I487" s="16" t="n"/>
      <c r="J487" s="16" t="n"/>
      <c r="K487" s="18" t="n"/>
      <c r="L487" s="18" t="n"/>
      <c r="M487" s="15">
        <f>IF($B487="","",IF($C487="","personne non reconnue",IF(ISERROR(SEARCH(TRIM($E487&amp;" "&amp;$D487),$B487)),"libellé incohérent avec l’identifiant",IF(COUNTIFS($A$5:$A$500,$A487,$C$5:$C$500,$C487,$F$5:$F$500,$F487,$G$5:$G$500,$G487)&gt;1,"doublon",IF($F487="","groupe manquant",IF($G487="","rôle manquant",IF($H487="","support de saisie manquant",IF(AND($I487&lt;&gt;"",$J487&lt;&gt;"",$J487&lt;$I487),"date de fin antérieure à la date de début",IF(AND($G487="encadrant",IFERROR(INDEX(Personnes!$F$5:$F$153,MATCH($C487,Personnes!$A$5:$A$153,0)),"")=""),"courriel encadrant manquant","ok")))))))))</f>
        <v/>
      </c>
    </row>
    <row r="488">
      <c r="B488" s="14" t="n"/>
      <c r="C488" s="15">
        <f>IFERROR(MID($B488,FIND("[",$B488)+1,FIND("]",$B488)-FIND("[",$B488)-1),"")</f>
        <v/>
      </c>
      <c r="D488" s="15">
        <f>IFERROR(INDEX(Personnes!$B$5:$B$153,MATCH($C488,Personnes!$A$5:$A$153,0))&amp;"","")</f>
        <v/>
      </c>
      <c r="E488" s="15">
        <f>IFERROR(INDEX(Personnes!$C$5:$C$153,MATCH($C488,Personnes!$A$5:$A$153,0))&amp;"","")</f>
        <v/>
      </c>
      <c r="F488" s="14" t="n"/>
      <c r="G488" s="14" t="n"/>
      <c r="H488" s="14" t="n"/>
      <c r="I488" s="16" t="n"/>
      <c r="J488" s="16" t="n"/>
      <c r="K488" s="18" t="n"/>
      <c r="L488" s="18" t="n"/>
      <c r="M488" s="15">
        <f>IF($B488="","",IF($C488="","personne non reconnue",IF(ISERROR(SEARCH(TRIM($E488&amp;" "&amp;$D488),$B488)),"libellé incohérent avec l’identifiant",IF(COUNTIFS($A$5:$A$500,$A488,$C$5:$C$500,$C488,$F$5:$F$500,$F488,$G$5:$G$500,$G488)&gt;1,"doublon",IF($F488="","groupe manquant",IF($G488="","rôle manquant",IF($H488="","support de saisie manquant",IF(AND($I488&lt;&gt;"",$J488&lt;&gt;"",$J488&lt;$I488),"date de fin antérieure à la date de début",IF(AND($G488="encadrant",IFERROR(INDEX(Personnes!$F$5:$F$153,MATCH($C488,Personnes!$A$5:$A$153,0)),"")=""),"courriel encadrant manquant","ok")))))))))</f>
        <v/>
      </c>
    </row>
    <row r="489">
      <c r="B489" s="14" t="n"/>
      <c r="C489" s="15">
        <f>IFERROR(MID($B489,FIND("[",$B489)+1,FIND("]",$B489)-FIND("[",$B489)-1),"")</f>
        <v/>
      </c>
      <c r="D489" s="15">
        <f>IFERROR(INDEX(Personnes!$B$5:$B$153,MATCH($C489,Personnes!$A$5:$A$153,0))&amp;"","")</f>
        <v/>
      </c>
      <c r="E489" s="15">
        <f>IFERROR(INDEX(Personnes!$C$5:$C$153,MATCH($C489,Personnes!$A$5:$A$153,0))&amp;"","")</f>
        <v/>
      </c>
      <c r="F489" s="14" t="n"/>
      <c r="G489" s="14" t="n"/>
      <c r="H489" s="14" t="n"/>
      <c r="I489" s="16" t="n"/>
      <c r="J489" s="16" t="n"/>
      <c r="K489" s="18" t="n"/>
      <c r="L489" s="18" t="n"/>
      <c r="M489" s="15">
        <f>IF($B489="","",IF($C489="","personne non reconnue",IF(ISERROR(SEARCH(TRIM($E489&amp;" "&amp;$D489),$B489)),"libellé incohérent avec l’identifiant",IF(COUNTIFS($A$5:$A$500,$A489,$C$5:$C$500,$C489,$F$5:$F$500,$F489,$G$5:$G$500,$G489)&gt;1,"doublon",IF($F489="","groupe manquant",IF($G489="","rôle manquant",IF($H489="","support de saisie manquant",IF(AND($I489&lt;&gt;"",$J489&lt;&gt;"",$J489&lt;$I489),"date de fin antérieure à la date de début",IF(AND($G489="encadrant",IFERROR(INDEX(Personnes!$F$5:$F$153,MATCH($C489,Personnes!$A$5:$A$153,0)),"")=""),"courriel encadrant manquant","ok")))))))))</f>
        <v/>
      </c>
    </row>
    <row r="490">
      <c r="B490" s="14" t="n"/>
      <c r="C490" s="15">
        <f>IFERROR(MID($B490,FIND("[",$B490)+1,FIND("]",$B490)-FIND("[",$B490)-1),"")</f>
        <v/>
      </c>
      <c r="D490" s="15">
        <f>IFERROR(INDEX(Personnes!$B$5:$B$153,MATCH($C490,Personnes!$A$5:$A$153,0))&amp;"","")</f>
        <v/>
      </c>
      <c r="E490" s="15">
        <f>IFERROR(INDEX(Personnes!$C$5:$C$153,MATCH($C490,Personnes!$A$5:$A$153,0))&amp;"","")</f>
        <v/>
      </c>
      <c r="F490" s="14" t="n"/>
      <c r="G490" s="14" t="n"/>
      <c r="H490" s="14" t="n"/>
      <c r="I490" s="16" t="n"/>
      <c r="J490" s="16" t="n"/>
      <c r="K490" s="18" t="n"/>
      <c r="L490" s="18" t="n"/>
      <c r="M490" s="15">
        <f>IF($B490="","",IF($C490="","personne non reconnue",IF(ISERROR(SEARCH(TRIM($E490&amp;" "&amp;$D490),$B490)),"libellé incohérent avec l’identifiant",IF(COUNTIFS($A$5:$A$500,$A490,$C$5:$C$500,$C490,$F$5:$F$500,$F490,$G$5:$G$500,$G490)&gt;1,"doublon",IF($F490="","groupe manquant",IF($G490="","rôle manquant",IF($H490="","support de saisie manquant",IF(AND($I490&lt;&gt;"",$J490&lt;&gt;"",$J490&lt;$I490),"date de fin antérieure à la date de début",IF(AND($G490="encadrant",IFERROR(INDEX(Personnes!$F$5:$F$153,MATCH($C490,Personnes!$A$5:$A$153,0)),"")=""),"courriel encadrant manquant","ok")))))))))</f>
        <v/>
      </c>
    </row>
    <row r="491">
      <c r="B491" s="14" t="n"/>
      <c r="C491" s="15">
        <f>IFERROR(MID($B491,FIND("[",$B491)+1,FIND("]",$B491)-FIND("[",$B491)-1),"")</f>
        <v/>
      </c>
      <c r="D491" s="15">
        <f>IFERROR(INDEX(Personnes!$B$5:$B$153,MATCH($C491,Personnes!$A$5:$A$153,0))&amp;"","")</f>
        <v/>
      </c>
      <c r="E491" s="15">
        <f>IFERROR(INDEX(Personnes!$C$5:$C$153,MATCH($C491,Personnes!$A$5:$A$153,0))&amp;"","")</f>
        <v/>
      </c>
      <c r="F491" s="14" t="n"/>
      <c r="G491" s="14" t="n"/>
      <c r="H491" s="14" t="n"/>
      <c r="I491" s="16" t="n"/>
      <c r="J491" s="16" t="n"/>
      <c r="K491" s="18" t="n"/>
      <c r="L491" s="18" t="n"/>
      <c r="M491" s="15">
        <f>IF($B491="","",IF($C491="","personne non reconnue",IF(ISERROR(SEARCH(TRIM($E491&amp;" "&amp;$D491),$B491)),"libellé incohérent avec l’identifiant",IF(COUNTIFS($A$5:$A$500,$A491,$C$5:$C$500,$C491,$F$5:$F$500,$F491,$G$5:$G$500,$G491)&gt;1,"doublon",IF($F491="","groupe manquant",IF($G491="","rôle manquant",IF($H491="","support de saisie manquant",IF(AND($I491&lt;&gt;"",$J491&lt;&gt;"",$J491&lt;$I491),"date de fin antérieure à la date de début",IF(AND($G491="encadrant",IFERROR(INDEX(Personnes!$F$5:$F$153,MATCH($C491,Personnes!$A$5:$A$153,0)),"")=""),"courriel encadrant manquant","ok")))))))))</f>
        <v/>
      </c>
    </row>
    <row r="492">
      <c r="B492" s="14" t="n"/>
      <c r="C492" s="15">
        <f>IFERROR(MID($B492,FIND("[",$B492)+1,FIND("]",$B492)-FIND("[",$B492)-1),"")</f>
        <v/>
      </c>
      <c r="D492" s="15">
        <f>IFERROR(INDEX(Personnes!$B$5:$B$153,MATCH($C492,Personnes!$A$5:$A$153,0))&amp;"","")</f>
        <v/>
      </c>
      <c r="E492" s="15">
        <f>IFERROR(INDEX(Personnes!$C$5:$C$153,MATCH($C492,Personnes!$A$5:$A$153,0))&amp;"","")</f>
        <v/>
      </c>
      <c r="F492" s="14" t="n"/>
      <c r="G492" s="14" t="n"/>
      <c r="H492" s="14" t="n"/>
      <c r="I492" s="16" t="n"/>
      <c r="J492" s="16" t="n"/>
      <c r="K492" s="18" t="n"/>
      <c r="L492" s="18" t="n"/>
      <c r="M492" s="15">
        <f>IF($B492="","",IF($C492="","personne non reconnue",IF(ISERROR(SEARCH(TRIM($E492&amp;" "&amp;$D492),$B492)),"libellé incohérent avec l’identifiant",IF(COUNTIFS($A$5:$A$500,$A492,$C$5:$C$500,$C492,$F$5:$F$500,$F492,$G$5:$G$500,$G492)&gt;1,"doublon",IF($F492="","groupe manquant",IF($G492="","rôle manquant",IF($H492="","support de saisie manquant",IF(AND($I492&lt;&gt;"",$J492&lt;&gt;"",$J492&lt;$I492),"date de fin antérieure à la date de début",IF(AND($G492="encadrant",IFERROR(INDEX(Personnes!$F$5:$F$153,MATCH($C492,Personnes!$A$5:$A$153,0)),"")=""),"courriel encadrant manquant","ok")))))))))</f>
        <v/>
      </c>
    </row>
    <row r="493">
      <c r="B493" s="14" t="n"/>
      <c r="C493" s="15">
        <f>IFERROR(MID($B493,FIND("[",$B493)+1,FIND("]",$B493)-FIND("[",$B493)-1),"")</f>
        <v/>
      </c>
      <c r="D493" s="15">
        <f>IFERROR(INDEX(Personnes!$B$5:$B$153,MATCH($C493,Personnes!$A$5:$A$153,0))&amp;"","")</f>
        <v/>
      </c>
      <c r="E493" s="15">
        <f>IFERROR(INDEX(Personnes!$C$5:$C$153,MATCH($C493,Personnes!$A$5:$A$153,0))&amp;"","")</f>
        <v/>
      </c>
      <c r="F493" s="14" t="n"/>
      <c r="G493" s="14" t="n"/>
      <c r="H493" s="14" t="n"/>
      <c r="I493" s="16" t="n"/>
      <c r="J493" s="16" t="n"/>
      <c r="K493" s="18" t="n"/>
      <c r="L493" s="18" t="n"/>
      <c r="M493" s="15">
        <f>IF($B493="","",IF($C493="","personne non reconnue",IF(ISERROR(SEARCH(TRIM($E493&amp;" "&amp;$D493),$B493)),"libellé incohérent avec l’identifiant",IF(COUNTIFS($A$5:$A$500,$A493,$C$5:$C$500,$C493,$F$5:$F$500,$F493,$G$5:$G$500,$G493)&gt;1,"doublon",IF($F493="","groupe manquant",IF($G493="","rôle manquant",IF($H493="","support de saisie manquant",IF(AND($I493&lt;&gt;"",$J493&lt;&gt;"",$J493&lt;$I493),"date de fin antérieure à la date de début",IF(AND($G493="encadrant",IFERROR(INDEX(Personnes!$F$5:$F$153,MATCH($C493,Personnes!$A$5:$A$153,0)),"")=""),"courriel encadrant manquant","ok")))))))))</f>
        <v/>
      </c>
    </row>
    <row r="494">
      <c r="B494" s="14" t="n"/>
      <c r="C494" s="15">
        <f>IFERROR(MID($B494,FIND("[",$B494)+1,FIND("]",$B494)-FIND("[",$B494)-1),"")</f>
        <v/>
      </c>
      <c r="D494" s="15">
        <f>IFERROR(INDEX(Personnes!$B$5:$B$153,MATCH($C494,Personnes!$A$5:$A$153,0))&amp;"","")</f>
        <v/>
      </c>
      <c r="E494" s="15">
        <f>IFERROR(INDEX(Personnes!$C$5:$C$153,MATCH($C494,Personnes!$A$5:$A$153,0))&amp;"","")</f>
        <v/>
      </c>
      <c r="F494" s="14" t="n"/>
      <c r="G494" s="14" t="n"/>
      <c r="H494" s="14" t="n"/>
      <c r="I494" s="16" t="n"/>
      <c r="J494" s="16" t="n"/>
      <c r="K494" s="18" t="n"/>
      <c r="L494" s="18" t="n"/>
      <c r="M494" s="15">
        <f>IF($B494="","",IF($C494="","personne non reconnue",IF(ISERROR(SEARCH(TRIM($E494&amp;" "&amp;$D494),$B494)),"libellé incohérent avec l’identifiant",IF(COUNTIFS($A$5:$A$500,$A494,$C$5:$C$500,$C494,$F$5:$F$500,$F494,$G$5:$G$500,$G494)&gt;1,"doublon",IF($F494="","groupe manquant",IF($G494="","rôle manquant",IF($H494="","support de saisie manquant",IF(AND($I494&lt;&gt;"",$J494&lt;&gt;"",$J494&lt;$I494),"date de fin antérieure à la date de début",IF(AND($G494="encadrant",IFERROR(INDEX(Personnes!$F$5:$F$153,MATCH($C494,Personnes!$A$5:$A$153,0)),"")=""),"courriel encadrant manquant","ok")))))))))</f>
        <v/>
      </c>
    </row>
    <row r="495">
      <c r="B495" s="14" t="n"/>
      <c r="C495" s="15">
        <f>IFERROR(MID($B495,FIND("[",$B495)+1,FIND("]",$B495)-FIND("[",$B495)-1),"")</f>
        <v/>
      </c>
      <c r="D495" s="15">
        <f>IFERROR(INDEX(Personnes!$B$5:$B$153,MATCH($C495,Personnes!$A$5:$A$153,0))&amp;"","")</f>
        <v/>
      </c>
      <c r="E495" s="15">
        <f>IFERROR(INDEX(Personnes!$C$5:$C$153,MATCH($C495,Personnes!$A$5:$A$153,0))&amp;"","")</f>
        <v/>
      </c>
      <c r="F495" s="14" t="n"/>
      <c r="G495" s="14" t="n"/>
      <c r="H495" s="14" t="n"/>
      <c r="I495" s="16" t="n"/>
      <c r="J495" s="16" t="n"/>
      <c r="K495" s="18" t="n"/>
      <c r="L495" s="18" t="n"/>
      <c r="M495" s="15">
        <f>IF($B495="","",IF($C495="","personne non reconnue",IF(ISERROR(SEARCH(TRIM($E495&amp;" "&amp;$D495),$B495)),"libellé incohérent avec l’identifiant",IF(COUNTIFS($A$5:$A$500,$A495,$C$5:$C$500,$C495,$F$5:$F$500,$F495,$G$5:$G$500,$G495)&gt;1,"doublon",IF($F495="","groupe manquant",IF($G495="","rôle manquant",IF($H495="","support de saisie manquant",IF(AND($I495&lt;&gt;"",$J495&lt;&gt;"",$J495&lt;$I495),"date de fin antérieure à la date de début",IF(AND($G495="encadrant",IFERROR(INDEX(Personnes!$F$5:$F$153,MATCH($C495,Personnes!$A$5:$A$153,0)),"")=""),"courriel encadrant manquant","ok")))))))))</f>
        <v/>
      </c>
    </row>
    <row r="496">
      <c r="B496" s="14" t="n"/>
      <c r="C496" s="15">
        <f>IFERROR(MID($B496,FIND("[",$B496)+1,FIND("]",$B496)-FIND("[",$B496)-1),"")</f>
        <v/>
      </c>
      <c r="D496" s="15">
        <f>IFERROR(INDEX(Personnes!$B$5:$B$153,MATCH($C496,Personnes!$A$5:$A$153,0))&amp;"","")</f>
        <v/>
      </c>
      <c r="E496" s="15">
        <f>IFERROR(INDEX(Personnes!$C$5:$C$153,MATCH($C496,Personnes!$A$5:$A$153,0))&amp;"","")</f>
        <v/>
      </c>
      <c r="F496" s="14" t="n"/>
      <c r="G496" s="14" t="n"/>
      <c r="H496" s="14" t="n"/>
      <c r="I496" s="16" t="n"/>
      <c r="J496" s="16" t="n"/>
      <c r="K496" s="18" t="n"/>
      <c r="L496" s="18" t="n"/>
      <c r="M496" s="15">
        <f>IF($B496="","",IF($C496="","personne non reconnue",IF(ISERROR(SEARCH(TRIM($E496&amp;" "&amp;$D496),$B496)),"libellé incohérent avec l’identifiant",IF(COUNTIFS($A$5:$A$500,$A496,$C$5:$C$500,$C496,$F$5:$F$500,$F496,$G$5:$G$500,$G496)&gt;1,"doublon",IF($F496="","groupe manquant",IF($G496="","rôle manquant",IF($H496="","support de saisie manquant",IF(AND($I496&lt;&gt;"",$J496&lt;&gt;"",$J496&lt;$I496),"date de fin antérieure à la date de début",IF(AND($G496="encadrant",IFERROR(INDEX(Personnes!$F$5:$F$153,MATCH($C496,Personnes!$A$5:$A$153,0)),"")=""),"courriel encadrant manquant","ok")))))))))</f>
        <v/>
      </c>
    </row>
    <row r="497">
      <c r="B497" s="14" t="n"/>
      <c r="C497" s="15">
        <f>IFERROR(MID($B497,FIND("[",$B497)+1,FIND("]",$B497)-FIND("[",$B497)-1),"")</f>
        <v/>
      </c>
      <c r="D497" s="15">
        <f>IFERROR(INDEX(Personnes!$B$5:$B$153,MATCH($C497,Personnes!$A$5:$A$153,0))&amp;"","")</f>
        <v/>
      </c>
      <c r="E497" s="15">
        <f>IFERROR(INDEX(Personnes!$C$5:$C$153,MATCH($C497,Personnes!$A$5:$A$153,0))&amp;"","")</f>
        <v/>
      </c>
      <c r="F497" s="14" t="n"/>
      <c r="G497" s="14" t="n"/>
      <c r="H497" s="14" t="n"/>
      <c r="I497" s="16" t="n"/>
      <c r="J497" s="16" t="n"/>
      <c r="K497" s="18" t="n"/>
      <c r="L497" s="18" t="n"/>
      <c r="M497" s="15">
        <f>IF($B497="","",IF($C497="","personne non reconnue",IF(ISERROR(SEARCH(TRIM($E497&amp;" "&amp;$D497),$B497)),"libellé incohérent avec l’identifiant",IF(COUNTIFS($A$5:$A$500,$A497,$C$5:$C$500,$C497,$F$5:$F$500,$F497,$G$5:$G$500,$G497)&gt;1,"doublon",IF($F497="","groupe manquant",IF($G497="","rôle manquant",IF($H497="","support de saisie manquant",IF(AND($I497&lt;&gt;"",$J497&lt;&gt;"",$J497&lt;$I497),"date de fin antérieure à la date de début",IF(AND($G497="encadrant",IFERROR(INDEX(Personnes!$F$5:$F$153,MATCH($C497,Personnes!$A$5:$A$153,0)),"")=""),"courriel encadrant manquant","ok")))))))))</f>
        <v/>
      </c>
    </row>
    <row r="498">
      <c r="B498" s="14" t="n"/>
      <c r="C498" s="15">
        <f>IFERROR(MID($B498,FIND("[",$B498)+1,FIND("]",$B498)-FIND("[",$B498)-1),"")</f>
        <v/>
      </c>
      <c r="D498" s="15">
        <f>IFERROR(INDEX(Personnes!$B$5:$B$153,MATCH($C498,Personnes!$A$5:$A$153,0))&amp;"","")</f>
        <v/>
      </c>
      <c r="E498" s="15">
        <f>IFERROR(INDEX(Personnes!$C$5:$C$153,MATCH($C498,Personnes!$A$5:$A$153,0))&amp;"","")</f>
        <v/>
      </c>
      <c r="F498" s="14" t="n"/>
      <c r="G498" s="14" t="n"/>
      <c r="H498" s="14" t="n"/>
      <c r="I498" s="16" t="n"/>
      <c r="J498" s="16" t="n"/>
      <c r="K498" s="18" t="n"/>
      <c r="L498" s="18" t="n"/>
      <c r="M498" s="15">
        <f>IF($B498="","",IF($C498="","personne non reconnue",IF(ISERROR(SEARCH(TRIM($E498&amp;" "&amp;$D498),$B498)),"libellé incohérent avec l’identifiant",IF(COUNTIFS($A$5:$A$500,$A498,$C$5:$C$500,$C498,$F$5:$F$500,$F498,$G$5:$G$500,$G498)&gt;1,"doublon",IF($F498="","groupe manquant",IF($G498="","rôle manquant",IF($H498="","support de saisie manquant",IF(AND($I498&lt;&gt;"",$J498&lt;&gt;"",$J498&lt;$I498),"date de fin antérieure à la date de début",IF(AND($G498="encadrant",IFERROR(INDEX(Personnes!$F$5:$F$153,MATCH($C498,Personnes!$A$5:$A$153,0)),"")=""),"courriel encadrant manquant","ok")))))))))</f>
        <v/>
      </c>
    </row>
    <row r="499">
      <c r="B499" s="14" t="n"/>
      <c r="C499" s="15">
        <f>IFERROR(MID($B499,FIND("[",$B499)+1,FIND("]",$B499)-FIND("[",$B499)-1),"")</f>
        <v/>
      </c>
      <c r="D499" s="15">
        <f>IFERROR(INDEX(Personnes!$B$5:$B$153,MATCH($C499,Personnes!$A$5:$A$153,0))&amp;"","")</f>
        <v/>
      </c>
      <c r="E499" s="15">
        <f>IFERROR(INDEX(Personnes!$C$5:$C$153,MATCH($C499,Personnes!$A$5:$A$153,0))&amp;"","")</f>
        <v/>
      </c>
      <c r="F499" s="14" t="n"/>
      <c r="G499" s="14" t="n"/>
      <c r="H499" s="14" t="n"/>
      <c r="I499" s="16" t="n"/>
      <c r="J499" s="16" t="n"/>
      <c r="K499" s="18" t="n"/>
      <c r="L499" s="18" t="n"/>
      <c r="M499" s="15">
        <f>IF($B499="","",IF($C499="","personne non reconnue",IF(ISERROR(SEARCH(TRIM($E499&amp;" "&amp;$D499),$B499)),"libellé incohérent avec l’identifiant",IF(COUNTIFS($A$5:$A$500,$A499,$C$5:$C$500,$C499,$F$5:$F$500,$F499,$G$5:$G$500,$G499)&gt;1,"doublon",IF($F499="","groupe manquant",IF($G499="","rôle manquant",IF($H499="","support de saisie manquant",IF(AND($I499&lt;&gt;"",$J499&lt;&gt;"",$J499&lt;$I499),"date de fin antérieure à la date de début",IF(AND($G499="encadrant",IFERROR(INDEX(Personnes!$F$5:$F$153,MATCH($C499,Personnes!$A$5:$A$153,0)),"")=""),"courriel encadrant manquant","ok")))))))))</f>
        <v/>
      </c>
    </row>
    <row r="500">
      <c r="B500" s="14" t="n"/>
      <c r="C500" s="15">
        <f>IFERROR(MID($B500,FIND("[",$B500)+1,FIND("]",$B500)-FIND("[",$B500)-1),"")</f>
        <v/>
      </c>
      <c r="D500" s="15">
        <f>IFERROR(INDEX(Personnes!$B$5:$B$153,MATCH($C500,Personnes!$A$5:$A$153,0))&amp;"","")</f>
        <v/>
      </c>
      <c r="E500" s="15">
        <f>IFERROR(INDEX(Personnes!$C$5:$C$153,MATCH($C500,Personnes!$A$5:$A$153,0))&amp;"","")</f>
        <v/>
      </c>
      <c r="F500" s="14" t="n"/>
      <c r="G500" s="14" t="n"/>
      <c r="H500" s="14" t="n"/>
      <c r="I500" s="16" t="n"/>
      <c r="J500" s="16" t="n"/>
      <c r="K500" s="18" t="n"/>
      <c r="L500" s="18" t="n"/>
      <c r="M500" s="15">
        <f>IF($B500="","",IF($C500="","personne non reconnue",IF(ISERROR(SEARCH(TRIM($E500&amp;" "&amp;$D500),$B500)),"libellé incohérent avec l’identifiant",IF(COUNTIFS($A$5:$A$500,$A500,$C$5:$C$500,$C500,$F$5:$F$500,$F500,$G$5:$G$500,$G500)&gt;1,"doublon",IF($F500="","groupe manquant",IF($G500="","rôle manquant",IF($H500="","support de saisie manquant",IF(AND($I500&lt;&gt;"",$J500&lt;&gt;"",$J500&lt;$I500),"date de fin antérieure à la date de début",IF(AND($G500="encadrant",IFERROR(INDEX(Personnes!$F$5:$F$153,MATCH($C500,Personnes!$A$5:$A$153,0)),"")=""),"courriel encadrant manquant","ok")))))))))</f>
        <v/>
      </c>
    </row>
  </sheetData>
  <dataValidations count="3">
    <dataValidation sqref="F5:F500" showDropDown="0" showInputMessage="0" showErrorMessage="0" allowBlank="1" type="list">
      <formula1>"L1,L2,L3,L4,LC,DNF,STA"</formula1>
    </dataValidation>
    <dataValidation sqref="G5:G500" showDropDown="0" showInputMessage="0" showErrorMessage="0" allowBlank="1" type="list">
      <formula1>"élève,encadrant"</formula1>
    </dataValidation>
    <dataValidation sqref="H5:H500" showDropDown="0" showInputMessage="0" showErrorMessage="0" allowBlank="1" type="list">
      <formula1>"classeur,application"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F4E5F"/>
    <outlinePr summaryBelow="1" summaryRight="1"/>
    <pageSetUpPr/>
  </sheetPr>
  <dimension ref="A1:G3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C10" sqref="C10"/>
    </sheetView>
  </sheetViews>
  <sheetFormatPr baseColWidth="10" defaultColWidth="8.83203125" defaultRowHeight="15"/>
  <cols>
    <col width="15" customWidth="1" min="1" max="1"/>
    <col width="13" customWidth="1" min="2" max="2"/>
    <col width="34" customWidth="1" min="3" max="3"/>
    <col width="12" customWidth="1" min="4" max="4"/>
    <col width="20" customWidth="1" min="5" max="5"/>
    <col width="14" customWidth="1" min="6" max="6"/>
    <col width="46" customWidth="1" min="7" max="7"/>
  </cols>
  <sheetData>
    <row r="1" ht="18" customHeight="1">
      <c r="A1" s="4" t="inlineStr">
        <is>
          <t>Responsable de ligne, par groupe</t>
        </is>
      </c>
    </row>
    <row r="2">
      <c r="A2" s="5" t="inlineStr">
        <is>
          <t>Table datée : le responsable en vigueur est celui de la dernière date d'effet antérieure à la séance. Un changement en cours de saison ajoute une ligne, il n'écrase rien.</t>
        </is>
      </c>
    </row>
    <row r="4" ht="32" customHeight="1">
      <c r="A4" s="7" t="inlineStr">
        <is>
          <t>Groupe de niveau</t>
        </is>
      </c>
      <c r="B4" s="7" t="inlineStr">
        <is>
          <t>Date d'effet</t>
        </is>
      </c>
      <c r="C4" s="7" t="inlineStr">
        <is>
          <t>Sélection par nom ou prénom</t>
        </is>
      </c>
      <c r="D4" s="7" t="inlineStr">
        <is>
          <t>Personne (ID)</t>
        </is>
      </c>
      <c r="E4" s="7" t="inlineStr">
        <is>
          <t>Nom</t>
        </is>
      </c>
      <c r="F4" s="7" t="inlineStr">
        <is>
          <t>Prénom</t>
        </is>
      </c>
      <c r="G4" s="7" t="inlineStr">
        <is>
          <t>Commentaire</t>
        </is>
      </c>
    </row>
    <row r="5">
      <c r="A5" s="14" t="inlineStr">
        <is>
          <t>L1</t>
        </is>
      </c>
      <c r="B5" s="16" t="n">
        <v>46266</v>
      </c>
      <c r="C5" s="14" t="inlineStr">
        <is>
          <t>Michael GRENIER [P032]</t>
        </is>
      </c>
      <c r="D5" s="15">
        <f>IFERROR(MID($C5,FIND("[",$C5)+1,FIND("]",$C5)-FIND("[",$C5)-1),"")</f>
        <v/>
      </c>
      <c r="E5" s="15">
        <f>IFERROR(INDEX(Personnes!$B$5:$B$153,MATCH($D5,Personnes!$A$5:$A$153,0))&amp;"","")</f>
        <v/>
      </c>
      <c r="F5" s="15">
        <f>IFERROR(INDEX(Personnes!$C$5:$C$153,MATCH($D5,Personnes!$A$5:$A$153,0))&amp;"","")</f>
        <v/>
      </c>
      <c r="G5" s="18" t="n"/>
    </row>
    <row r="6">
      <c r="A6" s="14" t="inlineStr">
        <is>
          <t>L2</t>
        </is>
      </c>
      <c r="B6" s="16" t="n">
        <v>46266</v>
      </c>
      <c r="C6" s="14" t="inlineStr">
        <is>
          <t>Sophie LANDEAU [P028]</t>
        </is>
      </c>
      <c r="D6" s="15">
        <f>IFERROR(MID($C6,FIND("[",$C6)+1,FIND("]",$C6)-FIND("[",$C6)-1),"")</f>
        <v/>
      </c>
      <c r="E6" s="15">
        <f>IFERROR(INDEX(Personnes!$B$5:$B$153,MATCH($D6,Personnes!$A$5:$A$153,0))&amp;"","")</f>
        <v/>
      </c>
      <c r="F6" s="15">
        <f>IFERROR(INDEX(Personnes!$C$5:$C$153,MATCH($D6,Personnes!$A$5:$A$153,0))&amp;"","")</f>
        <v/>
      </c>
      <c r="G6" s="18" t="n"/>
    </row>
    <row r="7">
      <c r="A7" s="14" t="inlineStr">
        <is>
          <t>L3</t>
        </is>
      </c>
      <c r="B7" s="16" t="n">
        <v>46266</v>
      </c>
      <c r="C7" s="14" t="inlineStr">
        <is>
          <t>Sandry WALLON [P036]</t>
        </is>
      </c>
      <c r="D7" s="15">
        <f>IFERROR(MID($C7,FIND("[",$C7)+1,FIND("]",$C7)-FIND("[",$C7)-1),"")</f>
        <v/>
      </c>
      <c r="E7" s="15">
        <f>IFERROR(INDEX(Personnes!$B$5:$B$153,MATCH($D7,Personnes!$A$5:$A$153,0))&amp;"","")</f>
        <v/>
      </c>
      <c r="F7" s="15">
        <f>IFERROR(INDEX(Personnes!$C$5:$C$153,MATCH($D7,Personnes!$A$5:$A$153,0))&amp;"","")</f>
        <v/>
      </c>
      <c r="G7" s="18" t="n"/>
    </row>
    <row r="8">
      <c r="A8" s="14" t="inlineStr">
        <is>
          <t>L4</t>
        </is>
      </c>
      <c r="B8" s="16" t="n">
        <v>46266</v>
      </c>
      <c r="C8" s="14" t="inlineStr">
        <is>
          <t>David INSERGUET [P042]</t>
        </is>
      </c>
      <c r="D8" s="15">
        <f>IFERROR(MID($C8,FIND("[",$C8)+1,FIND("]",$C8)-FIND("[",$C8)-1),"")</f>
        <v/>
      </c>
      <c r="E8" s="15">
        <f>IFERROR(INDEX(Personnes!$B$5:$B$153,MATCH($D8,Personnes!$A$5:$A$153,0))&amp;"","")</f>
        <v/>
      </c>
      <c r="F8" s="15">
        <f>IFERROR(INDEX(Personnes!$C$5:$C$153,MATCH($D8,Personnes!$A$5:$A$153,0))&amp;"","")</f>
        <v/>
      </c>
      <c r="G8" s="18" t="n"/>
    </row>
    <row r="9">
      <c r="A9" s="14" t="n"/>
      <c r="B9" s="16" t="n"/>
      <c r="C9" s="14" t="n"/>
      <c r="D9" s="15">
        <f>IFERROR(MID($C9,FIND("[",$C9)+1,FIND("]",$C9)-FIND("[",$C9)-1),"")</f>
        <v/>
      </c>
      <c r="E9" s="15">
        <f>IFERROR(INDEX(Personnes!$B$5:$B$153,MATCH($D9,Personnes!$A$5:$A$153,0))&amp;"","")</f>
        <v/>
      </c>
      <c r="F9" s="15">
        <f>IFERROR(INDEX(Personnes!$C$5:$C$153,MATCH($D9,Personnes!$A$5:$A$153,0))&amp;"","")</f>
        <v/>
      </c>
      <c r="G9" s="18" t="n"/>
    </row>
    <row r="10">
      <c r="A10" s="14" t="n"/>
      <c r="B10" s="16" t="n"/>
      <c r="C10" s="14" t="n"/>
      <c r="D10" s="15">
        <f>IFERROR(MID($C10,FIND("[",$C10)+1,FIND("]",$C10)-FIND("[",$C10)-1),"")</f>
        <v/>
      </c>
      <c r="E10" s="15">
        <f>IFERROR(INDEX(Personnes!$B$5:$B$153,MATCH($D10,Personnes!$A$5:$A$153,0))&amp;"","")</f>
        <v/>
      </c>
      <c r="F10" s="15">
        <f>IFERROR(INDEX(Personnes!$C$5:$C$153,MATCH($D10,Personnes!$A$5:$A$153,0))&amp;"","")</f>
        <v/>
      </c>
      <c r="G10" s="18" t="n"/>
    </row>
    <row r="11">
      <c r="A11" s="14" t="n"/>
      <c r="B11" s="16" t="n"/>
      <c r="C11" s="14" t="n"/>
      <c r="D11" s="15">
        <f>IFERROR(MID($C11,FIND("[",$C11)+1,FIND("]",$C11)-FIND("[",$C11)-1),"")</f>
        <v/>
      </c>
      <c r="E11" s="15">
        <f>IFERROR(INDEX(Personnes!$B$5:$B$153,MATCH($D11,Personnes!$A$5:$A$153,0))&amp;"","")</f>
        <v/>
      </c>
      <c r="F11" s="15">
        <f>IFERROR(INDEX(Personnes!$C$5:$C$153,MATCH($D11,Personnes!$A$5:$A$153,0))&amp;"","")</f>
        <v/>
      </c>
      <c r="G11" s="18" t="n"/>
    </row>
    <row r="12">
      <c r="A12" s="14" t="n"/>
      <c r="B12" s="16" t="n"/>
      <c r="C12" s="14" t="n"/>
      <c r="D12" s="15">
        <f>IFERROR(MID($C12,FIND("[",$C12)+1,FIND("]",$C12)-FIND("[",$C12)-1),"")</f>
        <v/>
      </c>
      <c r="E12" s="15">
        <f>IFERROR(INDEX(Personnes!$B$5:$B$153,MATCH($D12,Personnes!$A$5:$A$153,0))&amp;"","")</f>
        <v/>
      </c>
      <c r="F12" s="15">
        <f>IFERROR(INDEX(Personnes!$C$5:$C$153,MATCH($D12,Personnes!$A$5:$A$153,0))&amp;"","")</f>
        <v/>
      </c>
      <c r="G12" s="18" t="n"/>
    </row>
    <row r="13">
      <c r="A13" s="14" t="n"/>
      <c r="B13" s="16" t="n"/>
      <c r="C13" s="14" t="n"/>
      <c r="D13" s="15">
        <f>IFERROR(MID($C13,FIND("[",$C13)+1,FIND("]",$C13)-FIND("[",$C13)-1),"")</f>
        <v/>
      </c>
      <c r="E13" s="15">
        <f>IFERROR(INDEX(Personnes!$B$5:$B$153,MATCH($D13,Personnes!$A$5:$A$153,0))&amp;"","")</f>
        <v/>
      </c>
      <c r="F13" s="15">
        <f>IFERROR(INDEX(Personnes!$C$5:$C$153,MATCH($D13,Personnes!$A$5:$A$153,0))&amp;"","")</f>
        <v/>
      </c>
      <c r="G13" s="18" t="n"/>
    </row>
    <row r="14">
      <c r="A14" s="14" t="n"/>
      <c r="B14" s="16" t="n"/>
      <c r="C14" s="14" t="n"/>
      <c r="D14" s="15">
        <f>IFERROR(MID($C14,FIND("[",$C14)+1,FIND("]",$C14)-FIND("[",$C14)-1),"")</f>
        <v/>
      </c>
      <c r="E14" s="15">
        <f>IFERROR(INDEX(Personnes!$B$5:$B$153,MATCH($D14,Personnes!$A$5:$A$153,0))&amp;"","")</f>
        <v/>
      </c>
      <c r="F14" s="15">
        <f>IFERROR(INDEX(Personnes!$C$5:$C$153,MATCH($D14,Personnes!$A$5:$A$153,0))&amp;"","")</f>
        <v/>
      </c>
      <c r="G14" s="18" t="n"/>
    </row>
    <row r="15">
      <c r="A15" s="14" t="n"/>
      <c r="B15" s="16" t="n"/>
      <c r="C15" s="14" t="n"/>
      <c r="D15" s="15">
        <f>IFERROR(MID($C15,FIND("[",$C15)+1,FIND("]",$C15)-FIND("[",$C15)-1),"")</f>
        <v/>
      </c>
      <c r="E15" s="15">
        <f>IFERROR(INDEX(Personnes!$B$5:$B$153,MATCH($D15,Personnes!$A$5:$A$153,0))&amp;"","")</f>
        <v/>
      </c>
      <c r="F15" s="15">
        <f>IFERROR(INDEX(Personnes!$C$5:$C$153,MATCH($D15,Personnes!$A$5:$A$153,0))&amp;"","")</f>
        <v/>
      </c>
      <c r="G15" s="18" t="n"/>
    </row>
    <row r="16">
      <c r="A16" s="14" t="n"/>
      <c r="B16" s="16" t="n"/>
      <c r="C16" s="14" t="n"/>
      <c r="D16" s="15">
        <f>IFERROR(MID($C16,FIND("[",$C16)+1,FIND("]",$C16)-FIND("[",$C16)-1),"")</f>
        <v/>
      </c>
      <c r="E16" s="15">
        <f>IFERROR(INDEX(Personnes!$B$5:$B$153,MATCH($D16,Personnes!$A$5:$A$153,0))&amp;"","")</f>
        <v/>
      </c>
      <c r="F16" s="15">
        <f>IFERROR(INDEX(Personnes!$C$5:$C$153,MATCH($D16,Personnes!$A$5:$A$153,0))&amp;"","")</f>
        <v/>
      </c>
      <c r="G16" s="18" t="n"/>
    </row>
    <row r="17">
      <c r="A17" s="14" t="n"/>
      <c r="B17" s="16" t="n"/>
      <c r="C17" s="14" t="n"/>
      <c r="D17" s="15">
        <f>IFERROR(MID($C17,FIND("[",$C17)+1,FIND("]",$C17)-FIND("[",$C17)-1),"")</f>
        <v/>
      </c>
      <c r="E17" s="15">
        <f>IFERROR(INDEX(Personnes!$B$5:$B$153,MATCH($D17,Personnes!$A$5:$A$153,0))&amp;"","")</f>
        <v/>
      </c>
      <c r="F17" s="15">
        <f>IFERROR(INDEX(Personnes!$C$5:$C$153,MATCH($D17,Personnes!$A$5:$A$153,0))&amp;"","")</f>
        <v/>
      </c>
      <c r="G17" s="18" t="n"/>
    </row>
    <row r="18">
      <c r="A18" s="14" t="n"/>
      <c r="B18" s="16" t="n"/>
      <c r="C18" s="14" t="n"/>
      <c r="D18" s="15">
        <f>IFERROR(MID($C18,FIND("[",$C18)+1,FIND("]",$C18)-FIND("[",$C18)-1),"")</f>
        <v/>
      </c>
      <c r="E18" s="15">
        <f>IFERROR(INDEX(Personnes!$B$5:$B$153,MATCH($D18,Personnes!$A$5:$A$153,0))&amp;"","")</f>
        <v/>
      </c>
      <c r="F18" s="15">
        <f>IFERROR(INDEX(Personnes!$C$5:$C$153,MATCH($D18,Personnes!$A$5:$A$153,0))&amp;"","")</f>
        <v/>
      </c>
      <c r="G18" s="18" t="n"/>
    </row>
    <row r="19">
      <c r="A19" s="14" t="n"/>
      <c r="B19" s="16" t="n"/>
      <c r="C19" s="14" t="n"/>
      <c r="D19" s="15">
        <f>IFERROR(MID($C19,FIND("[",$C19)+1,FIND("]",$C19)-FIND("[",$C19)-1),"")</f>
        <v/>
      </c>
      <c r="E19" s="15">
        <f>IFERROR(INDEX(Personnes!$B$5:$B$153,MATCH($D19,Personnes!$A$5:$A$153,0))&amp;"","")</f>
        <v/>
      </c>
      <c r="F19" s="15">
        <f>IFERROR(INDEX(Personnes!$C$5:$C$153,MATCH($D19,Personnes!$A$5:$A$153,0))&amp;"","")</f>
        <v/>
      </c>
      <c r="G19" s="18" t="n"/>
    </row>
    <row r="20">
      <c r="A20" s="14" t="n"/>
      <c r="B20" s="16" t="n"/>
      <c r="C20" s="14" t="n"/>
      <c r="D20" s="15">
        <f>IFERROR(MID($C20,FIND("[",$C20)+1,FIND("]",$C20)-FIND("[",$C20)-1),"")</f>
        <v/>
      </c>
      <c r="E20" s="15">
        <f>IFERROR(INDEX(Personnes!$B$5:$B$153,MATCH($D20,Personnes!$A$5:$A$153,0))&amp;"","")</f>
        <v/>
      </c>
      <c r="F20" s="15">
        <f>IFERROR(INDEX(Personnes!$C$5:$C$153,MATCH($D20,Personnes!$A$5:$A$153,0))&amp;"","")</f>
        <v/>
      </c>
      <c r="G20" s="18" t="n"/>
    </row>
    <row r="21">
      <c r="A21" s="14" t="n"/>
      <c r="B21" s="16" t="n"/>
      <c r="C21" s="14" t="n"/>
      <c r="D21" s="15">
        <f>IFERROR(MID($C21,FIND("[",$C21)+1,FIND("]",$C21)-FIND("[",$C21)-1),"")</f>
        <v/>
      </c>
      <c r="E21" s="15">
        <f>IFERROR(INDEX(Personnes!$B$5:$B$153,MATCH($D21,Personnes!$A$5:$A$153,0))&amp;"","")</f>
        <v/>
      </c>
      <c r="F21" s="15">
        <f>IFERROR(INDEX(Personnes!$C$5:$C$153,MATCH($D21,Personnes!$A$5:$A$153,0))&amp;"","")</f>
        <v/>
      </c>
      <c r="G21" s="18" t="n"/>
    </row>
    <row r="22">
      <c r="A22" s="14" t="n"/>
      <c r="B22" s="16" t="n"/>
      <c r="C22" s="14" t="n"/>
      <c r="D22" s="15">
        <f>IFERROR(MID($C22,FIND("[",$C22)+1,FIND("]",$C22)-FIND("[",$C22)-1),"")</f>
        <v/>
      </c>
      <c r="E22" s="15">
        <f>IFERROR(INDEX(Personnes!$B$5:$B$153,MATCH($D22,Personnes!$A$5:$A$153,0))&amp;"","")</f>
        <v/>
      </c>
      <c r="F22" s="15">
        <f>IFERROR(INDEX(Personnes!$C$5:$C$153,MATCH($D22,Personnes!$A$5:$A$153,0))&amp;"","")</f>
        <v/>
      </c>
      <c r="G22" s="18" t="n"/>
    </row>
    <row r="23">
      <c r="A23" s="14" t="n"/>
      <c r="B23" s="16" t="n"/>
      <c r="C23" s="14" t="n"/>
      <c r="D23" s="15">
        <f>IFERROR(MID($C23,FIND("[",$C23)+1,FIND("]",$C23)-FIND("[",$C23)-1),"")</f>
        <v/>
      </c>
      <c r="E23" s="15">
        <f>IFERROR(INDEX(Personnes!$B$5:$B$153,MATCH($D23,Personnes!$A$5:$A$153,0))&amp;"","")</f>
        <v/>
      </c>
      <c r="F23" s="15">
        <f>IFERROR(INDEX(Personnes!$C$5:$C$153,MATCH($D23,Personnes!$A$5:$A$153,0))&amp;"","")</f>
        <v/>
      </c>
      <c r="G23" s="18" t="n"/>
    </row>
    <row r="24">
      <c r="A24" s="14" t="n"/>
      <c r="B24" s="16" t="n"/>
      <c r="C24" s="14" t="n"/>
      <c r="D24" s="15">
        <f>IFERROR(MID($C24,FIND("[",$C24)+1,FIND("]",$C24)-FIND("[",$C24)-1),"")</f>
        <v/>
      </c>
      <c r="E24" s="15">
        <f>IFERROR(INDEX(Personnes!$B$5:$B$153,MATCH($D24,Personnes!$A$5:$A$153,0))&amp;"","")</f>
        <v/>
      </c>
      <c r="F24" s="15">
        <f>IFERROR(INDEX(Personnes!$C$5:$C$153,MATCH($D24,Personnes!$A$5:$A$153,0))&amp;"","")</f>
        <v/>
      </c>
      <c r="G24" s="18" t="n"/>
    </row>
    <row r="25">
      <c r="A25" s="14" t="n"/>
      <c r="B25" s="16" t="n"/>
      <c r="C25" s="14" t="n"/>
      <c r="D25" s="15">
        <f>IFERROR(MID($C25,FIND("[",$C25)+1,FIND("]",$C25)-FIND("[",$C25)-1),"")</f>
        <v/>
      </c>
      <c r="E25" s="15">
        <f>IFERROR(INDEX(Personnes!$B$5:$B$153,MATCH($D25,Personnes!$A$5:$A$153,0))&amp;"","")</f>
        <v/>
      </c>
      <c r="F25" s="15">
        <f>IFERROR(INDEX(Personnes!$C$5:$C$153,MATCH($D25,Personnes!$A$5:$A$153,0))&amp;"","")</f>
        <v/>
      </c>
      <c r="G25" s="18" t="n"/>
    </row>
    <row r="26">
      <c r="A26" s="14" t="n"/>
      <c r="B26" s="16" t="n"/>
      <c r="C26" s="14" t="n"/>
      <c r="D26" s="15">
        <f>IFERROR(MID($C26,FIND("[",$C26)+1,FIND("]",$C26)-FIND("[",$C26)-1),"")</f>
        <v/>
      </c>
      <c r="E26" s="15">
        <f>IFERROR(INDEX(Personnes!$B$5:$B$153,MATCH($D26,Personnes!$A$5:$A$153,0))&amp;"","")</f>
        <v/>
      </c>
      <c r="F26" s="15">
        <f>IFERROR(INDEX(Personnes!$C$5:$C$153,MATCH($D26,Personnes!$A$5:$A$153,0))&amp;"","")</f>
        <v/>
      </c>
      <c r="G26" s="18" t="n"/>
    </row>
    <row r="27">
      <c r="A27" s="14" t="n"/>
      <c r="B27" s="16" t="n"/>
      <c r="C27" s="14" t="n"/>
      <c r="D27" s="15">
        <f>IFERROR(MID($C27,FIND("[",$C27)+1,FIND("]",$C27)-FIND("[",$C27)-1),"")</f>
        <v/>
      </c>
      <c r="E27" s="15">
        <f>IFERROR(INDEX(Personnes!$B$5:$B$153,MATCH($D27,Personnes!$A$5:$A$153,0))&amp;"","")</f>
        <v/>
      </c>
      <c r="F27" s="15">
        <f>IFERROR(INDEX(Personnes!$C$5:$C$153,MATCH($D27,Personnes!$A$5:$A$153,0))&amp;"","")</f>
        <v/>
      </c>
      <c r="G27" s="18" t="n"/>
    </row>
    <row r="28">
      <c r="A28" s="14" t="n"/>
      <c r="B28" s="16" t="n"/>
      <c r="C28" s="14" t="n"/>
      <c r="D28" s="15">
        <f>IFERROR(MID($C28,FIND("[",$C28)+1,FIND("]",$C28)-FIND("[",$C28)-1),"")</f>
        <v/>
      </c>
      <c r="E28" s="15">
        <f>IFERROR(INDEX(Personnes!$B$5:$B$153,MATCH($D28,Personnes!$A$5:$A$153,0))&amp;"","")</f>
        <v/>
      </c>
      <c r="F28" s="15">
        <f>IFERROR(INDEX(Personnes!$C$5:$C$153,MATCH($D28,Personnes!$A$5:$A$153,0))&amp;"","")</f>
        <v/>
      </c>
      <c r="G28" s="18" t="n"/>
    </row>
    <row r="29">
      <c r="A29" s="14" t="n"/>
      <c r="B29" s="16" t="n"/>
      <c r="C29" s="14" t="n"/>
      <c r="D29" s="15">
        <f>IFERROR(MID($C29,FIND("[",$C29)+1,FIND("]",$C29)-FIND("[",$C29)-1),"")</f>
        <v/>
      </c>
      <c r="E29" s="15">
        <f>IFERROR(INDEX(Personnes!$B$5:$B$153,MATCH($D29,Personnes!$A$5:$A$153,0))&amp;"","")</f>
        <v/>
      </c>
      <c r="F29" s="15">
        <f>IFERROR(INDEX(Personnes!$C$5:$C$153,MATCH($D29,Personnes!$A$5:$A$153,0))&amp;"","")</f>
        <v/>
      </c>
      <c r="G29" s="18" t="n"/>
    </row>
    <row r="30">
      <c r="A30" s="14" t="n"/>
      <c r="B30" s="16" t="n"/>
      <c r="C30" s="14" t="n"/>
      <c r="D30" s="15">
        <f>IFERROR(MID($C30,FIND("[",$C30)+1,FIND("]",$C30)-FIND("[",$C30)-1),"")</f>
        <v/>
      </c>
      <c r="E30" s="15">
        <f>IFERROR(INDEX(Personnes!$B$5:$B$153,MATCH($D30,Personnes!$A$5:$A$153,0))&amp;"","")</f>
        <v/>
      </c>
      <c r="F30" s="15">
        <f>IFERROR(INDEX(Personnes!$C$5:$C$153,MATCH($D30,Personnes!$A$5:$A$153,0))&amp;"","")</f>
        <v/>
      </c>
      <c r="G30" s="18" t="n"/>
    </row>
  </sheetData>
  <dataValidations count="1">
    <dataValidation sqref="A5:A30" showDropDown="0" showInputMessage="0" showErrorMessage="0" allowBlank="1" type="list">
      <formula1>"L1,L2,L3,L4,LC,DNF,STA"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1F4E5F"/>
    <outlinePr summaryBelow="1" summaryRight="1"/>
    <pageSetUpPr/>
  </sheetPr>
  <dimension ref="A1:I30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10" defaultColWidth="8.83203125" defaultRowHeight="15"/>
  <cols>
    <col width="34" customWidth="1" min="1" max="1"/>
    <col width="12" customWidth="1" min="2" max="2"/>
    <col width="20" customWidth="1" min="3" max="3"/>
    <col width="14" customWidth="1" min="4" max="4"/>
    <col width="13" customWidth="1" min="5" max="6"/>
    <col width="16" customWidth="1" min="7" max="7"/>
    <col width="42" customWidth="1" min="8" max="8"/>
    <col width="40" customWidth="1" min="9" max="9"/>
  </cols>
  <sheetData>
    <row r="1" ht="18" customHeight="1">
      <c r="A1" s="4" t="inlineStr">
        <is>
          <t>Exceptions d'indisponibilité</t>
        </is>
      </c>
    </row>
    <row r="2">
      <c r="A2" s="5" t="inlineStr">
        <is>
          <t>Les exceptions au calendrier perpétuel. Une indisponibilité couvrant une séance fait apparaître un défaut de couverture.</t>
        </is>
      </c>
    </row>
    <row r="4" ht="32" customHeight="1">
      <c r="A4" s="7" t="inlineStr">
        <is>
          <t>Sélection par nom ou prénom</t>
        </is>
      </c>
      <c r="B4" s="7" t="inlineStr">
        <is>
          <t>Personne (ID)</t>
        </is>
      </c>
      <c r="C4" s="7" t="inlineStr">
        <is>
          <t>Nom</t>
        </is>
      </c>
      <c r="D4" s="7" t="inlineStr">
        <is>
          <t>Prénom</t>
        </is>
      </c>
      <c r="E4" s="7" t="inlineStr">
        <is>
          <t>Date de début</t>
        </is>
      </c>
      <c r="F4" s="7" t="inlineStr">
        <is>
          <t>Date de fin</t>
        </is>
      </c>
      <c r="G4" s="7" t="inlineStr">
        <is>
          <t>Motif</t>
        </is>
      </c>
      <c r="H4" s="7" t="inlineStr">
        <is>
          <t>Créneau concerné (facultatif)</t>
        </is>
      </c>
      <c r="I4" s="7" t="inlineStr">
        <is>
          <t>Commentaire</t>
        </is>
      </c>
    </row>
    <row r="5">
      <c r="A5" s="14" t="n"/>
      <c r="B5" s="15">
        <f>IFERROR(MID($A5,FIND("[",$A5)+1,FIND("]",$A5)-FIND("[",$A5)-1),"")</f>
        <v/>
      </c>
      <c r="C5" s="15">
        <f>IFERROR(INDEX(Personnes!$B$5:$B$153,MATCH($B5,Personnes!$A$5:$A$153,0))&amp;"","")</f>
        <v/>
      </c>
      <c r="D5" s="15">
        <f>IFERROR(INDEX(Personnes!$C$5:$C$153,MATCH($B5,Personnes!$A$5:$A$153,0))&amp;"","")</f>
        <v/>
      </c>
      <c r="E5" s="16" t="n"/>
      <c r="F5" s="16" t="n"/>
      <c r="G5" s="14" t="n"/>
      <c r="H5" s="14" t="n"/>
      <c r="I5" s="18" t="n"/>
    </row>
    <row r="6">
      <c r="A6" s="14" t="n"/>
      <c r="B6" s="15">
        <f>IFERROR(MID($A6,FIND("[",$A6)+1,FIND("]",$A6)-FIND("[",$A6)-1),"")</f>
        <v/>
      </c>
      <c r="C6" s="15">
        <f>IFERROR(INDEX(Personnes!$B$5:$B$153,MATCH($B6,Personnes!$A$5:$A$153,0))&amp;"","")</f>
        <v/>
      </c>
      <c r="D6" s="15">
        <f>IFERROR(INDEX(Personnes!$C$5:$C$153,MATCH($B6,Personnes!$A$5:$A$153,0))&amp;"","")</f>
        <v/>
      </c>
      <c r="E6" s="16" t="n"/>
      <c r="F6" s="16" t="n"/>
      <c r="G6" s="14" t="n"/>
      <c r="H6" s="14" t="n"/>
      <c r="I6" s="18" t="n"/>
    </row>
    <row r="7">
      <c r="A7" s="14" t="n"/>
      <c r="B7" s="15">
        <f>IFERROR(MID($A7,FIND("[",$A7)+1,FIND("]",$A7)-FIND("[",$A7)-1),"")</f>
        <v/>
      </c>
      <c r="C7" s="15">
        <f>IFERROR(INDEX(Personnes!$B$5:$B$153,MATCH($B7,Personnes!$A$5:$A$153,0))&amp;"","")</f>
        <v/>
      </c>
      <c r="D7" s="15">
        <f>IFERROR(INDEX(Personnes!$C$5:$C$153,MATCH($B7,Personnes!$A$5:$A$153,0))&amp;"","")</f>
        <v/>
      </c>
      <c r="E7" s="16" t="n"/>
      <c r="F7" s="16" t="n"/>
      <c r="G7" s="14" t="n"/>
      <c r="H7" s="14" t="n"/>
      <c r="I7" s="18" t="n"/>
    </row>
    <row r="8">
      <c r="A8" s="14" t="n"/>
      <c r="B8" s="15">
        <f>IFERROR(MID($A8,FIND("[",$A8)+1,FIND("]",$A8)-FIND("[",$A8)-1),"")</f>
        <v/>
      </c>
      <c r="C8" s="15">
        <f>IFERROR(INDEX(Personnes!$B$5:$B$153,MATCH($B8,Personnes!$A$5:$A$153,0))&amp;"","")</f>
        <v/>
      </c>
      <c r="D8" s="15">
        <f>IFERROR(INDEX(Personnes!$C$5:$C$153,MATCH($B8,Personnes!$A$5:$A$153,0))&amp;"","")</f>
        <v/>
      </c>
      <c r="E8" s="16" t="n"/>
      <c r="F8" s="16" t="n"/>
      <c r="G8" s="14" t="n"/>
      <c r="H8" s="14" t="n"/>
      <c r="I8" s="18" t="n"/>
    </row>
    <row r="9">
      <c r="A9" s="14" t="n"/>
      <c r="B9" s="15">
        <f>IFERROR(MID($A9,FIND("[",$A9)+1,FIND("]",$A9)-FIND("[",$A9)-1),"")</f>
        <v/>
      </c>
      <c r="C9" s="15">
        <f>IFERROR(INDEX(Personnes!$B$5:$B$153,MATCH($B9,Personnes!$A$5:$A$153,0))&amp;"","")</f>
        <v/>
      </c>
      <c r="D9" s="15">
        <f>IFERROR(INDEX(Personnes!$C$5:$C$153,MATCH($B9,Personnes!$A$5:$A$153,0))&amp;"","")</f>
        <v/>
      </c>
      <c r="E9" s="16" t="n"/>
      <c r="F9" s="16" t="n"/>
      <c r="G9" s="14" t="n"/>
      <c r="H9" s="14" t="n"/>
      <c r="I9" s="18" t="n"/>
    </row>
    <row r="10">
      <c r="A10" s="14" t="n"/>
      <c r="B10" s="15">
        <f>IFERROR(MID($A10,FIND("[",$A10)+1,FIND("]",$A10)-FIND("[",$A10)-1),"")</f>
        <v/>
      </c>
      <c r="C10" s="15">
        <f>IFERROR(INDEX(Personnes!$B$5:$B$153,MATCH($B10,Personnes!$A$5:$A$153,0))&amp;"","")</f>
        <v/>
      </c>
      <c r="D10" s="15">
        <f>IFERROR(INDEX(Personnes!$C$5:$C$153,MATCH($B10,Personnes!$A$5:$A$153,0))&amp;"","")</f>
        <v/>
      </c>
      <c r="E10" s="16" t="n"/>
      <c r="F10" s="16" t="n"/>
      <c r="G10" s="14" t="n"/>
      <c r="H10" s="14" t="n"/>
      <c r="I10" s="18" t="n"/>
    </row>
    <row r="11">
      <c r="A11" s="14" t="n"/>
      <c r="B11" s="15">
        <f>IFERROR(MID($A11,FIND("[",$A11)+1,FIND("]",$A11)-FIND("[",$A11)-1),"")</f>
        <v/>
      </c>
      <c r="C11" s="15">
        <f>IFERROR(INDEX(Personnes!$B$5:$B$153,MATCH($B11,Personnes!$A$5:$A$153,0))&amp;"","")</f>
        <v/>
      </c>
      <c r="D11" s="15">
        <f>IFERROR(INDEX(Personnes!$C$5:$C$153,MATCH($B11,Personnes!$A$5:$A$153,0))&amp;"","")</f>
        <v/>
      </c>
      <c r="E11" s="16" t="n"/>
      <c r="F11" s="16" t="n"/>
      <c r="G11" s="14" t="n"/>
      <c r="H11" s="14" t="n"/>
      <c r="I11" s="18" t="n"/>
    </row>
    <row r="12">
      <c r="A12" s="14" t="n"/>
      <c r="B12" s="15">
        <f>IFERROR(MID($A12,FIND("[",$A12)+1,FIND("]",$A12)-FIND("[",$A12)-1),"")</f>
        <v/>
      </c>
      <c r="C12" s="15">
        <f>IFERROR(INDEX(Personnes!$B$5:$B$153,MATCH($B12,Personnes!$A$5:$A$153,0))&amp;"","")</f>
        <v/>
      </c>
      <c r="D12" s="15">
        <f>IFERROR(INDEX(Personnes!$C$5:$C$153,MATCH($B12,Personnes!$A$5:$A$153,0))&amp;"","")</f>
        <v/>
      </c>
      <c r="E12" s="16" t="n"/>
      <c r="F12" s="16" t="n"/>
      <c r="G12" s="14" t="n"/>
      <c r="H12" s="14" t="n"/>
      <c r="I12" s="18" t="n"/>
    </row>
    <row r="13">
      <c r="A13" s="14" t="n"/>
      <c r="B13" s="15">
        <f>IFERROR(MID($A13,FIND("[",$A13)+1,FIND("]",$A13)-FIND("[",$A13)-1),"")</f>
        <v/>
      </c>
      <c r="C13" s="15">
        <f>IFERROR(INDEX(Personnes!$B$5:$B$153,MATCH($B13,Personnes!$A$5:$A$153,0))&amp;"","")</f>
        <v/>
      </c>
      <c r="D13" s="15">
        <f>IFERROR(INDEX(Personnes!$C$5:$C$153,MATCH($B13,Personnes!$A$5:$A$153,0))&amp;"","")</f>
        <v/>
      </c>
      <c r="E13" s="16" t="n"/>
      <c r="F13" s="16" t="n"/>
      <c r="G13" s="14" t="n"/>
      <c r="H13" s="14" t="n"/>
      <c r="I13" s="18" t="n"/>
    </row>
    <row r="14">
      <c r="A14" s="14" t="n"/>
      <c r="B14" s="15">
        <f>IFERROR(MID($A14,FIND("[",$A14)+1,FIND("]",$A14)-FIND("[",$A14)-1),"")</f>
        <v/>
      </c>
      <c r="C14" s="15">
        <f>IFERROR(INDEX(Personnes!$B$5:$B$153,MATCH($B14,Personnes!$A$5:$A$153,0))&amp;"","")</f>
        <v/>
      </c>
      <c r="D14" s="15">
        <f>IFERROR(INDEX(Personnes!$C$5:$C$153,MATCH($B14,Personnes!$A$5:$A$153,0))&amp;"","")</f>
        <v/>
      </c>
      <c r="E14" s="16" t="n"/>
      <c r="F14" s="16" t="n"/>
      <c r="G14" s="14" t="n"/>
      <c r="H14" s="14" t="n"/>
      <c r="I14" s="18" t="n"/>
    </row>
    <row r="15">
      <c r="A15" s="14" t="n"/>
      <c r="B15" s="15">
        <f>IFERROR(MID($A15,FIND("[",$A15)+1,FIND("]",$A15)-FIND("[",$A15)-1),"")</f>
        <v/>
      </c>
      <c r="C15" s="15">
        <f>IFERROR(INDEX(Personnes!$B$5:$B$153,MATCH($B15,Personnes!$A$5:$A$153,0))&amp;"","")</f>
        <v/>
      </c>
      <c r="D15" s="15">
        <f>IFERROR(INDEX(Personnes!$C$5:$C$153,MATCH($B15,Personnes!$A$5:$A$153,0))&amp;"","")</f>
        <v/>
      </c>
      <c r="E15" s="16" t="n"/>
      <c r="F15" s="16" t="n"/>
      <c r="G15" s="14" t="n"/>
      <c r="H15" s="14" t="n"/>
      <c r="I15" s="18" t="n"/>
    </row>
    <row r="16">
      <c r="A16" s="14" t="n"/>
      <c r="B16" s="15">
        <f>IFERROR(MID($A16,FIND("[",$A16)+1,FIND("]",$A16)-FIND("[",$A16)-1),"")</f>
        <v/>
      </c>
      <c r="C16" s="15">
        <f>IFERROR(INDEX(Personnes!$B$5:$B$153,MATCH($B16,Personnes!$A$5:$A$153,0))&amp;"","")</f>
        <v/>
      </c>
      <c r="D16" s="15">
        <f>IFERROR(INDEX(Personnes!$C$5:$C$153,MATCH($B16,Personnes!$A$5:$A$153,0))&amp;"","")</f>
        <v/>
      </c>
      <c r="E16" s="16" t="n"/>
      <c r="F16" s="16" t="n"/>
      <c r="G16" s="14" t="n"/>
      <c r="H16" s="14" t="n"/>
      <c r="I16" s="18" t="n"/>
    </row>
    <row r="17">
      <c r="A17" s="14" t="n"/>
      <c r="B17" s="15">
        <f>IFERROR(MID($A17,FIND("[",$A17)+1,FIND("]",$A17)-FIND("[",$A17)-1),"")</f>
        <v/>
      </c>
      <c r="C17" s="15">
        <f>IFERROR(INDEX(Personnes!$B$5:$B$153,MATCH($B17,Personnes!$A$5:$A$153,0))&amp;"","")</f>
        <v/>
      </c>
      <c r="D17" s="15">
        <f>IFERROR(INDEX(Personnes!$C$5:$C$153,MATCH($B17,Personnes!$A$5:$A$153,0))&amp;"","")</f>
        <v/>
      </c>
      <c r="E17" s="16" t="n"/>
      <c r="F17" s="16" t="n"/>
      <c r="G17" s="14" t="n"/>
      <c r="H17" s="14" t="n"/>
      <c r="I17" s="18" t="n"/>
    </row>
    <row r="18">
      <c r="A18" s="14" t="n"/>
      <c r="B18" s="15">
        <f>IFERROR(MID($A18,FIND("[",$A18)+1,FIND("]",$A18)-FIND("[",$A18)-1),"")</f>
        <v/>
      </c>
      <c r="C18" s="15">
        <f>IFERROR(INDEX(Personnes!$B$5:$B$153,MATCH($B18,Personnes!$A$5:$A$153,0))&amp;"","")</f>
        <v/>
      </c>
      <c r="D18" s="15">
        <f>IFERROR(INDEX(Personnes!$C$5:$C$153,MATCH($B18,Personnes!$A$5:$A$153,0))&amp;"","")</f>
        <v/>
      </c>
      <c r="E18" s="16" t="n"/>
      <c r="F18" s="16" t="n"/>
      <c r="G18" s="14" t="n"/>
      <c r="H18" s="14" t="n"/>
      <c r="I18" s="18" t="n"/>
    </row>
    <row r="19">
      <c r="A19" s="14" t="n"/>
      <c r="B19" s="15">
        <f>IFERROR(MID($A19,FIND("[",$A19)+1,FIND("]",$A19)-FIND("[",$A19)-1),"")</f>
        <v/>
      </c>
      <c r="C19" s="15">
        <f>IFERROR(INDEX(Personnes!$B$5:$B$153,MATCH($B19,Personnes!$A$5:$A$153,0))&amp;"","")</f>
        <v/>
      </c>
      <c r="D19" s="15">
        <f>IFERROR(INDEX(Personnes!$C$5:$C$153,MATCH($B19,Personnes!$A$5:$A$153,0))&amp;"","")</f>
        <v/>
      </c>
      <c r="E19" s="16" t="n"/>
      <c r="F19" s="16" t="n"/>
      <c r="G19" s="14" t="n"/>
      <c r="H19" s="14" t="n"/>
      <c r="I19" s="18" t="n"/>
    </row>
    <row r="20">
      <c r="A20" s="14" t="n"/>
      <c r="B20" s="15">
        <f>IFERROR(MID($A20,FIND("[",$A20)+1,FIND("]",$A20)-FIND("[",$A20)-1),"")</f>
        <v/>
      </c>
      <c r="C20" s="15">
        <f>IFERROR(INDEX(Personnes!$B$5:$B$153,MATCH($B20,Personnes!$A$5:$A$153,0))&amp;"","")</f>
        <v/>
      </c>
      <c r="D20" s="15">
        <f>IFERROR(INDEX(Personnes!$C$5:$C$153,MATCH($B20,Personnes!$A$5:$A$153,0))&amp;"","")</f>
        <v/>
      </c>
      <c r="E20" s="16" t="n"/>
      <c r="F20" s="16" t="n"/>
      <c r="G20" s="14" t="n"/>
      <c r="H20" s="14" t="n"/>
      <c r="I20" s="18" t="n"/>
    </row>
    <row r="21">
      <c r="A21" s="14" t="n"/>
      <c r="B21" s="15">
        <f>IFERROR(MID($A21,FIND("[",$A21)+1,FIND("]",$A21)-FIND("[",$A21)-1),"")</f>
        <v/>
      </c>
      <c r="C21" s="15">
        <f>IFERROR(INDEX(Personnes!$B$5:$B$153,MATCH($B21,Personnes!$A$5:$A$153,0))&amp;"","")</f>
        <v/>
      </c>
      <c r="D21" s="15">
        <f>IFERROR(INDEX(Personnes!$C$5:$C$153,MATCH($B21,Personnes!$A$5:$A$153,0))&amp;"","")</f>
        <v/>
      </c>
      <c r="E21" s="16" t="n"/>
      <c r="F21" s="16" t="n"/>
      <c r="G21" s="14" t="n"/>
      <c r="H21" s="14" t="n"/>
      <c r="I21" s="18" t="n"/>
    </row>
    <row r="22">
      <c r="A22" s="14" t="n"/>
      <c r="B22" s="15">
        <f>IFERROR(MID($A22,FIND("[",$A22)+1,FIND("]",$A22)-FIND("[",$A22)-1),"")</f>
        <v/>
      </c>
      <c r="C22" s="15">
        <f>IFERROR(INDEX(Personnes!$B$5:$B$153,MATCH($B22,Personnes!$A$5:$A$153,0))&amp;"","")</f>
        <v/>
      </c>
      <c r="D22" s="15">
        <f>IFERROR(INDEX(Personnes!$C$5:$C$153,MATCH($B22,Personnes!$A$5:$A$153,0))&amp;"","")</f>
        <v/>
      </c>
      <c r="E22" s="16" t="n"/>
      <c r="F22" s="16" t="n"/>
      <c r="G22" s="14" t="n"/>
      <c r="H22" s="14" t="n"/>
      <c r="I22" s="18" t="n"/>
    </row>
    <row r="23">
      <c r="A23" s="14" t="n"/>
      <c r="B23" s="15">
        <f>IFERROR(MID($A23,FIND("[",$A23)+1,FIND("]",$A23)-FIND("[",$A23)-1),"")</f>
        <v/>
      </c>
      <c r="C23" s="15">
        <f>IFERROR(INDEX(Personnes!$B$5:$B$153,MATCH($B23,Personnes!$A$5:$A$153,0))&amp;"","")</f>
        <v/>
      </c>
      <c r="D23" s="15">
        <f>IFERROR(INDEX(Personnes!$C$5:$C$153,MATCH($B23,Personnes!$A$5:$A$153,0))&amp;"","")</f>
        <v/>
      </c>
      <c r="E23" s="16" t="n"/>
      <c r="F23" s="16" t="n"/>
      <c r="G23" s="14" t="n"/>
      <c r="H23" s="14" t="n"/>
      <c r="I23" s="18" t="n"/>
    </row>
    <row r="24">
      <c r="A24" s="14" t="n"/>
      <c r="B24" s="15">
        <f>IFERROR(MID($A24,FIND("[",$A24)+1,FIND("]",$A24)-FIND("[",$A24)-1),"")</f>
        <v/>
      </c>
      <c r="C24" s="15">
        <f>IFERROR(INDEX(Personnes!$B$5:$B$153,MATCH($B24,Personnes!$A$5:$A$153,0))&amp;"","")</f>
        <v/>
      </c>
      <c r="D24" s="15">
        <f>IFERROR(INDEX(Personnes!$C$5:$C$153,MATCH($B24,Personnes!$A$5:$A$153,0))&amp;"","")</f>
        <v/>
      </c>
      <c r="E24" s="16" t="n"/>
      <c r="F24" s="16" t="n"/>
      <c r="G24" s="14" t="n"/>
      <c r="H24" s="14" t="n"/>
      <c r="I24" s="18" t="n"/>
    </row>
    <row r="25">
      <c r="A25" s="14" t="n"/>
      <c r="B25" s="15">
        <f>IFERROR(MID($A25,FIND("[",$A25)+1,FIND("]",$A25)-FIND("[",$A25)-1),"")</f>
        <v/>
      </c>
      <c r="C25" s="15">
        <f>IFERROR(INDEX(Personnes!$B$5:$B$153,MATCH($B25,Personnes!$A$5:$A$153,0))&amp;"","")</f>
        <v/>
      </c>
      <c r="D25" s="15">
        <f>IFERROR(INDEX(Personnes!$C$5:$C$153,MATCH($B25,Personnes!$A$5:$A$153,0))&amp;"","")</f>
        <v/>
      </c>
      <c r="E25" s="16" t="n"/>
      <c r="F25" s="16" t="n"/>
      <c r="G25" s="14" t="n"/>
      <c r="H25" s="14" t="n"/>
      <c r="I25" s="18" t="n"/>
    </row>
    <row r="26">
      <c r="A26" s="14" t="n"/>
      <c r="B26" s="15">
        <f>IFERROR(MID($A26,FIND("[",$A26)+1,FIND("]",$A26)-FIND("[",$A26)-1),"")</f>
        <v/>
      </c>
      <c r="C26" s="15">
        <f>IFERROR(INDEX(Personnes!$B$5:$B$153,MATCH($B26,Personnes!$A$5:$A$153,0))&amp;"","")</f>
        <v/>
      </c>
      <c r="D26" s="15">
        <f>IFERROR(INDEX(Personnes!$C$5:$C$153,MATCH($B26,Personnes!$A$5:$A$153,0))&amp;"","")</f>
        <v/>
      </c>
      <c r="E26" s="16" t="n"/>
      <c r="F26" s="16" t="n"/>
      <c r="G26" s="14" t="n"/>
      <c r="H26" s="14" t="n"/>
      <c r="I26" s="18" t="n"/>
    </row>
    <row r="27">
      <c r="A27" s="14" t="n"/>
      <c r="B27" s="15">
        <f>IFERROR(MID($A27,FIND("[",$A27)+1,FIND("]",$A27)-FIND("[",$A27)-1),"")</f>
        <v/>
      </c>
      <c r="C27" s="15">
        <f>IFERROR(INDEX(Personnes!$B$5:$B$153,MATCH($B27,Personnes!$A$5:$A$153,0))&amp;"","")</f>
        <v/>
      </c>
      <c r="D27" s="15">
        <f>IFERROR(INDEX(Personnes!$C$5:$C$153,MATCH($B27,Personnes!$A$5:$A$153,0))&amp;"","")</f>
        <v/>
      </c>
      <c r="E27" s="16" t="n"/>
      <c r="F27" s="16" t="n"/>
      <c r="G27" s="14" t="n"/>
      <c r="H27" s="14" t="n"/>
      <c r="I27" s="18" t="n"/>
    </row>
    <row r="28">
      <c r="A28" s="14" t="n"/>
      <c r="B28" s="15">
        <f>IFERROR(MID($A28,FIND("[",$A28)+1,FIND("]",$A28)-FIND("[",$A28)-1),"")</f>
        <v/>
      </c>
      <c r="C28" s="15">
        <f>IFERROR(INDEX(Personnes!$B$5:$B$153,MATCH($B28,Personnes!$A$5:$A$153,0))&amp;"","")</f>
        <v/>
      </c>
      <c r="D28" s="15">
        <f>IFERROR(INDEX(Personnes!$C$5:$C$153,MATCH($B28,Personnes!$A$5:$A$153,0))&amp;"","")</f>
        <v/>
      </c>
      <c r="E28" s="16" t="n"/>
      <c r="F28" s="16" t="n"/>
      <c r="G28" s="14" t="n"/>
      <c r="H28" s="14" t="n"/>
      <c r="I28" s="18" t="n"/>
    </row>
    <row r="29">
      <c r="A29" s="14" t="n"/>
      <c r="B29" s="15">
        <f>IFERROR(MID($A29,FIND("[",$A29)+1,FIND("]",$A29)-FIND("[",$A29)-1),"")</f>
        <v/>
      </c>
      <c r="C29" s="15">
        <f>IFERROR(INDEX(Personnes!$B$5:$B$153,MATCH($B29,Personnes!$A$5:$A$153,0))&amp;"","")</f>
        <v/>
      </c>
      <c r="D29" s="15">
        <f>IFERROR(INDEX(Personnes!$C$5:$C$153,MATCH($B29,Personnes!$A$5:$A$153,0))&amp;"","")</f>
        <v/>
      </c>
      <c r="E29" s="16" t="n"/>
      <c r="F29" s="16" t="n"/>
      <c r="G29" s="14" t="n"/>
      <c r="H29" s="14" t="n"/>
      <c r="I29" s="18" t="n"/>
    </row>
    <row r="30">
      <c r="A30" s="14" t="n"/>
      <c r="B30" s="15">
        <f>IFERROR(MID($A30,FIND("[",$A30)+1,FIND("]",$A30)-FIND("[",$A30)-1),"")</f>
        <v/>
      </c>
      <c r="C30" s="15">
        <f>IFERROR(INDEX(Personnes!$B$5:$B$153,MATCH($B30,Personnes!$A$5:$A$153,0))&amp;"","")</f>
        <v/>
      </c>
      <c r="D30" s="15">
        <f>IFERROR(INDEX(Personnes!$C$5:$C$153,MATCH($B30,Personnes!$A$5:$A$153,0))&amp;"","")</f>
        <v/>
      </c>
      <c r="E30" s="16" t="n"/>
      <c r="F30" s="16" t="n"/>
      <c r="G30" s="14" t="n"/>
      <c r="H30" s="14" t="n"/>
      <c r="I30" s="18" t="n"/>
    </row>
    <row r="31">
      <c r="A31" s="14" t="n"/>
      <c r="B31" s="15">
        <f>IFERROR(MID($A31,FIND("[",$A31)+1,FIND("]",$A31)-FIND("[",$A31)-1),"")</f>
        <v/>
      </c>
      <c r="C31" s="15">
        <f>IFERROR(INDEX(Personnes!$B$5:$B$153,MATCH($B31,Personnes!$A$5:$A$153,0))&amp;"","")</f>
        <v/>
      </c>
      <c r="D31" s="15">
        <f>IFERROR(INDEX(Personnes!$C$5:$C$153,MATCH($B31,Personnes!$A$5:$A$153,0))&amp;"","")</f>
        <v/>
      </c>
      <c r="E31" s="16" t="n"/>
      <c r="F31" s="16" t="n"/>
      <c r="G31" s="14" t="n"/>
      <c r="H31" s="14" t="n"/>
      <c r="I31" s="18" t="n"/>
    </row>
    <row r="32">
      <c r="A32" s="14" t="n"/>
      <c r="B32" s="15">
        <f>IFERROR(MID($A32,FIND("[",$A32)+1,FIND("]",$A32)-FIND("[",$A32)-1),"")</f>
        <v/>
      </c>
      <c r="C32" s="15">
        <f>IFERROR(INDEX(Personnes!$B$5:$B$153,MATCH($B32,Personnes!$A$5:$A$153,0))&amp;"","")</f>
        <v/>
      </c>
      <c r="D32" s="15">
        <f>IFERROR(INDEX(Personnes!$C$5:$C$153,MATCH($B32,Personnes!$A$5:$A$153,0))&amp;"","")</f>
        <v/>
      </c>
      <c r="E32" s="16" t="n"/>
      <c r="F32" s="16" t="n"/>
      <c r="G32" s="14" t="n"/>
      <c r="H32" s="14" t="n"/>
      <c r="I32" s="18" t="n"/>
    </row>
    <row r="33">
      <c r="A33" s="14" t="n"/>
      <c r="B33" s="15">
        <f>IFERROR(MID($A33,FIND("[",$A33)+1,FIND("]",$A33)-FIND("[",$A33)-1),"")</f>
        <v/>
      </c>
      <c r="C33" s="15">
        <f>IFERROR(INDEX(Personnes!$B$5:$B$153,MATCH($B33,Personnes!$A$5:$A$153,0))&amp;"","")</f>
        <v/>
      </c>
      <c r="D33" s="15">
        <f>IFERROR(INDEX(Personnes!$C$5:$C$153,MATCH($B33,Personnes!$A$5:$A$153,0))&amp;"","")</f>
        <v/>
      </c>
      <c r="E33" s="16" t="n"/>
      <c r="F33" s="16" t="n"/>
      <c r="G33" s="14" t="n"/>
      <c r="H33" s="14" t="n"/>
      <c r="I33" s="18" t="n"/>
    </row>
    <row r="34">
      <c r="A34" s="14" t="n"/>
      <c r="B34" s="15">
        <f>IFERROR(MID($A34,FIND("[",$A34)+1,FIND("]",$A34)-FIND("[",$A34)-1),"")</f>
        <v/>
      </c>
      <c r="C34" s="15">
        <f>IFERROR(INDEX(Personnes!$B$5:$B$153,MATCH($B34,Personnes!$A$5:$A$153,0))&amp;"","")</f>
        <v/>
      </c>
      <c r="D34" s="15">
        <f>IFERROR(INDEX(Personnes!$C$5:$C$153,MATCH($B34,Personnes!$A$5:$A$153,0))&amp;"","")</f>
        <v/>
      </c>
      <c r="E34" s="16" t="n"/>
      <c r="F34" s="16" t="n"/>
      <c r="G34" s="14" t="n"/>
      <c r="H34" s="14" t="n"/>
      <c r="I34" s="18" t="n"/>
    </row>
    <row r="35">
      <c r="A35" s="14" t="n"/>
      <c r="B35" s="15">
        <f>IFERROR(MID($A35,FIND("[",$A35)+1,FIND("]",$A35)-FIND("[",$A35)-1),"")</f>
        <v/>
      </c>
      <c r="C35" s="15">
        <f>IFERROR(INDEX(Personnes!$B$5:$B$153,MATCH($B35,Personnes!$A$5:$A$153,0))&amp;"","")</f>
        <v/>
      </c>
      <c r="D35" s="15">
        <f>IFERROR(INDEX(Personnes!$C$5:$C$153,MATCH($B35,Personnes!$A$5:$A$153,0))&amp;"","")</f>
        <v/>
      </c>
      <c r="E35" s="16" t="n"/>
      <c r="F35" s="16" t="n"/>
      <c r="G35" s="14" t="n"/>
      <c r="H35" s="14" t="n"/>
      <c r="I35" s="18" t="n"/>
    </row>
    <row r="36">
      <c r="A36" s="14" t="n"/>
      <c r="B36" s="15">
        <f>IFERROR(MID($A36,FIND("[",$A36)+1,FIND("]",$A36)-FIND("[",$A36)-1),"")</f>
        <v/>
      </c>
      <c r="C36" s="15">
        <f>IFERROR(INDEX(Personnes!$B$5:$B$153,MATCH($B36,Personnes!$A$5:$A$153,0))&amp;"","")</f>
        <v/>
      </c>
      <c r="D36" s="15">
        <f>IFERROR(INDEX(Personnes!$C$5:$C$153,MATCH($B36,Personnes!$A$5:$A$153,0))&amp;"","")</f>
        <v/>
      </c>
      <c r="E36" s="16" t="n"/>
      <c r="F36" s="16" t="n"/>
      <c r="G36" s="14" t="n"/>
      <c r="H36" s="14" t="n"/>
      <c r="I36" s="18" t="n"/>
    </row>
    <row r="37">
      <c r="A37" s="14" t="n"/>
      <c r="B37" s="15">
        <f>IFERROR(MID($A37,FIND("[",$A37)+1,FIND("]",$A37)-FIND("[",$A37)-1),"")</f>
        <v/>
      </c>
      <c r="C37" s="15">
        <f>IFERROR(INDEX(Personnes!$B$5:$B$153,MATCH($B37,Personnes!$A$5:$A$153,0))&amp;"","")</f>
        <v/>
      </c>
      <c r="D37" s="15">
        <f>IFERROR(INDEX(Personnes!$C$5:$C$153,MATCH($B37,Personnes!$A$5:$A$153,0))&amp;"","")</f>
        <v/>
      </c>
      <c r="E37" s="16" t="n"/>
      <c r="F37" s="16" t="n"/>
      <c r="G37" s="14" t="n"/>
      <c r="H37" s="14" t="n"/>
      <c r="I37" s="18" t="n"/>
    </row>
    <row r="38">
      <c r="A38" s="14" t="n"/>
      <c r="B38" s="15">
        <f>IFERROR(MID($A38,FIND("[",$A38)+1,FIND("]",$A38)-FIND("[",$A38)-1),"")</f>
        <v/>
      </c>
      <c r="C38" s="15">
        <f>IFERROR(INDEX(Personnes!$B$5:$B$153,MATCH($B38,Personnes!$A$5:$A$153,0))&amp;"","")</f>
        <v/>
      </c>
      <c r="D38" s="15">
        <f>IFERROR(INDEX(Personnes!$C$5:$C$153,MATCH($B38,Personnes!$A$5:$A$153,0))&amp;"","")</f>
        <v/>
      </c>
      <c r="E38" s="16" t="n"/>
      <c r="F38" s="16" t="n"/>
      <c r="G38" s="14" t="n"/>
      <c r="H38" s="14" t="n"/>
      <c r="I38" s="18" t="n"/>
    </row>
    <row r="39">
      <c r="A39" s="14" t="n"/>
      <c r="B39" s="15">
        <f>IFERROR(MID($A39,FIND("[",$A39)+1,FIND("]",$A39)-FIND("[",$A39)-1),"")</f>
        <v/>
      </c>
      <c r="C39" s="15">
        <f>IFERROR(INDEX(Personnes!$B$5:$B$153,MATCH($B39,Personnes!$A$5:$A$153,0))&amp;"","")</f>
        <v/>
      </c>
      <c r="D39" s="15">
        <f>IFERROR(INDEX(Personnes!$C$5:$C$153,MATCH($B39,Personnes!$A$5:$A$153,0))&amp;"","")</f>
        <v/>
      </c>
      <c r="E39" s="16" t="n"/>
      <c r="F39" s="16" t="n"/>
      <c r="G39" s="14" t="n"/>
      <c r="H39" s="14" t="n"/>
      <c r="I39" s="18" t="n"/>
    </row>
    <row r="40">
      <c r="A40" s="14" t="n"/>
      <c r="B40" s="15">
        <f>IFERROR(MID($A40,FIND("[",$A40)+1,FIND("]",$A40)-FIND("[",$A40)-1),"")</f>
        <v/>
      </c>
      <c r="C40" s="15">
        <f>IFERROR(INDEX(Personnes!$B$5:$B$153,MATCH($B40,Personnes!$A$5:$A$153,0))&amp;"","")</f>
        <v/>
      </c>
      <c r="D40" s="15">
        <f>IFERROR(INDEX(Personnes!$C$5:$C$153,MATCH($B40,Personnes!$A$5:$A$153,0))&amp;"","")</f>
        <v/>
      </c>
      <c r="E40" s="16" t="n"/>
      <c r="F40" s="16" t="n"/>
      <c r="G40" s="14" t="n"/>
      <c r="H40" s="14" t="n"/>
      <c r="I40" s="18" t="n"/>
    </row>
    <row r="41">
      <c r="A41" s="14" t="n"/>
      <c r="B41" s="15">
        <f>IFERROR(MID($A41,FIND("[",$A41)+1,FIND("]",$A41)-FIND("[",$A41)-1),"")</f>
        <v/>
      </c>
      <c r="C41" s="15">
        <f>IFERROR(INDEX(Personnes!$B$5:$B$153,MATCH($B41,Personnes!$A$5:$A$153,0))&amp;"","")</f>
        <v/>
      </c>
      <c r="D41" s="15">
        <f>IFERROR(INDEX(Personnes!$C$5:$C$153,MATCH($B41,Personnes!$A$5:$A$153,0))&amp;"","")</f>
        <v/>
      </c>
      <c r="E41" s="16" t="n"/>
      <c r="F41" s="16" t="n"/>
      <c r="G41" s="14" t="n"/>
      <c r="H41" s="14" t="n"/>
      <c r="I41" s="18" t="n"/>
    </row>
    <row r="42">
      <c r="A42" s="14" t="n"/>
      <c r="B42" s="15">
        <f>IFERROR(MID($A42,FIND("[",$A42)+1,FIND("]",$A42)-FIND("[",$A42)-1),"")</f>
        <v/>
      </c>
      <c r="C42" s="15">
        <f>IFERROR(INDEX(Personnes!$B$5:$B$153,MATCH($B42,Personnes!$A$5:$A$153,0))&amp;"","")</f>
        <v/>
      </c>
      <c r="D42" s="15">
        <f>IFERROR(INDEX(Personnes!$C$5:$C$153,MATCH($B42,Personnes!$A$5:$A$153,0))&amp;"","")</f>
        <v/>
      </c>
      <c r="E42" s="16" t="n"/>
      <c r="F42" s="16" t="n"/>
      <c r="G42" s="14" t="n"/>
      <c r="H42" s="14" t="n"/>
      <c r="I42" s="18" t="n"/>
    </row>
    <row r="43">
      <c r="A43" s="14" t="n"/>
      <c r="B43" s="15">
        <f>IFERROR(MID($A43,FIND("[",$A43)+1,FIND("]",$A43)-FIND("[",$A43)-1),"")</f>
        <v/>
      </c>
      <c r="C43" s="15">
        <f>IFERROR(INDEX(Personnes!$B$5:$B$153,MATCH($B43,Personnes!$A$5:$A$153,0))&amp;"","")</f>
        <v/>
      </c>
      <c r="D43" s="15">
        <f>IFERROR(INDEX(Personnes!$C$5:$C$153,MATCH($B43,Personnes!$A$5:$A$153,0))&amp;"","")</f>
        <v/>
      </c>
      <c r="E43" s="16" t="n"/>
      <c r="F43" s="16" t="n"/>
      <c r="G43" s="14" t="n"/>
      <c r="H43" s="14" t="n"/>
      <c r="I43" s="18" t="n"/>
    </row>
    <row r="44">
      <c r="A44" s="14" t="n"/>
      <c r="B44" s="15">
        <f>IFERROR(MID($A44,FIND("[",$A44)+1,FIND("]",$A44)-FIND("[",$A44)-1),"")</f>
        <v/>
      </c>
      <c r="C44" s="15">
        <f>IFERROR(INDEX(Personnes!$B$5:$B$153,MATCH($B44,Personnes!$A$5:$A$153,0))&amp;"","")</f>
        <v/>
      </c>
      <c r="D44" s="15">
        <f>IFERROR(INDEX(Personnes!$C$5:$C$153,MATCH($B44,Personnes!$A$5:$A$153,0))&amp;"","")</f>
        <v/>
      </c>
      <c r="E44" s="16" t="n"/>
      <c r="F44" s="16" t="n"/>
      <c r="G44" s="14" t="n"/>
      <c r="H44" s="14" t="n"/>
      <c r="I44" s="18" t="n"/>
    </row>
    <row r="45">
      <c r="A45" s="14" t="n"/>
      <c r="B45" s="15">
        <f>IFERROR(MID($A45,FIND("[",$A45)+1,FIND("]",$A45)-FIND("[",$A45)-1),"")</f>
        <v/>
      </c>
      <c r="C45" s="15">
        <f>IFERROR(INDEX(Personnes!$B$5:$B$153,MATCH($B45,Personnes!$A$5:$A$153,0))&amp;"","")</f>
        <v/>
      </c>
      <c r="D45" s="15">
        <f>IFERROR(INDEX(Personnes!$C$5:$C$153,MATCH($B45,Personnes!$A$5:$A$153,0))&amp;"","")</f>
        <v/>
      </c>
      <c r="E45" s="16" t="n"/>
      <c r="F45" s="16" t="n"/>
      <c r="G45" s="14" t="n"/>
      <c r="H45" s="14" t="n"/>
      <c r="I45" s="18" t="n"/>
    </row>
    <row r="46">
      <c r="A46" s="14" t="n"/>
      <c r="B46" s="15">
        <f>IFERROR(MID($A46,FIND("[",$A46)+1,FIND("]",$A46)-FIND("[",$A46)-1),"")</f>
        <v/>
      </c>
      <c r="C46" s="15">
        <f>IFERROR(INDEX(Personnes!$B$5:$B$153,MATCH($B46,Personnes!$A$5:$A$153,0))&amp;"","")</f>
        <v/>
      </c>
      <c r="D46" s="15">
        <f>IFERROR(INDEX(Personnes!$C$5:$C$153,MATCH($B46,Personnes!$A$5:$A$153,0))&amp;"","")</f>
        <v/>
      </c>
      <c r="E46" s="16" t="n"/>
      <c r="F46" s="16" t="n"/>
      <c r="G46" s="14" t="n"/>
      <c r="H46" s="14" t="n"/>
      <c r="I46" s="18" t="n"/>
    </row>
    <row r="47">
      <c r="A47" s="14" t="n"/>
      <c r="B47" s="15">
        <f>IFERROR(MID($A47,FIND("[",$A47)+1,FIND("]",$A47)-FIND("[",$A47)-1),"")</f>
        <v/>
      </c>
      <c r="C47" s="15">
        <f>IFERROR(INDEX(Personnes!$B$5:$B$153,MATCH($B47,Personnes!$A$5:$A$153,0))&amp;"","")</f>
        <v/>
      </c>
      <c r="D47" s="15">
        <f>IFERROR(INDEX(Personnes!$C$5:$C$153,MATCH($B47,Personnes!$A$5:$A$153,0))&amp;"","")</f>
        <v/>
      </c>
      <c r="E47" s="16" t="n"/>
      <c r="F47" s="16" t="n"/>
      <c r="G47" s="14" t="n"/>
      <c r="H47" s="14" t="n"/>
      <c r="I47" s="18" t="n"/>
    </row>
    <row r="48">
      <c r="A48" s="14" t="n"/>
      <c r="B48" s="15">
        <f>IFERROR(MID($A48,FIND("[",$A48)+1,FIND("]",$A48)-FIND("[",$A48)-1),"")</f>
        <v/>
      </c>
      <c r="C48" s="15">
        <f>IFERROR(INDEX(Personnes!$B$5:$B$153,MATCH($B48,Personnes!$A$5:$A$153,0))&amp;"","")</f>
        <v/>
      </c>
      <c r="D48" s="15">
        <f>IFERROR(INDEX(Personnes!$C$5:$C$153,MATCH($B48,Personnes!$A$5:$A$153,0))&amp;"","")</f>
        <v/>
      </c>
      <c r="E48" s="16" t="n"/>
      <c r="F48" s="16" t="n"/>
      <c r="G48" s="14" t="n"/>
      <c r="H48" s="14" t="n"/>
      <c r="I48" s="18" t="n"/>
    </row>
    <row r="49">
      <c r="A49" s="14" t="n"/>
      <c r="B49" s="15">
        <f>IFERROR(MID($A49,FIND("[",$A49)+1,FIND("]",$A49)-FIND("[",$A49)-1),"")</f>
        <v/>
      </c>
      <c r="C49" s="15">
        <f>IFERROR(INDEX(Personnes!$B$5:$B$153,MATCH($B49,Personnes!$A$5:$A$153,0))&amp;"","")</f>
        <v/>
      </c>
      <c r="D49" s="15">
        <f>IFERROR(INDEX(Personnes!$C$5:$C$153,MATCH($B49,Personnes!$A$5:$A$153,0))&amp;"","")</f>
        <v/>
      </c>
      <c r="E49" s="16" t="n"/>
      <c r="F49" s="16" t="n"/>
      <c r="G49" s="14" t="n"/>
      <c r="H49" s="14" t="n"/>
      <c r="I49" s="18" t="n"/>
    </row>
    <row r="50">
      <c r="A50" s="14" t="n"/>
      <c r="B50" s="15">
        <f>IFERROR(MID($A50,FIND("[",$A50)+1,FIND("]",$A50)-FIND("[",$A50)-1),"")</f>
        <v/>
      </c>
      <c r="C50" s="15">
        <f>IFERROR(INDEX(Personnes!$B$5:$B$153,MATCH($B50,Personnes!$A$5:$A$153,0))&amp;"","")</f>
        <v/>
      </c>
      <c r="D50" s="15">
        <f>IFERROR(INDEX(Personnes!$C$5:$C$153,MATCH($B50,Personnes!$A$5:$A$153,0))&amp;"","")</f>
        <v/>
      </c>
      <c r="E50" s="16" t="n"/>
      <c r="F50" s="16" t="n"/>
      <c r="G50" s="14" t="n"/>
      <c r="H50" s="14" t="n"/>
      <c r="I50" s="18" t="n"/>
    </row>
    <row r="51">
      <c r="A51" s="14" t="n"/>
      <c r="B51" s="15">
        <f>IFERROR(MID($A51,FIND("[",$A51)+1,FIND("]",$A51)-FIND("[",$A51)-1),"")</f>
        <v/>
      </c>
      <c r="C51" s="15">
        <f>IFERROR(INDEX(Personnes!$B$5:$B$153,MATCH($B51,Personnes!$A$5:$A$153,0))&amp;"","")</f>
        <v/>
      </c>
      <c r="D51" s="15">
        <f>IFERROR(INDEX(Personnes!$C$5:$C$153,MATCH($B51,Personnes!$A$5:$A$153,0))&amp;"","")</f>
        <v/>
      </c>
      <c r="E51" s="16" t="n"/>
      <c r="F51" s="16" t="n"/>
      <c r="G51" s="14" t="n"/>
      <c r="H51" s="14" t="n"/>
      <c r="I51" s="18" t="n"/>
    </row>
    <row r="52">
      <c r="A52" s="14" t="n"/>
      <c r="B52" s="15">
        <f>IFERROR(MID($A52,FIND("[",$A52)+1,FIND("]",$A52)-FIND("[",$A52)-1),"")</f>
        <v/>
      </c>
      <c r="C52" s="15">
        <f>IFERROR(INDEX(Personnes!$B$5:$B$153,MATCH($B52,Personnes!$A$5:$A$153,0))&amp;"","")</f>
        <v/>
      </c>
      <c r="D52" s="15">
        <f>IFERROR(INDEX(Personnes!$C$5:$C$153,MATCH($B52,Personnes!$A$5:$A$153,0))&amp;"","")</f>
        <v/>
      </c>
      <c r="E52" s="16" t="n"/>
      <c r="F52" s="16" t="n"/>
      <c r="G52" s="14" t="n"/>
      <c r="H52" s="14" t="n"/>
      <c r="I52" s="18" t="n"/>
    </row>
    <row r="53">
      <c r="A53" s="14" t="n"/>
      <c r="B53" s="15">
        <f>IFERROR(MID($A53,FIND("[",$A53)+1,FIND("]",$A53)-FIND("[",$A53)-1),"")</f>
        <v/>
      </c>
      <c r="C53" s="15">
        <f>IFERROR(INDEX(Personnes!$B$5:$B$153,MATCH($B53,Personnes!$A$5:$A$153,0))&amp;"","")</f>
        <v/>
      </c>
      <c r="D53" s="15">
        <f>IFERROR(INDEX(Personnes!$C$5:$C$153,MATCH($B53,Personnes!$A$5:$A$153,0))&amp;"","")</f>
        <v/>
      </c>
      <c r="E53" s="16" t="n"/>
      <c r="F53" s="16" t="n"/>
      <c r="G53" s="14" t="n"/>
      <c r="H53" s="14" t="n"/>
      <c r="I53" s="18" t="n"/>
    </row>
    <row r="54">
      <c r="A54" s="14" t="n"/>
      <c r="B54" s="15">
        <f>IFERROR(MID($A54,FIND("[",$A54)+1,FIND("]",$A54)-FIND("[",$A54)-1),"")</f>
        <v/>
      </c>
      <c r="C54" s="15">
        <f>IFERROR(INDEX(Personnes!$B$5:$B$153,MATCH($B54,Personnes!$A$5:$A$153,0))&amp;"","")</f>
        <v/>
      </c>
      <c r="D54" s="15">
        <f>IFERROR(INDEX(Personnes!$C$5:$C$153,MATCH($B54,Personnes!$A$5:$A$153,0))&amp;"","")</f>
        <v/>
      </c>
      <c r="E54" s="16" t="n"/>
      <c r="F54" s="16" t="n"/>
      <c r="G54" s="14" t="n"/>
      <c r="H54" s="14" t="n"/>
      <c r="I54" s="18" t="n"/>
    </row>
    <row r="55">
      <c r="A55" s="14" t="n"/>
      <c r="B55" s="15">
        <f>IFERROR(MID($A55,FIND("[",$A55)+1,FIND("]",$A55)-FIND("[",$A55)-1),"")</f>
        <v/>
      </c>
      <c r="C55" s="15">
        <f>IFERROR(INDEX(Personnes!$B$5:$B$153,MATCH($B55,Personnes!$A$5:$A$153,0))&amp;"","")</f>
        <v/>
      </c>
      <c r="D55" s="15">
        <f>IFERROR(INDEX(Personnes!$C$5:$C$153,MATCH($B55,Personnes!$A$5:$A$153,0))&amp;"","")</f>
        <v/>
      </c>
      <c r="E55" s="16" t="n"/>
      <c r="F55" s="16" t="n"/>
      <c r="G55" s="14" t="n"/>
      <c r="H55" s="14" t="n"/>
      <c r="I55" s="18" t="n"/>
    </row>
    <row r="56">
      <c r="A56" s="14" t="n"/>
      <c r="B56" s="15">
        <f>IFERROR(MID($A56,FIND("[",$A56)+1,FIND("]",$A56)-FIND("[",$A56)-1),"")</f>
        <v/>
      </c>
      <c r="C56" s="15">
        <f>IFERROR(INDEX(Personnes!$B$5:$B$153,MATCH($B56,Personnes!$A$5:$A$153,0))&amp;"","")</f>
        <v/>
      </c>
      <c r="D56" s="15">
        <f>IFERROR(INDEX(Personnes!$C$5:$C$153,MATCH($B56,Personnes!$A$5:$A$153,0))&amp;"","")</f>
        <v/>
      </c>
      <c r="E56" s="16" t="n"/>
      <c r="F56" s="16" t="n"/>
      <c r="G56" s="14" t="n"/>
      <c r="H56" s="14" t="n"/>
      <c r="I56" s="18" t="n"/>
    </row>
    <row r="57">
      <c r="A57" s="14" t="n"/>
      <c r="B57" s="15">
        <f>IFERROR(MID($A57,FIND("[",$A57)+1,FIND("]",$A57)-FIND("[",$A57)-1),"")</f>
        <v/>
      </c>
      <c r="C57" s="15">
        <f>IFERROR(INDEX(Personnes!$B$5:$B$153,MATCH($B57,Personnes!$A$5:$A$153,0))&amp;"","")</f>
        <v/>
      </c>
      <c r="D57" s="15">
        <f>IFERROR(INDEX(Personnes!$C$5:$C$153,MATCH($B57,Personnes!$A$5:$A$153,0))&amp;"","")</f>
        <v/>
      </c>
      <c r="E57" s="16" t="n"/>
      <c r="F57" s="16" t="n"/>
      <c r="G57" s="14" t="n"/>
      <c r="H57" s="14" t="n"/>
      <c r="I57" s="18" t="n"/>
    </row>
    <row r="58">
      <c r="A58" s="14" t="n"/>
      <c r="B58" s="15">
        <f>IFERROR(MID($A58,FIND("[",$A58)+1,FIND("]",$A58)-FIND("[",$A58)-1),"")</f>
        <v/>
      </c>
      <c r="C58" s="15">
        <f>IFERROR(INDEX(Personnes!$B$5:$B$153,MATCH($B58,Personnes!$A$5:$A$153,0))&amp;"","")</f>
        <v/>
      </c>
      <c r="D58" s="15">
        <f>IFERROR(INDEX(Personnes!$C$5:$C$153,MATCH($B58,Personnes!$A$5:$A$153,0))&amp;"","")</f>
        <v/>
      </c>
      <c r="E58" s="16" t="n"/>
      <c r="F58" s="16" t="n"/>
      <c r="G58" s="14" t="n"/>
      <c r="H58" s="14" t="n"/>
      <c r="I58" s="18" t="n"/>
    </row>
    <row r="59">
      <c r="A59" s="14" t="n"/>
      <c r="B59" s="15">
        <f>IFERROR(MID($A59,FIND("[",$A59)+1,FIND("]",$A59)-FIND("[",$A59)-1),"")</f>
        <v/>
      </c>
      <c r="C59" s="15">
        <f>IFERROR(INDEX(Personnes!$B$5:$B$153,MATCH($B59,Personnes!$A$5:$A$153,0))&amp;"","")</f>
        <v/>
      </c>
      <c r="D59" s="15">
        <f>IFERROR(INDEX(Personnes!$C$5:$C$153,MATCH($B59,Personnes!$A$5:$A$153,0))&amp;"","")</f>
        <v/>
      </c>
      <c r="E59" s="16" t="n"/>
      <c r="F59" s="16" t="n"/>
      <c r="G59" s="14" t="n"/>
      <c r="H59" s="14" t="n"/>
      <c r="I59" s="18" t="n"/>
    </row>
    <row r="60">
      <c r="A60" s="14" t="n"/>
      <c r="B60" s="15">
        <f>IFERROR(MID($A60,FIND("[",$A60)+1,FIND("]",$A60)-FIND("[",$A60)-1),"")</f>
        <v/>
      </c>
      <c r="C60" s="15">
        <f>IFERROR(INDEX(Personnes!$B$5:$B$153,MATCH($B60,Personnes!$A$5:$A$153,0))&amp;"","")</f>
        <v/>
      </c>
      <c r="D60" s="15">
        <f>IFERROR(INDEX(Personnes!$C$5:$C$153,MATCH($B60,Personnes!$A$5:$A$153,0))&amp;"","")</f>
        <v/>
      </c>
      <c r="E60" s="16" t="n"/>
      <c r="F60" s="16" t="n"/>
      <c r="G60" s="14" t="n"/>
      <c r="H60" s="14" t="n"/>
      <c r="I60" s="18" t="n"/>
    </row>
    <row r="61">
      <c r="A61" s="14" t="n"/>
      <c r="B61" s="15">
        <f>IFERROR(MID($A61,FIND("[",$A61)+1,FIND("]",$A61)-FIND("[",$A61)-1),"")</f>
        <v/>
      </c>
      <c r="C61" s="15">
        <f>IFERROR(INDEX(Personnes!$B$5:$B$153,MATCH($B61,Personnes!$A$5:$A$153,0))&amp;"","")</f>
        <v/>
      </c>
      <c r="D61" s="15">
        <f>IFERROR(INDEX(Personnes!$C$5:$C$153,MATCH($B61,Personnes!$A$5:$A$153,0))&amp;"","")</f>
        <v/>
      </c>
      <c r="E61" s="16" t="n"/>
      <c r="F61" s="16" t="n"/>
      <c r="G61" s="14" t="n"/>
      <c r="H61" s="14" t="n"/>
      <c r="I61" s="18" t="n"/>
    </row>
    <row r="62">
      <c r="A62" s="14" t="n"/>
      <c r="B62" s="15">
        <f>IFERROR(MID($A62,FIND("[",$A62)+1,FIND("]",$A62)-FIND("[",$A62)-1),"")</f>
        <v/>
      </c>
      <c r="C62" s="15">
        <f>IFERROR(INDEX(Personnes!$B$5:$B$153,MATCH($B62,Personnes!$A$5:$A$153,0))&amp;"","")</f>
        <v/>
      </c>
      <c r="D62" s="15">
        <f>IFERROR(INDEX(Personnes!$C$5:$C$153,MATCH($B62,Personnes!$A$5:$A$153,0))&amp;"","")</f>
        <v/>
      </c>
      <c r="E62" s="16" t="n"/>
      <c r="F62" s="16" t="n"/>
      <c r="G62" s="14" t="n"/>
      <c r="H62" s="14" t="n"/>
      <c r="I62" s="18" t="n"/>
    </row>
    <row r="63">
      <c r="A63" s="14" t="n"/>
      <c r="B63" s="15">
        <f>IFERROR(MID($A63,FIND("[",$A63)+1,FIND("]",$A63)-FIND("[",$A63)-1),"")</f>
        <v/>
      </c>
      <c r="C63" s="15">
        <f>IFERROR(INDEX(Personnes!$B$5:$B$153,MATCH($B63,Personnes!$A$5:$A$153,0))&amp;"","")</f>
        <v/>
      </c>
      <c r="D63" s="15">
        <f>IFERROR(INDEX(Personnes!$C$5:$C$153,MATCH($B63,Personnes!$A$5:$A$153,0))&amp;"","")</f>
        <v/>
      </c>
      <c r="E63" s="16" t="n"/>
      <c r="F63" s="16" t="n"/>
      <c r="G63" s="14" t="n"/>
      <c r="H63" s="14" t="n"/>
      <c r="I63" s="18" t="n"/>
    </row>
    <row r="64">
      <c r="A64" s="14" t="n"/>
      <c r="B64" s="15">
        <f>IFERROR(MID($A64,FIND("[",$A64)+1,FIND("]",$A64)-FIND("[",$A64)-1),"")</f>
        <v/>
      </c>
      <c r="C64" s="15">
        <f>IFERROR(INDEX(Personnes!$B$5:$B$153,MATCH($B64,Personnes!$A$5:$A$153,0))&amp;"","")</f>
        <v/>
      </c>
      <c r="D64" s="15">
        <f>IFERROR(INDEX(Personnes!$C$5:$C$153,MATCH($B64,Personnes!$A$5:$A$153,0))&amp;"","")</f>
        <v/>
      </c>
      <c r="E64" s="16" t="n"/>
      <c r="F64" s="16" t="n"/>
      <c r="G64" s="14" t="n"/>
      <c r="H64" s="14" t="n"/>
      <c r="I64" s="18" t="n"/>
    </row>
    <row r="65">
      <c r="A65" s="14" t="n"/>
      <c r="B65" s="15">
        <f>IFERROR(MID($A65,FIND("[",$A65)+1,FIND("]",$A65)-FIND("[",$A65)-1),"")</f>
        <v/>
      </c>
      <c r="C65" s="15">
        <f>IFERROR(INDEX(Personnes!$B$5:$B$153,MATCH($B65,Personnes!$A$5:$A$153,0))&amp;"","")</f>
        <v/>
      </c>
      <c r="D65" s="15">
        <f>IFERROR(INDEX(Personnes!$C$5:$C$153,MATCH($B65,Personnes!$A$5:$A$153,0))&amp;"","")</f>
        <v/>
      </c>
      <c r="E65" s="16" t="n"/>
      <c r="F65" s="16" t="n"/>
      <c r="G65" s="14" t="n"/>
      <c r="H65" s="14" t="n"/>
      <c r="I65" s="18" t="n"/>
    </row>
    <row r="66">
      <c r="A66" s="14" t="n"/>
      <c r="B66" s="15">
        <f>IFERROR(MID($A66,FIND("[",$A66)+1,FIND("]",$A66)-FIND("[",$A66)-1),"")</f>
        <v/>
      </c>
      <c r="C66" s="15">
        <f>IFERROR(INDEX(Personnes!$B$5:$B$153,MATCH($B66,Personnes!$A$5:$A$153,0))&amp;"","")</f>
        <v/>
      </c>
      <c r="D66" s="15">
        <f>IFERROR(INDEX(Personnes!$C$5:$C$153,MATCH($B66,Personnes!$A$5:$A$153,0))&amp;"","")</f>
        <v/>
      </c>
      <c r="E66" s="16" t="n"/>
      <c r="F66" s="16" t="n"/>
      <c r="G66" s="14" t="n"/>
      <c r="H66" s="14" t="n"/>
      <c r="I66" s="18" t="n"/>
    </row>
    <row r="67">
      <c r="A67" s="14" t="n"/>
      <c r="B67" s="15">
        <f>IFERROR(MID($A67,FIND("[",$A67)+1,FIND("]",$A67)-FIND("[",$A67)-1),"")</f>
        <v/>
      </c>
      <c r="C67" s="15">
        <f>IFERROR(INDEX(Personnes!$B$5:$B$153,MATCH($B67,Personnes!$A$5:$A$153,0))&amp;"","")</f>
        <v/>
      </c>
      <c r="D67" s="15">
        <f>IFERROR(INDEX(Personnes!$C$5:$C$153,MATCH($B67,Personnes!$A$5:$A$153,0))&amp;"","")</f>
        <v/>
      </c>
      <c r="E67" s="16" t="n"/>
      <c r="F67" s="16" t="n"/>
      <c r="G67" s="14" t="n"/>
      <c r="H67" s="14" t="n"/>
      <c r="I67" s="18" t="n"/>
    </row>
    <row r="68">
      <c r="A68" s="14" t="n"/>
      <c r="B68" s="15">
        <f>IFERROR(MID($A68,FIND("[",$A68)+1,FIND("]",$A68)-FIND("[",$A68)-1),"")</f>
        <v/>
      </c>
      <c r="C68" s="15">
        <f>IFERROR(INDEX(Personnes!$B$5:$B$153,MATCH($B68,Personnes!$A$5:$A$153,0))&amp;"","")</f>
        <v/>
      </c>
      <c r="D68" s="15">
        <f>IFERROR(INDEX(Personnes!$C$5:$C$153,MATCH($B68,Personnes!$A$5:$A$153,0))&amp;"","")</f>
        <v/>
      </c>
      <c r="E68" s="16" t="n"/>
      <c r="F68" s="16" t="n"/>
      <c r="G68" s="14" t="n"/>
      <c r="H68" s="14" t="n"/>
      <c r="I68" s="18" t="n"/>
    </row>
    <row r="69">
      <c r="A69" s="14" t="n"/>
      <c r="B69" s="15">
        <f>IFERROR(MID($A69,FIND("[",$A69)+1,FIND("]",$A69)-FIND("[",$A69)-1),"")</f>
        <v/>
      </c>
      <c r="C69" s="15">
        <f>IFERROR(INDEX(Personnes!$B$5:$B$153,MATCH($B69,Personnes!$A$5:$A$153,0))&amp;"","")</f>
        <v/>
      </c>
      <c r="D69" s="15">
        <f>IFERROR(INDEX(Personnes!$C$5:$C$153,MATCH($B69,Personnes!$A$5:$A$153,0))&amp;"","")</f>
        <v/>
      </c>
      <c r="E69" s="16" t="n"/>
      <c r="F69" s="16" t="n"/>
      <c r="G69" s="14" t="n"/>
      <c r="H69" s="14" t="n"/>
      <c r="I69" s="18" t="n"/>
    </row>
    <row r="70">
      <c r="A70" s="14" t="n"/>
      <c r="B70" s="15">
        <f>IFERROR(MID($A70,FIND("[",$A70)+1,FIND("]",$A70)-FIND("[",$A70)-1),"")</f>
        <v/>
      </c>
      <c r="C70" s="15">
        <f>IFERROR(INDEX(Personnes!$B$5:$B$153,MATCH($B70,Personnes!$A$5:$A$153,0))&amp;"","")</f>
        <v/>
      </c>
      <c r="D70" s="15">
        <f>IFERROR(INDEX(Personnes!$C$5:$C$153,MATCH($B70,Personnes!$A$5:$A$153,0))&amp;"","")</f>
        <v/>
      </c>
      <c r="E70" s="16" t="n"/>
      <c r="F70" s="16" t="n"/>
      <c r="G70" s="14" t="n"/>
      <c r="H70" s="14" t="n"/>
      <c r="I70" s="18" t="n"/>
    </row>
    <row r="71">
      <c r="A71" s="14" t="n"/>
      <c r="B71" s="15">
        <f>IFERROR(MID($A71,FIND("[",$A71)+1,FIND("]",$A71)-FIND("[",$A71)-1),"")</f>
        <v/>
      </c>
      <c r="C71" s="15">
        <f>IFERROR(INDEX(Personnes!$B$5:$B$153,MATCH($B71,Personnes!$A$5:$A$153,0))&amp;"","")</f>
        <v/>
      </c>
      <c r="D71" s="15">
        <f>IFERROR(INDEX(Personnes!$C$5:$C$153,MATCH($B71,Personnes!$A$5:$A$153,0))&amp;"","")</f>
        <v/>
      </c>
      <c r="E71" s="16" t="n"/>
      <c r="F71" s="16" t="n"/>
      <c r="G71" s="14" t="n"/>
      <c r="H71" s="14" t="n"/>
      <c r="I71" s="18" t="n"/>
    </row>
    <row r="72">
      <c r="A72" s="14" t="n"/>
      <c r="B72" s="15">
        <f>IFERROR(MID($A72,FIND("[",$A72)+1,FIND("]",$A72)-FIND("[",$A72)-1),"")</f>
        <v/>
      </c>
      <c r="C72" s="15">
        <f>IFERROR(INDEX(Personnes!$B$5:$B$153,MATCH($B72,Personnes!$A$5:$A$153,0))&amp;"","")</f>
        <v/>
      </c>
      <c r="D72" s="15">
        <f>IFERROR(INDEX(Personnes!$C$5:$C$153,MATCH($B72,Personnes!$A$5:$A$153,0))&amp;"","")</f>
        <v/>
      </c>
      <c r="E72" s="16" t="n"/>
      <c r="F72" s="16" t="n"/>
      <c r="G72" s="14" t="n"/>
      <c r="H72" s="14" t="n"/>
      <c r="I72" s="18" t="n"/>
    </row>
    <row r="73">
      <c r="A73" s="14" t="n"/>
      <c r="B73" s="15">
        <f>IFERROR(MID($A73,FIND("[",$A73)+1,FIND("]",$A73)-FIND("[",$A73)-1),"")</f>
        <v/>
      </c>
      <c r="C73" s="15">
        <f>IFERROR(INDEX(Personnes!$B$5:$B$153,MATCH($B73,Personnes!$A$5:$A$153,0))&amp;"","")</f>
        <v/>
      </c>
      <c r="D73" s="15">
        <f>IFERROR(INDEX(Personnes!$C$5:$C$153,MATCH($B73,Personnes!$A$5:$A$153,0))&amp;"","")</f>
        <v/>
      </c>
      <c r="E73" s="16" t="n"/>
      <c r="F73" s="16" t="n"/>
      <c r="G73" s="14" t="n"/>
      <c r="H73" s="14" t="n"/>
      <c r="I73" s="18" t="n"/>
    </row>
    <row r="74">
      <c r="A74" s="14" t="n"/>
      <c r="B74" s="15">
        <f>IFERROR(MID($A74,FIND("[",$A74)+1,FIND("]",$A74)-FIND("[",$A74)-1),"")</f>
        <v/>
      </c>
      <c r="C74" s="15">
        <f>IFERROR(INDEX(Personnes!$B$5:$B$153,MATCH($B74,Personnes!$A$5:$A$153,0))&amp;"","")</f>
        <v/>
      </c>
      <c r="D74" s="15">
        <f>IFERROR(INDEX(Personnes!$C$5:$C$153,MATCH($B74,Personnes!$A$5:$A$153,0))&amp;"","")</f>
        <v/>
      </c>
      <c r="E74" s="16" t="n"/>
      <c r="F74" s="16" t="n"/>
      <c r="G74" s="14" t="n"/>
      <c r="H74" s="14" t="n"/>
      <c r="I74" s="18" t="n"/>
    </row>
    <row r="75">
      <c r="A75" s="14" t="n"/>
      <c r="B75" s="15">
        <f>IFERROR(MID($A75,FIND("[",$A75)+1,FIND("]",$A75)-FIND("[",$A75)-1),"")</f>
        <v/>
      </c>
      <c r="C75" s="15">
        <f>IFERROR(INDEX(Personnes!$B$5:$B$153,MATCH($B75,Personnes!$A$5:$A$153,0))&amp;"","")</f>
        <v/>
      </c>
      <c r="D75" s="15">
        <f>IFERROR(INDEX(Personnes!$C$5:$C$153,MATCH($B75,Personnes!$A$5:$A$153,0))&amp;"","")</f>
        <v/>
      </c>
      <c r="E75" s="16" t="n"/>
      <c r="F75" s="16" t="n"/>
      <c r="G75" s="14" t="n"/>
      <c r="H75" s="14" t="n"/>
      <c r="I75" s="18" t="n"/>
    </row>
    <row r="76">
      <c r="A76" s="14" t="n"/>
      <c r="B76" s="15">
        <f>IFERROR(MID($A76,FIND("[",$A76)+1,FIND("]",$A76)-FIND("[",$A76)-1),"")</f>
        <v/>
      </c>
      <c r="C76" s="15">
        <f>IFERROR(INDEX(Personnes!$B$5:$B$153,MATCH($B76,Personnes!$A$5:$A$153,0))&amp;"","")</f>
        <v/>
      </c>
      <c r="D76" s="15">
        <f>IFERROR(INDEX(Personnes!$C$5:$C$153,MATCH($B76,Personnes!$A$5:$A$153,0))&amp;"","")</f>
        <v/>
      </c>
      <c r="E76" s="16" t="n"/>
      <c r="F76" s="16" t="n"/>
      <c r="G76" s="14" t="n"/>
      <c r="H76" s="14" t="n"/>
      <c r="I76" s="18" t="n"/>
    </row>
    <row r="77">
      <c r="A77" s="14" t="n"/>
      <c r="B77" s="15">
        <f>IFERROR(MID($A77,FIND("[",$A77)+1,FIND("]",$A77)-FIND("[",$A77)-1),"")</f>
        <v/>
      </c>
      <c r="C77" s="15">
        <f>IFERROR(INDEX(Personnes!$B$5:$B$153,MATCH($B77,Personnes!$A$5:$A$153,0))&amp;"","")</f>
        <v/>
      </c>
      <c r="D77" s="15">
        <f>IFERROR(INDEX(Personnes!$C$5:$C$153,MATCH($B77,Personnes!$A$5:$A$153,0))&amp;"","")</f>
        <v/>
      </c>
      <c r="E77" s="16" t="n"/>
      <c r="F77" s="16" t="n"/>
      <c r="G77" s="14" t="n"/>
      <c r="H77" s="14" t="n"/>
      <c r="I77" s="18" t="n"/>
    </row>
    <row r="78">
      <c r="A78" s="14" t="n"/>
      <c r="B78" s="15">
        <f>IFERROR(MID($A78,FIND("[",$A78)+1,FIND("]",$A78)-FIND("[",$A78)-1),"")</f>
        <v/>
      </c>
      <c r="C78" s="15">
        <f>IFERROR(INDEX(Personnes!$B$5:$B$153,MATCH($B78,Personnes!$A$5:$A$153,0))&amp;"","")</f>
        <v/>
      </c>
      <c r="D78" s="15">
        <f>IFERROR(INDEX(Personnes!$C$5:$C$153,MATCH($B78,Personnes!$A$5:$A$153,0))&amp;"","")</f>
        <v/>
      </c>
      <c r="E78" s="16" t="n"/>
      <c r="F78" s="16" t="n"/>
      <c r="G78" s="14" t="n"/>
      <c r="H78" s="14" t="n"/>
      <c r="I78" s="18" t="n"/>
    </row>
    <row r="79">
      <c r="A79" s="14" t="n"/>
      <c r="B79" s="15">
        <f>IFERROR(MID($A79,FIND("[",$A79)+1,FIND("]",$A79)-FIND("[",$A79)-1),"")</f>
        <v/>
      </c>
      <c r="C79" s="15">
        <f>IFERROR(INDEX(Personnes!$B$5:$B$153,MATCH($B79,Personnes!$A$5:$A$153,0))&amp;"","")</f>
        <v/>
      </c>
      <c r="D79" s="15">
        <f>IFERROR(INDEX(Personnes!$C$5:$C$153,MATCH($B79,Personnes!$A$5:$A$153,0))&amp;"","")</f>
        <v/>
      </c>
      <c r="E79" s="16" t="n"/>
      <c r="F79" s="16" t="n"/>
      <c r="G79" s="14" t="n"/>
      <c r="H79" s="14" t="n"/>
      <c r="I79" s="18" t="n"/>
    </row>
    <row r="80">
      <c r="A80" s="14" t="n"/>
      <c r="B80" s="15">
        <f>IFERROR(MID($A80,FIND("[",$A80)+1,FIND("]",$A80)-FIND("[",$A80)-1),"")</f>
        <v/>
      </c>
      <c r="C80" s="15">
        <f>IFERROR(INDEX(Personnes!$B$5:$B$153,MATCH($B80,Personnes!$A$5:$A$153,0))&amp;"","")</f>
        <v/>
      </c>
      <c r="D80" s="15">
        <f>IFERROR(INDEX(Personnes!$C$5:$C$153,MATCH($B80,Personnes!$A$5:$A$153,0))&amp;"","")</f>
        <v/>
      </c>
      <c r="E80" s="16" t="n"/>
      <c r="F80" s="16" t="n"/>
      <c r="G80" s="14" t="n"/>
      <c r="H80" s="14" t="n"/>
      <c r="I80" s="18" t="n"/>
    </row>
    <row r="81">
      <c r="A81" s="14" t="n"/>
      <c r="B81" s="15">
        <f>IFERROR(MID($A81,FIND("[",$A81)+1,FIND("]",$A81)-FIND("[",$A81)-1),"")</f>
        <v/>
      </c>
      <c r="C81" s="15">
        <f>IFERROR(INDEX(Personnes!$B$5:$B$153,MATCH($B81,Personnes!$A$5:$A$153,0))&amp;"","")</f>
        <v/>
      </c>
      <c r="D81" s="15">
        <f>IFERROR(INDEX(Personnes!$C$5:$C$153,MATCH($B81,Personnes!$A$5:$A$153,0))&amp;"","")</f>
        <v/>
      </c>
      <c r="E81" s="16" t="n"/>
      <c r="F81" s="16" t="n"/>
      <c r="G81" s="14" t="n"/>
      <c r="H81" s="14" t="n"/>
      <c r="I81" s="18" t="n"/>
    </row>
    <row r="82">
      <c r="A82" s="14" t="n"/>
      <c r="B82" s="15">
        <f>IFERROR(MID($A82,FIND("[",$A82)+1,FIND("]",$A82)-FIND("[",$A82)-1),"")</f>
        <v/>
      </c>
      <c r="C82" s="15">
        <f>IFERROR(INDEX(Personnes!$B$5:$B$153,MATCH($B82,Personnes!$A$5:$A$153,0))&amp;"","")</f>
        <v/>
      </c>
      <c r="D82" s="15">
        <f>IFERROR(INDEX(Personnes!$C$5:$C$153,MATCH($B82,Personnes!$A$5:$A$153,0))&amp;"","")</f>
        <v/>
      </c>
      <c r="E82" s="16" t="n"/>
      <c r="F82" s="16" t="n"/>
      <c r="G82" s="14" t="n"/>
      <c r="H82" s="14" t="n"/>
      <c r="I82" s="18" t="n"/>
    </row>
    <row r="83">
      <c r="A83" s="14" t="n"/>
      <c r="B83" s="15">
        <f>IFERROR(MID($A83,FIND("[",$A83)+1,FIND("]",$A83)-FIND("[",$A83)-1),"")</f>
        <v/>
      </c>
      <c r="C83" s="15">
        <f>IFERROR(INDEX(Personnes!$B$5:$B$153,MATCH($B83,Personnes!$A$5:$A$153,0))&amp;"","")</f>
        <v/>
      </c>
      <c r="D83" s="15">
        <f>IFERROR(INDEX(Personnes!$C$5:$C$153,MATCH($B83,Personnes!$A$5:$A$153,0))&amp;"","")</f>
        <v/>
      </c>
      <c r="E83" s="16" t="n"/>
      <c r="F83" s="16" t="n"/>
      <c r="G83" s="14" t="n"/>
      <c r="H83" s="14" t="n"/>
      <c r="I83" s="18" t="n"/>
    </row>
    <row r="84">
      <c r="A84" s="14" t="n"/>
      <c r="B84" s="15">
        <f>IFERROR(MID($A84,FIND("[",$A84)+1,FIND("]",$A84)-FIND("[",$A84)-1),"")</f>
        <v/>
      </c>
      <c r="C84" s="15">
        <f>IFERROR(INDEX(Personnes!$B$5:$B$153,MATCH($B84,Personnes!$A$5:$A$153,0))&amp;"","")</f>
        <v/>
      </c>
      <c r="D84" s="15">
        <f>IFERROR(INDEX(Personnes!$C$5:$C$153,MATCH($B84,Personnes!$A$5:$A$153,0))&amp;"","")</f>
        <v/>
      </c>
      <c r="E84" s="16" t="n"/>
      <c r="F84" s="16" t="n"/>
      <c r="G84" s="14" t="n"/>
      <c r="H84" s="14" t="n"/>
      <c r="I84" s="18" t="n"/>
    </row>
    <row r="85">
      <c r="A85" s="14" t="n"/>
      <c r="B85" s="15">
        <f>IFERROR(MID($A85,FIND("[",$A85)+1,FIND("]",$A85)-FIND("[",$A85)-1),"")</f>
        <v/>
      </c>
      <c r="C85" s="15">
        <f>IFERROR(INDEX(Personnes!$B$5:$B$153,MATCH($B85,Personnes!$A$5:$A$153,0))&amp;"","")</f>
        <v/>
      </c>
      <c r="D85" s="15">
        <f>IFERROR(INDEX(Personnes!$C$5:$C$153,MATCH($B85,Personnes!$A$5:$A$153,0))&amp;"","")</f>
        <v/>
      </c>
      <c r="E85" s="16" t="n"/>
      <c r="F85" s="16" t="n"/>
      <c r="G85" s="14" t="n"/>
      <c r="H85" s="14" t="n"/>
      <c r="I85" s="18" t="n"/>
    </row>
    <row r="86">
      <c r="A86" s="14" t="n"/>
      <c r="B86" s="15">
        <f>IFERROR(MID($A86,FIND("[",$A86)+1,FIND("]",$A86)-FIND("[",$A86)-1),"")</f>
        <v/>
      </c>
      <c r="C86" s="15">
        <f>IFERROR(INDEX(Personnes!$B$5:$B$153,MATCH($B86,Personnes!$A$5:$A$153,0))&amp;"","")</f>
        <v/>
      </c>
      <c r="D86" s="15">
        <f>IFERROR(INDEX(Personnes!$C$5:$C$153,MATCH($B86,Personnes!$A$5:$A$153,0))&amp;"","")</f>
        <v/>
      </c>
      <c r="E86" s="16" t="n"/>
      <c r="F86" s="16" t="n"/>
      <c r="G86" s="14" t="n"/>
      <c r="H86" s="14" t="n"/>
      <c r="I86" s="18" t="n"/>
    </row>
    <row r="87">
      <c r="A87" s="14" t="n"/>
      <c r="B87" s="15">
        <f>IFERROR(MID($A87,FIND("[",$A87)+1,FIND("]",$A87)-FIND("[",$A87)-1),"")</f>
        <v/>
      </c>
      <c r="C87" s="15">
        <f>IFERROR(INDEX(Personnes!$B$5:$B$153,MATCH($B87,Personnes!$A$5:$A$153,0))&amp;"","")</f>
        <v/>
      </c>
      <c r="D87" s="15">
        <f>IFERROR(INDEX(Personnes!$C$5:$C$153,MATCH($B87,Personnes!$A$5:$A$153,0))&amp;"","")</f>
        <v/>
      </c>
      <c r="E87" s="16" t="n"/>
      <c r="F87" s="16" t="n"/>
      <c r="G87" s="14" t="n"/>
      <c r="H87" s="14" t="n"/>
      <c r="I87" s="18" t="n"/>
    </row>
    <row r="88">
      <c r="A88" s="14" t="n"/>
      <c r="B88" s="15">
        <f>IFERROR(MID($A88,FIND("[",$A88)+1,FIND("]",$A88)-FIND("[",$A88)-1),"")</f>
        <v/>
      </c>
      <c r="C88" s="15">
        <f>IFERROR(INDEX(Personnes!$B$5:$B$153,MATCH($B88,Personnes!$A$5:$A$153,0))&amp;"","")</f>
        <v/>
      </c>
      <c r="D88" s="15">
        <f>IFERROR(INDEX(Personnes!$C$5:$C$153,MATCH($B88,Personnes!$A$5:$A$153,0))&amp;"","")</f>
        <v/>
      </c>
      <c r="E88" s="16" t="n"/>
      <c r="F88" s="16" t="n"/>
      <c r="G88" s="14" t="n"/>
      <c r="H88" s="14" t="n"/>
      <c r="I88" s="18" t="n"/>
    </row>
    <row r="89">
      <c r="A89" s="14" t="n"/>
      <c r="B89" s="15">
        <f>IFERROR(MID($A89,FIND("[",$A89)+1,FIND("]",$A89)-FIND("[",$A89)-1),"")</f>
        <v/>
      </c>
      <c r="C89" s="15">
        <f>IFERROR(INDEX(Personnes!$B$5:$B$153,MATCH($B89,Personnes!$A$5:$A$153,0))&amp;"","")</f>
        <v/>
      </c>
      <c r="D89" s="15">
        <f>IFERROR(INDEX(Personnes!$C$5:$C$153,MATCH($B89,Personnes!$A$5:$A$153,0))&amp;"","")</f>
        <v/>
      </c>
      <c r="E89" s="16" t="n"/>
      <c r="F89" s="16" t="n"/>
      <c r="G89" s="14" t="n"/>
      <c r="H89" s="14" t="n"/>
      <c r="I89" s="18" t="n"/>
    </row>
    <row r="90">
      <c r="A90" s="14" t="n"/>
      <c r="B90" s="15">
        <f>IFERROR(MID($A90,FIND("[",$A90)+1,FIND("]",$A90)-FIND("[",$A90)-1),"")</f>
        <v/>
      </c>
      <c r="C90" s="15">
        <f>IFERROR(INDEX(Personnes!$B$5:$B$153,MATCH($B90,Personnes!$A$5:$A$153,0))&amp;"","")</f>
        <v/>
      </c>
      <c r="D90" s="15">
        <f>IFERROR(INDEX(Personnes!$C$5:$C$153,MATCH($B90,Personnes!$A$5:$A$153,0))&amp;"","")</f>
        <v/>
      </c>
      <c r="E90" s="16" t="n"/>
      <c r="F90" s="16" t="n"/>
      <c r="G90" s="14" t="n"/>
      <c r="H90" s="14" t="n"/>
      <c r="I90" s="18" t="n"/>
    </row>
    <row r="91">
      <c r="A91" s="14" t="n"/>
      <c r="B91" s="15">
        <f>IFERROR(MID($A91,FIND("[",$A91)+1,FIND("]",$A91)-FIND("[",$A91)-1),"")</f>
        <v/>
      </c>
      <c r="C91" s="15">
        <f>IFERROR(INDEX(Personnes!$B$5:$B$153,MATCH($B91,Personnes!$A$5:$A$153,0))&amp;"","")</f>
        <v/>
      </c>
      <c r="D91" s="15">
        <f>IFERROR(INDEX(Personnes!$C$5:$C$153,MATCH($B91,Personnes!$A$5:$A$153,0))&amp;"","")</f>
        <v/>
      </c>
      <c r="E91" s="16" t="n"/>
      <c r="F91" s="16" t="n"/>
      <c r="G91" s="14" t="n"/>
      <c r="H91" s="14" t="n"/>
      <c r="I91" s="18" t="n"/>
    </row>
    <row r="92">
      <c r="A92" s="14" t="n"/>
      <c r="B92" s="15">
        <f>IFERROR(MID($A92,FIND("[",$A92)+1,FIND("]",$A92)-FIND("[",$A92)-1),"")</f>
        <v/>
      </c>
      <c r="C92" s="15">
        <f>IFERROR(INDEX(Personnes!$B$5:$B$153,MATCH($B92,Personnes!$A$5:$A$153,0))&amp;"","")</f>
        <v/>
      </c>
      <c r="D92" s="15">
        <f>IFERROR(INDEX(Personnes!$C$5:$C$153,MATCH($B92,Personnes!$A$5:$A$153,0))&amp;"","")</f>
        <v/>
      </c>
      <c r="E92" s="16" t="n"/>
      <c r="F92" s="16" t="n"/>
      <c r="G92" s="14" t="n"/>
      <c r="H92" s="14" t="n"/>
      <c r="I92" s="18" t="n"/>
    </row>
    <row r="93">
      <c r="A93" s="14" t="n"/>
      <c r="B93" s="15">
        <f>IFERROR(MID($A93,FIND("[",$A93)+1,FIND("]",$A93)-FIND("[",$A93)-1),"")</f>
        <v/>
      </c>
      <c r="C93" s="15">
        <f>IFERROR(INDEX(Personnes!$B$5:$B$153,MATCH($B93,Personnes!$A$5:$A$153,0))&amp;"","")</f>
        <v/>
      </c>
      <c r="D93" s="15">
        <f>IFERROR(INDEX(Personnes!$C$5:$C$153,MATCH($B93,Personnes!$A$5:$A$153,0))&amp;"","")</f>
        <v/>
      </c>
      <c r="E93" s="16" t="n"/>
      <c r="F93" s="16" t="n"/>
      <c r="G93" s="14" t="n"/>
      <c r="H93" s="14" t="n"/>
      <c r="I93" s="18" t="n"/>
    </row>
    <row r="94">
      <c r="A94" s="14" t="n"/>
      <c r="B94" s="15">
        <f>IFERROR(MID($A94,FIND("[",$A94)+1,FIND("]",$A94)-FIND("[",$A94)-1),"")</f>
        <v/>
      </c>
      <c r="C94" s="15">
        <f>IFERROR(INDEX(Personnes!$B$5:$B$153,MATCH($B94,Personnes!$A$5:$A$153,0))&amp;"","")</f>
        <v/>
      </c>
      <c r="D94" s="15">
        <f>IFERROR(INDEX(Personnes!$C$5:$C$153,MATCH($B94,Personnes!$A$5:$A$153,0))&amp;"","")</f>
        <v/>
      </c>
      <c r="E94" s="16" t="n"/>
      <c r="F94" s="16" t="n"/>
      <c r="G94" s="14" t="n"/>
      <c r="H94" s="14" t="n"/>
      <c r="I94" s="18" t="n"/>
    </row>
    <row r="95">
      <c r="A95" s="14" t="n"/>
      <c r="B95" s="15">
        <f>IFERROR(MID($A95,FIND("[",$A95)+1,FIND("]",$A95)-FIND("[",$A95)-1),"")</f>
        <v/>
      </c>
      <c r="C95" s="15">
        <f>IFERROR(INDEX(Personnes!$B$5:$B$153,MATCH($B95,Personnes!$A$5:$A$153,0))&amp;"","")</f>
        <v/>
      </c>
      <c r="D95" s="15">
        <f>IFERROR(INDEX(Personnes!$C$5:$C$153,MATCH($B95,Personnes!$A$5:$A$153,0))&amp;"","")</f>
        <v/>
      </c>
      <c r="E95" s="16" t="n"/>
      <c r="F95" s="16" t="n"/>
      <c r="G95" s="14" t="n"/>
      <c r="H95" s="14" t="n"/>
      <c r="I95" s="18" t="n"/>
    </row>
    <row r="96">
      <c r="A96" s="14" t="n"/>
      <c r="B96" s="15">
        <f>IFERROR(MID($A96,FIND("[",$A96)+1,FIND("]",$A96)-FIND("[",$A96)-1),"")</f>
        <v/>
      </c>
      <c r="C96" s="15">
        <f>IFERROR(INDEX(Personnes!$B$5:$B$153,MATCH($B96,Personnes!$A$5:$A$153,0))&amp;"","")</f>
        <v/>
      </c>
      <c r="D96" s="15">
        <f>IFERROR(INDEX(Personnes!$C$5:$C$153,MATCH($B96,Personnes!$A$5:$A$153,0))&amp;"","")</f>
        <v/>
      </c>
      <c r="E96" s="16" t="n"/>
      <c r="F96" s="16" t="n"/>
      <c r="G96" s="14" t="n"/>
      <c r="H96" s="14" t="n"/>
      <c r="I96" s="18" t="n"/>
    </row>
    <row r="97">
      <c r="A97" s="14" t="n"/>
      <c r="B97" s="15">
        <f>IFERROR(MID($A97,FIND("[",$A97)+1,FIND("]",$A97)-FIND("[",$A97)-1),"")</f>
        <v/>
      </c>
      <c r="C97" s="15">
        <f>IFERROR(INDEX(Personnes!$B$5:$B$153,MATCH($B97,Personnes!$A$5:$A$153,0))&amp;"","")</f>
        <v/>
      </c>
      <c r="D97" s="15">
        <f>IFERROR(INDEX(Personnes!$C$5:$C$153,MATCH($B97,Personnes!$A$5:$A$153,0))&amp;"","")</f>
        <v/>
      </c>
      <c r="E97" s="16" t="n"/>
      <c r="F97" s="16" t="n"/>
      <c r="G97" s="14" t="n"/>
      <c r="H97" s="14" t="n"/>
      <c r="I97" s="18" t="n"/>
    </row>
    <row r="98">
      <c r="A98" s="14" t="n"/>
      <c r="B98" s="15">
        <f>IFERROR(MID($A98,FIND("[",$A98)+1,FIND("]",$A98)-FIND("[",$A98)-1),"")</f>
        <v/>
      </c>
      <c r="C98" s="15">
        <f>IFERROR(INDEX(Personnes!$B$5:$B$153,MATCH($B98,Personnes!$A$5:$A$153,0))&amp;"","")</f>
        <v/>
      </c>
      <c r="D98" s="15">
        <f>IFERROR(INDEX(Personnes!$C$5:$C$153,MATCH($B98,Personnes!$A$5:$A$153,0))&amp;"","")</f>
        <v/>
      </c>
      <c r="E98" s="16" t="n"/>
      <c r="F98" s="16" t="n"/>
      <c r="G98" s="14" t="n"/>
      <c r="H98" s="14" t="n"/>
      <c r="I98" s="18" t="n"/>
    </row>
    <row r="99">
      <c r="A99" s="14" t="n"/>
      <c r="B99" s="15">
        <f>IFERROR(MID($A99,FIND("[",$A99)+1,FIND("]",$A99)-FIND("[",$A99)-1),"")</f>
        <v/>
      </c>
      <c r="C99" s="15">
        <f>IFERROR(INDEX(Personnes!$B$5:$B$153,MATCH($B99,Personnes!$A$5:$A$153,0))&amp;"","")</f>
        <v/>
      </c>
      <c r="D99" s="15">
        <f>IFERROR(INDEX(Personnes!$C$5:$C$153,MATCH($B99,Personnes!$A$5:$A$153,0))&amp;"","")</f>
        <v/>
      </c>
      <c r="E99" s="16" t="n"/>
      <c r="F99" s="16" t="n"/>
      <c r="G99" s="14" t="n"/>
      <c r="H99" s="14" t="n"/>
      <c r="I99" s="18" t="n"/>
    </row>
    <row r="100">
      <c r="A100" s="14" t="n"/>
      <c r="B100" s="15">
        <f>IFERROR(MID($A100,FIND("[",$A100)+1,FIND("]",$A100)-FIND("[",$A100)-1),"")</f>
        <v/>
      </c>
      <c r="C100" s="15">
        <f>IFERROR(INDEX(Personnes!$B$5:$B$153,MATCH($B100,Personnes!$A$5:$A$153,0))&amp;"","")</f>
        <v/>
      </c>
      <c r="D100" s="15">
        <f>IFERROR(INDEX(Personnes!$C$5:$C$153,MATCH($B100,Personnes!$A$5:$A$153,0))&amp;"","")</f>
        <v/>
      </c>
      <c r="E100" s="16" t="n"/>
      <c r="F100" s="16" t="n"/>
      <c r="G100" s="14" t="n"/>
      <c r="H100" s="14" t="n"/>
      <c r="I100" s="18" t="n"/>
    </row>
    <row r="101">
      <c r="A101" s="14" t="n"/>
      <c r="B101" s="15">
        <f>IFERROR(MID($A101,FIND("[",$A101)+1,FIND("]",$A101)-FIND("[",$A101)-1),"")</f>
        <v/>
      </c>
      <c r="C101" s="15">
        <f>IFERROR(INDEX(Personnes!$B$5:$B$153,MATCH($B101,Personnes!$A$5:$A$153,0))&amp;"","")</f>
        <v/>
      </c>
      <c r="D101" s="15">
        <f>IFERROR(INDEX(Personnes!$C$5:$C$153,MATCH($B101,Personnes!$A$5:$A$153,0))&amp;"","")</f>
        <v/>
      </c>
      <c r="E101" s="16" t="n"/>
      <c r="F101" s="16" t="n"/>
      <c r="G101" s="14" t="n"/>
      <c r="H101" s="14" t="n"/>
      <c r="I101" s="18" t="n"/>
    </row>
    <row r="102">
      <c r="A102" s="14" t="n"/>
      <c r="B102" s="15">
        <f>IFERROR(MID($A102,FIND("[",$A102)+1,FIND("]",$A102)-FIND("[",$A102)-1),"")</f>
        <v/>
      </c>
      <c r="C102" s="15">
        <f>IFERROR(INDEX(Personnes!$B$5:$B$153,MATCH($B102,Personnes!$A$5:$A$153,0))&amp;"","")</f>
        <v/>
      </c>
      <c r="D102" s="15">
        <f>IFERROR(INDEX(Personnes!$C$5:$C$153,MATCH($B102,Personnes!$A$5:$A$153,0))&amp;"","")</f>
        <v/>
      </c>
      <c r="E102" s="16" t="n"/>
      <c r="F102" s="16" t="n"/>
      <c r="G102" s="14" t="n"/>
      <c r="H102" s="14" t="n"/>
      <c r="I102" s="18" t="n"/>
    </row>
    <row r="103">
      <c r="A103" s="14" t="n"/>
      <c r="B103" s="15">
        <f>IFERROR(MID($A103,FIND("[",$A103)+1,FIND("]",$A103)-FIND("[",$A103)-1),"")</f>
        <v/>
      </c>
      <c r="C103" s="15">
        <f>IFERROR(INDEX(Personnes!$B$5:$B$153,MATCH($B103,Personnes!$A$5:$A$153,0))&amp;"","")</f>
        <v/>
      </c>
      <c r="D103" s="15">
        <f>IFERROR(INDEX(Personnes!$C$5:$C$153,MATCH($B103,Personnes!$A$5:$A$153,0))&amp;"","")</f>
        <v/>
      </c>
      <c r="E103" s="16" t="n"/>
      <c r="F103" s="16" t="n"/>
      <c r="G103" s="14" t="n"/>
      <c r="H103" s="14" t="n"/>
      <c r="I103" s="18" t="n"/>
    </row>
    <row r="104">
      <c r="A104" s="14" t="n"/>
      <c r="B104" s="15">
        <f>IFERROR(MID($A104,FIND("[",$A104)+1,FIND("]",$A104)-FIND("[",$A104)-1),"")</f>
        <v/>
      </c>
      <c r="C104" s="15">
        <f>IFERROR(INDEX(Personnes!$B$5:$B$153,MATCH($B104,Personnes!$A$5:$A$153,0))&amp;"","")</f>
        <v/>
      </c>
      <c r="D104" s="15">
        <f>IFERROR(INDEX(Personnes!$C$5:$C$153,MATCH($B104,Personnes!$A$5:$A$153,0))&amp;"","")</f>
        <v/>
      </c>
      <c r="E104" s="16" t="n"/>
      <c r="F104" s="16" t="n"/>
      <c r="G104" s="14" t="n"/>
      <c r="H104" s="14" t="n"/>
      <c r="I104" s="18" t="n"/>
    </row>
    <row r="105">
      <c r="A105" s="14" t="n"/>
      <c r="B105" s="15">
        <f>IFERROR(MID($A105,FIND("[",$A105)+1,FIND("]",$A105)-FIND("[",$A105)-1),"")</f>
        <v/>
      </c>
      <c r="C105" s="15">
        <f>IFERROR(INDEX(Personnes!$B$5:$B$153,MATCH($B105,Personnes!$A$5:$A$153,0))&amp;"","")</f>
        <v/>
      </c>
      <c r="D105" s="15">
        <f>IFERROR(INDEX(Personnes!$C$5:$C$153,MATCH($B105,Personnes!$A$5:$A$153,0))&amp;"","")</f>
        <v/>
      </c>
      <c r="E105" s="16" t="n"/>
      <c r="F105" s="16" t="n"/>
      <c r="G105" s="14" t="n"/>
      <c r="H105" s="14" t="n"/>
      <c r="I105" s="18" t="n"/>
    </row>
    <row r="106">
      <c r="A106" s="14" t="n"/>
      <c r="B106" s="15">
        <f>IFERROR(MID($A106,FIND("[",$A106)+1,FIND("]",$A106)-FIND("[",$A106)-1),"")</f>
        <v/>
      </c>
      <c r="C106" s="15">
        <f>IFERROR(INDEX(Personnes!$B$5:$B$153,MATCH($B106,Personnes!$A$5:$A$153,0))&amp;"","")</f>
        <v/>
      </c>
      <c r="D106" s="15">
        <f>IFERROR(INDEX(Personnes!$C$5:$C$153,MATCH($B106,Personnes!$A$5:$A$153,0))&amp;"","")</f>
        <v/>
      </c>
      <c r="E106" s="16" t="n"/>
      <c r="F106" s="16" t="n"/>
      <c r="G106" s="14" t="n"/>
      <c r="H106" s="14" t="n"/>
      <c r="I106" s="18" t="n"/>
    </row>
    <row r="107">
      <c r="A107" s="14" t="n"/>
      <c r="B107" s="15">
        <f>IFERROR(MID($A107,FIND("[",$A107)+1,FIND("]",$A107)-FIND("[",$A107)-1),"")</f>
        <v/>
      </c>
      <c r="C107" s="15">
        <f>IFERROR(INDEX(Personnes!$B$5:$B$153,MATCH($B107,Personnes!$A$5:$A$153,0))&amp;"","")</f>
        <v/>
      </c>
      <c r="D107" s="15">
        <f>IFERROR(INDEX(Personnes!$C$5:$C$153,MATCH($B107,Personnes!$A$5:$A$153,0))&amp;"","")</f>
        <v/>
      </c>
      <c r="E107" s="16" t="n"/>
      <c r="F107" s="16" t="n"/>
      <c r="G107" s="14" t="n"/>
      <c r="H107" s="14" t="n"/>
      <c r="I107" s="18" t="n"/>
    </row>
    <row r="108">
      <c r="A108" s="14" t="n"/>
      <c r="B108" s="15">
        <f>IFERROR(MID($A108,FIND("[",$A108)+1,FIND("]",$A108)-FIND("[",$A108)-1),"")</f>
        <v/>
      </c>
      <c r="C108" s="15">
        <f>IFERROR(INDEX(Personnes!$B$5:$B$153,MATCH($B108,Personnes!$A$5:$A$153,0))&amp;"","")</f>
        <v/>
      </c>
      <c r="D108" s="15">
        <f>IFERROR(INDEX(Personnes!$C$5:$C$153,MATCH($B108,Personnes!$A$5:$A$153,0))&amp;"","")</f>
        <v/>
      </c>
      <c r="E108" s="16" t="n"/>
      <c r="F108" s="16" t="n"/>
      <c r="G108" s="14" t="n"/>
      <c r="H108" s="14" t="n"/>
      <c r="I108" s="18" t="n"/>
    </row>
    <row r="109">
      <c r="A109" s="14" t="n"/>
      <c r="B109" s="15">
        <f>IFERROR(MID($A109,FIND("[",$A109)+1,FIND("]",$A109)-FIND("[",$A109)-1),"")</f>
        <v/>
      </c>
      <c r="C109" s="15">
        <f>IFERROR(INDEX(Personnes!$B$5:$B$153,MATCH($B109,Personnes!$A$5:$A$153,0))&amp;"","")</f>
        <v/>
      </c>
      <c r="D109" s="15">
        <f>IFERROR(INDEX(Personnes!$C$5:$C$153,MATCH($B109,Personnes!$A$5:$A$153,0))&amp;"","")</f>
        <v/>
      </c>
      <c r="E109" s="16" t="n"/>
      <c r="F109" s="16" t="n"/>
      <c r="G109" s="14" t="n"/>
      <c r="H109" s="14" t="n"/>
      <c r="I109" s="18" t="n"/>
    </row>
    <row r="110">
      <c r="A110" s="14" t="n"/>
      <c r="B110" s="15">
        <f>IFERROR(MID($A110,FIND("[",$A110)+1,FIND("]",$A110)-FIND("[",$A110)-1),"")</f>
        <v/>
      </c>
      <c r="C110" s="15">
        <f>IFERROR(INDEX(Personnes!$B$5:$B$153,MATCH($B110,Personnes!$A$5:$A$153,0))&amp;"","")</f>
        <v/>
      </c>
      <c r="D110" s="15">
        <f>IFERROR(INDEX(Personnes!$C$5:$C$153,MATCH($B110,Personnes!$A$5:$A$153,0))&amp;"","")</f>
        <v/>
      </c>
      <c r="E110" s="16" t="n"/>
      <c r="F110" s="16" t="n"/>
      <c r="G110" s="14" t="n"/>
      <c r="H110" s="14" t="n"/>
      <c r="I110" s="18" t="n"/>
    </row>
    <row r="111">
      <c r="A111" s="14" t="n"/>
      <c r="B111" s="15">
        <f>IFERROR(MID($A111,FIND("[",$A111)+1,FIND("]",$A111)-FIND("[",$A111)-1),"")</f>
        <v/>
      </c>
      <c r="C111" s="15">
        <f>IFERROR(INDEX(Personnes!$B$5:$B$153,MATCH($B111,Personnes!$A$5:$A$153,0))&amp;"","")</f>
        <v/>
      </c>
      <c r="D111" s="15">
        <f>IFERROR(INDEX(Personnes!$C$5:$C$153,MATCH($B111,Personnes!$A$5:$A$153,0))&amp;"","")</f>
        <v/>
      </c>
      <c r="E111" s="16" t="n"/>
      <c r="F111" s="16" t="n"/>
      <c r="G111" s="14" t="n"/>
      <c r="H111" s="14" t="n"/>
      <c r="I111" s="18" t="n"/>
    </row>
    <row r="112">
      <c r="A112" s="14" t="n"/>
      <c r="B112" s="15">
        <f>IFERROR(MID($A112,FIND("[",$A112)+1,FIND("]",$A112)-FIND("[",$A112)-1),"")</f>
        <v/>
      </c>
      <c r="C112" s="15">
        <f>IFERROR(INDEX(Personnes!$B$5:$B$153,MATCH($B112,Personnes!$A$5:$A$153,0))&amp;"","")</f>
        <v/>
      </c>
      <c r="D112" s="15">
        <f>IFERROR(INDEX(Personnes!$C$5:$C$153,MATCH($B112,Personnes!$A$5:$A$153,0))&amp;"","")</f>
        <v/>
      </c>
      <c r="E112" s="16" t="n"/>
      <c r="F112" s="16" t="n"/>
      <c r="G112" s="14" t="n"/>
      <c r="H112" s="14" t="n"/>
      <c r="I112" s="18" t="n"/>
    </row>
    <row r="113">
      <c r="A113" s="14" t="n"/>
      <c r="B113" s="15">
        <f>IFERROR(MID($A113,FIND("[",$A113)+1,FIND("]",$A113)-FIND("[",$A113)-1),"")</f>
        <v/>
      </c>
      <c r="C113" s="15">
        <f>IFERROR(INDEX(Personnes!$B$5:$B$153,MATCH($B113,Personnes!$A$5:$A$153,0))&amp;"","")</f>
        <v/>
      </c>
      <c r="D113" s="15">
        <f>IFERROR(INDEX(Personnes!$C$5:$C$153,MATCH($B113,Personnes!$A$5:$A$153,0))&amp;"","")</f>
        <v/>
      </c>
      <c r="E113" s="16" t="n"/>
      <c r="F113" s="16" t="n"/>
      <c r="G113" s="14" t="n"/>
      <c r="H113" s="14" t="n"/>
      <c r="I113" s="18" t="n"/>
    </row>
    <row r="114">
      <c r="A114" s="14" t="n"/>
      <c r="B114" s="15">
        <f>IFERROR(MID($A114,FIND("[",$A114)+1,FIND("]",$A114)-FIND("[",$A114)-1),"")</f>
        <v/>
      </c>
      <c r="C114" s="15">
        <f>IFERROR(INDEX(Personnes!$B$5:$B$153,MATCH($B114,Personnes!$A$5:$A$153,0))&amp;"","")</f>
        <v/>
      </c>
      <c r="D114" s="15">
        <f>IFERROR(INDEX(Personnes!$C$5:$C$153,MATCH($B114,Personnes!$A$5:$A$153,0))&amp;"","")</f>
        <v/>
      </c>
      <c r="E114" s="16" t="n"/>
      <c r="F114" s="16" t="n"/>
      <c r="G114" s="14" t="n"/>
      <c r="H114" s="14" t="n"/>
      <c r="I114" s="18" t="n"/>
    </row>
    <row r="115">
      <c r="A115" s="14" t="n"/>
      <c r="B115" s="15">
        <f>IFERROR(MID($A115,FIND("[",$A115)+1,FIND("]",$A115)-FIND("[",$A115)-1),"")</f>
        <v/>
      </c>
      <c r="C115" s="15">
        <f>IFERROR(INDEX(Personnes!$B$5:$B$153,MATCH($B115,Personnes!$A$5:$A$153,0))&amp;"","")</f>
        <v/>
      </c>
      <c r="D115" s="15">
        <f>IFERROR(INDEX(Personnes!$C$5:$C$153,MATCH($B115,Personnes!$A$5:$A$153,0))&amp;"","")</f>
        <v/>
      </c>
      <c r="E115" s="16" t="n"/>
      <c r="F115" s="16" t="n"/>
      <c r="G115" s="14" t="n"/>
      <c r="H115" s="14" t="n"/>
      <c r="I115" s="18" t="n"/>
    </row>
    <row r="116">
      <c r="A116" s="14" t="n"/>
      <c r="B116" s="15">
        <f>IFERROR(MID($A116,FIND("[",$A116)+1,FIND("]",$A116)-FIND("[",$A116)-1),"")</f>
        <v/>
      </c>
      <c r="C116" s="15">
        <f>IFERROR(INDEX(Personnes!$B$5:$B$153,MATCH($B116,Personnes!$A$5:$A$153,0))&amp;"","")</f>
        <v/>
      </c>
      <c r="D116" s="15">
        <f>IFERROR(INDEX(Personnes!$C$5:$C$153,MATCH($B116,Personnes!$A$5:$A$153,0))&amp;"","")</f>
        <v/>
      </c>
      <c r="E116" s="16" t="n"/>
      <c r="F116" s="16" t="n"/>
      <c r="G116" s="14" t="n"/>
      <c r="H116" s="14" t="n"/>
      <c r="I116" s="18" t="n"/>
    </row>
    <row r="117">
      <c r="A117" s="14" t="n"/>
      <c r="B117" s="15">
        <f>IFERROR(MID($A117,FIND("[",$A117)+1,FIND("]",$A117)-FIND("[",$A117)-1),"")</f>
        <v/>
      </c>
      <c r="C117" s="15">
        <f>IFERROR(INDEX(Personnes!$B$5:$B$153,MATCH($B117,Personnes!$A$5:$A$153,0))&amp;"","")</f>
        <v/>
      </c>
      <c r="D117" s="15">
        <f>IFERROR(INDEX(Personnes!$C$5:$C$153,MATCH($B117,Personnes!$A$5:$A$153,0))&amp;"","")</f>
        <v/>
      </c>
      <c r="E117" s="16" t="n"/>
      <c r="F117" s="16" t="n"/>
      <c r="G117" s="14" t="n"/>
      <c r="H117" s="14" t="n"/>
      <c r="I117" s="18" t="n"/>
    </row>
    <row r="118">
      <c r="A118" s="14" t="n"/>
      <c r="B118" s="15">
        <f>IFERROR(MID($A118,FIND("[",$A118)+1,FIND("]",$A118)-FIND("[",$A118)-1),"")</f>
        <v/>
      </c>
      <c r="C118" s="15">
        <f>IFERROR(INDEX(Personnes!$B$5:$B$153,MATCH($B118,Personnes!$A$5:$A$153,0))&amp;"","")</f>
        <v/>
      </c>
      <c r="D118" s="15">
        <f>IFERROR(INDEX(Personnes!$C$5:$C$153,MATCH($B118,Personnes!$A$5:$A$153,0))&amp;"","")</f>
        <v/>
      </c>
      <c r="E118" s="16" t="n"/>
      <c r="F118" s="16" t="n"/>
      <c r="G118" s="14" t="n"/>
      <c r="H118" s="14" t="n"/>
      <c r="I118" s="18" t="n"/>
    </row>
    <row r="119">
      <c r="A119" s="14" t="n"/>
      <c r="B119" s="15">
        <f>IFERROR(MID($A119,FIND("[",$A119)+1,FIND("]",$A119)-FIND("[",$A119)-1),"")</f>
        <v/>
      </c>
      <c r="C119" s="15">
        <f>IFERROR(INDEX(Personnes!$B$5:$B$153,MATCH($B119,Personnes!$A$5:$A$153,0))&amp;"","")</f>
        <v/>
      </c>
      <c r="D119" s="15">
        <f>IFERROR(INDEX(Personnes!$C$5:$C$153,MATCH($B119,Personnes!$A$5:$A$153,0))&amp;"","")</f>
        <v/>
      </c>
      <c r="E119" s="16" t="n"/>
      <c r="F119" s="16" t="n"/>
      <c r="G119" s="14" t="n"/>
      <c r="H119" s="14" t="n"/>
      <c r="I119" s="18" t="n"/>
    </row>
    <row r="120">
      <c r="A120" s="14" t="n"/>
      <c r="B120" s="15">
        <f>IFERROR(MID($A120,FIND("[",$A120)+1,FIND("]",$A120)-FIND("[",$A120)-1),"")</f>
        <v/>
      </c>
      <c r="C120" s="15">
        <f>IFERROR(INDEX(Personnes!$B$5:$B$153,MATCH($B120,Personnes!$A$5:$A$153,0))&amp;"","")</f>
        <v/>
      </c>
      <c r="D120" s="15">
        <f>IFERROR(INDEX(Personnes!$C$5:$C$153,MATCH($B120,Personnes!$A$5:$A$153,0))&amp;"","")</f>
        <v/>
      </c>
      <c r="E120" s="16" t="n"/>
      <c r="F120" s="16" t="n"/>
      <c r="G120" s="14" t="n"/>
      <c r="H120" s="14" t="n"/>
      <c r="I120" s="18" t="n"/>
    </row>
    <row r="121">
      <c r="A121" s="14" t="n"/>
      <c r="B121" s="15">
        <f>IFERROR(MID($A121,FIND("[",$A121)+1,FIND("]",$A121)-FIND("[",$A121)-1),"")</f>
        <v/>
      </c>
      <c r="C121" s="15">
        <f>IFERROR(INDEX(Personnes!$B$5:$B$153,MATCH($B121,Personnes!$A$5:$A$153,0))&amp;"","")</f>
        <v/>
      </c>
      <c r="D121" s="15">
        <f>IFERROR(INDEX(Personnes!$C$5:$C$153,MATCH($B121,Personnes!$A$5:$A$153,0))&amp;"","")</f>
        <v/>
      </c>
      <c r="E121" s="16" t="n"/>
      <c r="F121" s="16" t="n"/>
      <c r="G121" s="14" t="n"/>
      <c r="H121" s="14" t="n"/>
      <c r="I121" s="18" t="n"/>
    </row>
    <row r="122">
      <c r="A122" s="14" t="n"/>
      <c r="B122" s="15">
        <f>IFERROR(MID($A122,FIND("[",$A122)+1,FIND("]",$A122)-FIND("[",$A122)-1),"")</f>
        <v/>
      </c>
      <c r="C122" s="15">
        <f>IFERROR(INDEX(Personnes!$B$5:$B$153,MATCH($B122,Personnes!$A$5:$A$153,0))&amp;"","")</f>
        <v/>
      </c>
      <c r="D122" s="15">
        <f>IFERROR(INDEX(Personnes!$C$5:$C$153,MATCH($B122,Personnes!$A$5:$A$153,0))&amp;"","")</f>
        <v/>
      </c>
      <c r="E122" s="16" t="n"/>
      <c r="F122" s="16" t="n"/>
      <c r="G122" s="14" t="n"/>
      <c r="H122" s="14" t="n"/>
      <c r="I122" s="18" t="n"/>
    </row>
    <row r="123">
      <c r="A123" s="14" t="n"/>
      <c r="B123" s="15">
        <f>IFERROR(MID($A123,FIND("[",$A123)+1,FIND("]",$A123)-FIND("[",$A123)-1),"")</f>
        <v/>
      </c>
      <c r="C123" s="15">
        <f>IFERROR(INDEX(Personnes!$B$5:$B$153,MATCH($B123,Personnes!$A$5:$A$153,0))&amp;"","")</f>
        <v/>
      </c>
      <c r="D123" s="15">
        <f>IFERROR(INDEX(Personnes!$C$5:$C$153,MATCH($B123,Personnes!$A$5:$A$153,0))&amp;"","")</f>
        <v/>
      </c>
      <c r="E123" s="16" t="n"/>
      <c r="F123" s="16" t="n"/>
      <c r="G123" s="14" t="n"/>
      <c r="H123" s="14" t="n"/>
      <c r="I123" s="18" t="n"/>
    </row>
    <row r="124">
      <c r="A124" s="14" t="n"/>
      <c r="B124" s="15">
        <f>IFERROR(MID($A124,FIND("[",$A124)+1,FIND("]",$A124)-FIND("[",$A124)-1),"")</f>
        <v/>
      </c>
      <c r="C124" s="15">
        <f>IFERROR(INDEX(Personnes!$B$5:$B$153,MATCH($B124,Personnes!$A$5:$A$153,0))&amp;"","")</f>
        <v/>
      </c>
      <c r="D124" s="15">
        <f>IFERROR(INDEX(Personnes!$C$5:$C$153,MATCH($B124,Personnes!$A$5:$A$153,0))&amp;"","")</f>
        <v/>
      </c>
      <c r="E124" s="16" t="n"/>
      <c r="F124" s="16" t="n"/>
      <c r="G124" s="14" t="n"/>
      <c r="H124" s="14" t="n"/>
      <c r="I124" s="18" t="n"/>
    </row>
    <row r="125">
      <c r="A125" s="14" t="n"/>
      <c r="B125" s="15">
        <f>IFERROR(MID($A125,FIND("[",$A125)+1,FIND("]",$A125)-FIND("[",$A125)-1),"")</f>
        <v/>
      </c>
      <c r="C125" s="15">
        <f>IFERROR(INDEX(Personnes!$B$5:$B$153,MATCH($B125,Personnes!$A$5:$A$153,0))&amp;"","")</f>
        <v/>
      </c>
      <c r="D125" s="15">
        <f>IFERROR(INDEX(Personnes!$C$5:$C$153,MATCH($B125,Personnes!$A$5:$A$153,0))&amp;"","")</f>
        <v/>
      </c>
      <c r="E125" s="16" t="n"/>
      <c r="F125" s="16" t="n"/>
      <c r="G125" s="14" t="n"/>
      <c r="H125" s="14" t="n"/>
      <c r="I125" s="18" t="n"/>
    </row>
    <row r="126">
      <c r="A126" s="14" t="n"/>
      <c r="B126" s="15">
        <f>IFERROR(MID($A126,FIND("[",$A126)+1,FIND("]",$A126)-FIND("[",$A126)-1),"")</f>
        <v/>
      </c>
      <c r="C126" s="15">
        <f>IFERROR(INDEX(Personnes!$B$5:$B$153,MATCH($B126,Personnes!$A$5:$A$153,0))&amp;"","")</f>
        <v/>
      </c>
      <c r="D126" s="15">
        <f>IFERROR(INDEX(Personnes!$C$5:$C$153,MATCH($B126,Personnes!$A$5:$A$153,0))&amp;"","")</f>
        <v/>
      </c>
      <c r="E126" s="16" t="n"/>
      <c r="F126" s="16" t="n"/>
      <c r="G126" s="14" t="n"/>
      <c r="H126" s="14" t="n"/>
      <c r="I126" s="18" t="n"/>
    </row>
    <row r="127">
      <c r="A127" s="14" t="n"/>
      <c r="B127" s="15">
        <f>IFERROR(MID($A127,FIND("[",$A127)+1,FIND("]",$A127)-FIND("[",$A127)-1),"")</f>
        <v/>
      </c>
      <c r="C127" s="15">
        <f>IFERROR(INDEX(Personnes!$B$5:$B$153,MATCH($B127,Personnes!$A$5:$A$153,0))&amp;"","")</f>
        <v/>
      </c>
      <c r="D127" s="15">
        <f>IFERROR(INDEX(Personnes!$C$5:$C$153,MATCH($B127,Personnes!$A$5:$A$153,0))&amp;"","")</f>
        <v/>
      </c>
      <c r="E127" s="16" t="n"/>
      <c r="F127" s="16" t="n"/>
      <c r="G127" s="14" t="n"/>
      <c r="H127" s="14" t="n"/>
      <c r="I127" s="18" t="n"/>
    </row>
    <row r="128">
      <c r="A128" s="14" t="n"/>
      <c r="B128" s="15">
        <f>IFERROR(MID($A128,FIND("[",$A128)+1,FIND("]",$A128)-FIND("[",$A128)-1),"")</f>
        <v/>
      </c>
      <c r="C128" s="15">
        <f>IFERROR(INDEX(Personnes!$B$5:$B$153,MATCH($B128,Personnes!$A$5:$A$153,0))&amp;"","")</f>
        <v/>
      </c>
      <c r="D128" s="15">
        <f>IFERROR(INDEX(Personnes!$C$5:$C$153,MATCH($B128,Personnes!$A$5:$A$153,0))&amp;"","")</f>
        <v/>
      </c>
      <c r="E128" s="16" t="n"/>
      <c r="F128" s="16" t="n"/>
      <c r="G128" s="14" t="n"/>
      <c r="H128" s="14" t="n"/>
      <c r="I128" s="18" t="n"/>
    </row>
    <row r="129">
      <c r="A129" s="14" t="n"/>
      <c r="B129" s="15">
        <f>IFERROR(MID($A129,FIND("[",$A129)+1,FIND("]",$A129)-FIND("[",$A129)-1),"")</f>
        <v/>
      </c>
      <c r="C129" s="15">
        <f>IFERROR(INDEX(Personnes!$B$5:$B$153,MATCH($B129,Personnes!$A$5:$A$153,0))&amp;"","")</f>
        <v/>
      </c>
      <c r="D129" s="15">
        <f>IFERROR(INDEX(Personnes!$C$5:$C$153,MATCH($B129,Personnes!$A$5:$A$153,0))&amp;"","")</f>
        <v/>
      </c>
      <c r="E129" s="16" t="n"/>
      <c r="F129" s="16" t="n"/>
      <c r="G129" s="14" t="n"/>
      <c r="H129" s="14" t="n"/>
      <c r="I129" s="18" t="n"/>
    </row>
    <row r="130">
      <c r="A130" s="14" t="n"/>
      <c r="B130" s="15">
        <f>IFERROR(MID($A130,FIND("[",$A130)+1,FIND("]",$A130)-FIND("[",$A130)-1),"")</f>
        <v/>
      </c>
      <c r="C130" s="15">
        <f>IFERROR(INDEX(Personnes!$B$5:$B$153,MATCH($B130,Personnes!$A$5:$A$153,0))&amp;"","")</f>
        <v/>
      </c>
      <c r="D130" s="15">
        <f>IFERROR(INDEX(Personnes!$C$5:$C$153,MATCH($B130,Personnes!$A$5:$A$153,0))&amp;"","")</f>
        <v/>
      </c>
      <c r="E130" s="16" t="n"/>
      <c r="F130" s="16" t="n"/>
      <c r="G130" s="14" t="n"/>
      <c r="H130" s="14" t="n"/>
      <c r="I130" s="18" t="n"/>
    </row>
    <row r="131">
      <c r="A131" s="14" t="n"/>
      <c r="B131" s="15">
        <f>IFERROR(MID($A131,FIND("[",$A131)+1,FIND("]",$A131)-FIND("[",$A131)-1),"")</f>
        <v/>
      </c>
      <c r="C131" s="15">
        <f>IFERROR(INDEX(Personnes!$B$5:$B$153,MATCH($B131,Personnes!$A$5:$A$153,0))&amp;"","")</f>
        <v/>
      </c>
      <c r="D131" s="15">
        <f>IFERROR(INDEX(Personnes!$C$5:$C$153,MATCH($B131,Personnes!$A$5:$A$153,0))&amp;"","")</f>
        <v/>
      </c>
      <c r="E131" s="16" t="n"/>
      <c r="F131" s="16" t="n"/>
      <c r="G131" s="14" t="n"/>
      <c r="H131" s="14" t="n"/>
      <c r="I131" s="18" t="n"/>
    </row>
    <row r="132">
      <c r="A132" s="14" t="n"/>
      <c r="B132" s="15">
        <f>IFERROR(MID($A132,FIND("[",$A132)+1,FIND("]",$A132)-FIND("[",$A132)-1),"")</f>
        <v/>
      </c>
      <c r="C132" s="15">
        <f>IFERROR(INDEX(Personnes!$B$5:$B$153,MATCH($B132,Personnes!$A$5:$A$153,0))&amp;"","")</f>
        <v/>
      </c>
      <c r="D132" s="15">
        <f>IFERROR(INDEX(Personnes!$C$5:$C$153,MATCH($B132,Personnes!$A$5:$A$153,0))&amp;"","")</f>
        <v/>
      </c>
      <c r="E132" s="16" t="n"/>
      <c r="F132" s="16" t="n"/>
      <c r="G132" s="14" t="n"/>
      <c r="H132" s="14" t="n"/>
      <c r="I132" s="18" t="n"/>
    </row>
    <row r="133">
      <c r="A133" s="14" t="n"/>
      <c r="B133" s="15">
        <f>IFERROR(MID($A133,FIND("[",$A133)+1,FIND("]",$A133)-FIND("[",$A133)-1),"")</f>
        <v/>
      </c>
      <c r="C133" s="15">
        <f>IFERROR(INDEX(Personnes!$B$5:$B$153,MATCH($B133,Personnes!$A$5:$A$153,0))&amp;"","")</f>
        <v/>
      </c>
      <c r="D133" s="15">
        <f>IFERROR(INDEX(Personnes!$C$5:$C$153,MATCH($B133,Personnes!$A$5:$A$153,0))&amp;"","")</f>
        <v/>
      </c>
      <c r="E133" s="16" t="n"/>
      <c r="F133" s="16" t="n"/>
      <c r="G133" s="14" t="n"/>
      <c r="H133" s="14" t="n"/>
      <c r="I133" s="18" t="n"/>
    </row>
    <row r="134">
      <c r="A134" s="14" t="n"/>
      <c r="B134" s="15">
        <f>IFERROR(MID($A134,FIND("[",$A134)+1,FIND("]",$A134)-FIND("[",$A134)-1),"")</f>
        <v/>
      </c>
      <c r="C134" s="15">
        <f>IFERROR(INDEX(Personnes!$B$5:$B$153,MATCH($B134,Personnes!$A$5:$A$153,0))&amp;"","")</f>
        <v/>
      </c>
      <c r="D134" s="15">
        <f>IFERROR(INDEX(Personnes!$C$5:$C$153,MATCH($B134,Personnes!$A$5:$A$153,0))&amp;"","")</f>
        <v/>
      </c>
      <c r="E134" s="16" t="n"/>
      <c r="F134" s="16" t="n"/>
      <c r="G134" s="14" t="n"/>
      <c r="H134" s="14" t="n"/>
      <c r="I134" s="18" t="n"/>
    </row>
    <row r="135">
      <c r="A135" s="14" t="n"/>
      <c r="B135" s="15">
        <f>IFERROR(MID($A135,FIND("[",$A135)+1,FIND("]",$A135)-FIND("[",$A135)-1),"")</f>
        <v/>
      </c>
      <c r="C135" s="15">
        <f>IFERROR(INDEX(Personnes!$B$5:$B$153,MATCH($B135,Personnes!$A$5:$A$153,0))&amp;"","")</f>
        <v/>
      </c>
      <c r="D135" s="15">
        <f>IFERROR(INDEX(Personnes!$C$5:$C$153,MATCH($B135,Personnes!$A$5:$A$153,0))&amp;"","")</f>
        <v/>
      </c>
      <c r="E135" s="16" t="n"/>
      <c r="F135" s="16" t="n"/>
      <c r="G135" s="14" t="n"/>
      <c r="H135" s="14" t="n"/>
      <c r="I135" s="18" t="n"/>
    </row>
    <row r="136">
      <c r="A136" s="14" t="n"/>
      <c r="B136" s="15">
        <f>IFERROR(MID($A136,FIND("[",$A136)+1,FIND("]",$A136)-FIND("[",$A136)-1),"")</f>
        <v/>
      </c>
      <c r="C136" s="15">
        <f>IFERROR(INDEX(Personnes!$B$5:$B$153,MATCH($B136,Personnes!$A$5:$A$153,0))&amp;"","")</f>
        <v/>
      </c>
      <c r="D136" s="15">
        <f>IFERROR(INDEX(Personnes!$C$5:$C$153,MATCH($B136,Personnes!$A$5:$A$153,0))&amp;"","")</f>
        <v/>
      </c>
      <c r="E136" s="16" t="n"/>
      <c r="F136" s="16" t="n"/>
      <c r="G136" s="14" t="n"/>
      <c r="H136" s="14" t="n"/>
      <c r="I136" s="18" t="n"/>
    </row>
    <row r="137">
      <c r="A137" s="14" t="n"/>
      <c r="B137" s="15">
        <f>IFERROR(MID($A137,FIND("[",$A137)+1,FIND("]",$A137)-FIND("[",$A137)-1),"")</f>
        <v/>
      </c>
      <c r="C137" s="15">
        <f>IFERROR(INDEX(Personnes!$B$5:$B$153,MATCH($B137,Personnes!$A$5:$A$153,0))&amp;"","")</f>
        <v/>
      </c>
      <c r="D137" s="15">
        <f>IFERROR(INDEX(Personnes!$C$5:$C$153,MATCH($B137,Personnes!$A$5:$A$153,0))&amp;"","")</f>
        <v/>
      </c>
      <c r="E137" s="16" t="n"/>
      <c r="F137" s="16" t="n"/>
      <c r="G137" s="14" t="n"/>
      <c r="H137" s="14" t="n"/>
      <c r="I137" s="18" t="n"/>
    </row>
    <row r="138">
      <c r="A138" s="14" t="n"/>
      <c r="B138" s="15">
        <f>IFERROR(MID($A138,FIND("[",$A138)+1,FIND("]",$A138)-FIND("[",$A138)-1),"")</f>
        <v/>
      </c>
      <c r="C138" s="15">
        <f>IFERROR(INDEX(Personnes!$B$5:$B$153,MATCH($B138,Personnes!$A$5:$A$153,0))&amp;"","")</f>
        <v/>
      </c>
      <c r="D138" s="15">
        <f>IFERROR(INDEX(Personnes!$C$5:$C$153,MATCH($B138,Personnes!$A$5:$A$153,0))&amp;"","")</f>
        <v/>
      </c>
      <c r="E138" s="16" t="n"/>
      <c r="F138" s="16" t="n"/>
      <c r="G138" s="14" t="n"/>
      <c r="H138" s="14" t="n"/>
      <c r="I138" s="18" t="n"/>
    </row>
    <row r="139">
      <c r="A139" s="14" t="n"/>
      <c r="B139" s="15">
        <f>IFERROR(MID($A139,FIND("[",$A139)+1,FIND("]",$A139)-FIND("[",$A139)-1),"")</f>
        <v/>
      </c>
      <c r="C139" s="15">
        <f>IFERROR(INDEX(Personnes!$B$5:$B$153,MATCH($B139,Personnes!$A$5:$A$153,0))&amp;"","")</f>
        <v/>
      </c>
      <c r="D139" s="15">
        <f>IFERROR(INDEX(Personnes!$C$5:$C$153,MATCH($B139,Personnes!$A$5:$A$153,0))&amp;"","")</f>
        <v/>
      </c>
      <c r="E139" s="16" t="n"/>
      <c r="F139" s="16" t="n"/>
      <c r="G139" s="14" t="n"/>
      <c r="H139" s="14" t="n"/>
      <c r="I139" s="18" t="n"/>
    </row>
    <row r="140">
      <c r="A140" s="14" t="n"/>
      <c r="B140" s="15">
        <f>IFERROR(MID($A140,FIND("[",$A140)+1,FIND("]",$A140)-FIND("[",$A140)-1),"")</f>
        <v/>
      </c>
      <c r="C140" s="15">
        <f>IFERROR(INDEX(Personnes!$B$5:$B$153,MATCH($B140,Personnes!$A$5:$A$153,0))&amp;"","")</f>
        <v/>
      </c>
      <c r="D140" s="15">
        <f>IFERROR(INDEX(Personnes!$C$5:$C$153,MATCH($B140,Personnes!$A$5:$A$153,0))&amp;"","")</f>
        <v/>
      </c>
      <c r="E140" s="16" t="n"/>
      <c r="F140" s="16" t="n"/>
      <c r="G140" s="14" t="n"/>
      <c r="H140" s="14" t="n"/>
      <c r="I140" s="18" t="n"/>
    </row>
    <row r="141">
      <c r="A141" s="14" t="n"/>
      <c r="B141" s="15">
        <f>IFERROR(MID($A141,FIND("[",$A141)+1,FIND("]",$A141)-FIND("[",$A141)-1),"")</f>
        <v/>
      </c>
      <c r="C141" s="15">
        <f>IFERROR(INDEX(Personnes!$B$5:$B$153,MATCH($B141,Personnes!$A$5:$A$153,0))&amp;"","")</f>
        <v/>
      </c>
      <c r="D141" s="15">
        <f>IFERROR(INDEX(Personnes!$C$5:$C$153,MATCH($B141,Personnes!$A$5:$A$153,0))&amp;"","")</f>
        <v/>
      </c>
      <c r="E141" s="16" t="n"/>
      <c r="F141" s="16" t="n"/>
      <c r="G141" s="14" t="n"/>
      <c r="H141" s="14" t="n"/>
      <c r="I141" s="18" t="n"/>
    </row>
    <row r="142">
      <c r="A142" s="14" t="n"/>
      <c r="B142" s="15">
        <f>IFERROR(MID($A142,FIND("[",$A142)+1,FIND("]",$A142)-FIND("[",$A142)-1),"")</f>
        <v/>
      </c>
      <c r="C142" s="15">
        <f>IFERROR(INDEX(Personnes!$B$5:$B$153,MATCH($B142,Personnes!$A$5:$A$153,0))&amp;"","")</f>
        <v/>
      </c>
      <c r="D142" s="15">
        <f>IFERROR(INDEX(Personnes!$C$5:$C$153,MATCH($B142,Personnes!$A$5:$A$153,0))&amp;"","")</f>
        <v/>
      </c>
      <c r="E142" s="16" t="n"/>
      <c r="F142" s="16" t="n"/>
      <c r="G142" s="14" t="n"/>
      <c r="H142" s="14" t="n"/>
      <c r="I142" s="18" t="n"/>
    </row>
    <row r="143">
      <c r="A143" s="14" t="n"/>
      <c r="B143" s="15">
        <f>IFERROR(MID($A143,FIND("[",$A143)+1,FIND("]",$A143)-FIND("[",$A143)-1),"")</f>
        <v/>
      </c>
      <c r="C143" s="15">
        <f>IFERROR(INDEX(Personnes!$B$5:$B$153,MATCH($B143,Personnes!$A$5:$A$153,0))&amp;"","")</f>
        <v/>
      </c>
      <c r="D143" s="15">
        <f>IFERROR(INDEX(Personnes!$C$5:$C$153,MATCH($B143,Personnes!$A$5:$A$153,0))&amp;"","")</f>
        <v/>
      </c>
      <c r="E143" s="16" t="n"/>
      <c r="F143" s="16" t="n"/>
      <c r="G143" s="14" t="n"/>
      <c r="H143" s="14" t="n"/>
      <c r="I143" s="18" t="n"/>
    </row>
    <row r="144">
      <c r="A144" s="14" t="n"/>
      <c r="B144" s="15">
        <f>IFERROR(MID($A144,FIND("[",$A144)+1,FIND("]",$A144)-FIND("[",$A144)-1),"")</f>
        <v/>
      </c>
      <c r="C144" s="15">
        <f>IFERROR(INDEX(Personnes!$B$5:$B$153,MATCH($B144,Personnes!$A$5:$A$153,0))&amp;"","")</f>
        <v/>
      </c>
      <c r="D144" s="15">
        <f>IFERROR(INDEX(Personnes!$C$5:$C$153,MATCH($B144,Personnes!$A$5:$A$153,0))&amp;"","")</f>
        <v/>
      </c>
      <c r="E144" s="16" t="n"/>
      <c r="F144" s="16" t="n"/>
      <c r="G144" s="14" t="n"/>
      <c r="H144" s="14" t="n"/>
      <c r="I144" s="18" t="n"/>
    </row>
    <row r="145">
      <c r="A145" s="14" t="n"/>
      <c r="B145" s="15">
        <f>IFERROR(MID($A145,FIND("[",$A145)+1,FIND("]",$A145)-FIND("[",$A145)-1),"")</f>
        <v/>
      </c>
      <c r="C145" s="15">
        <f>IFERROR(INDEX(Personnes!$B$5:$B$153,MATCH($B145,Personnes!$A$5:$A$153,0))&amp;"","")</f>
        <v/>
      </c>
      <c r="D145" s="15">
        <f>IFERROR(INDEX(Personnes!$C$5:$C$153,MATCH($B145,Personnes!$A$5:$A$153,0))&amp;"","")</f>
        <v/>
      </c>
      <c r="E145" s="16" t="n"/>
      <c r="F145" s="16" t="n"/>
      <c r="G145" s="14" t="n"/>
      <c r="H145" s="14" t="n"/>
      <c r="I145" s="18" t="n"/>
    </row>
    <row r="146">
      <c r="A146" s="14" t="n"/>
      <c r="B146" s="15">
        <f>IFERROR(MID($A146,FIND("[",$A146)+1,FIND("]",$A146)-FIND("[",$A146)-1),"")</f>
        <v/>
      </c>
      <c r="C146" s="15">
        <f>IFERROR(INDEX(Personnes!$B$5:$B$153,MATCH($B146,Personnes!$A$5:$A$153,0))&amp;"","")</f>
        <v/>
      </c>
      <c r="D146" s="15">
        <f>IFERROR(INDEX(Personnes!$C$5:$C$153,MATCH($B146,Personnes!$A$5:$A$153,0))&amp;"","")</f>
        <v/>
      </c>
      <c r="E146" s="16" t="n"/>
      <c r="F146" s="16" t="n"/>
      <c r="G146" s="14" t="n"/>
      <c r="H146" s="14" t="n"/>
      <c r="I146" s="18" t="n"/>
    </row>
    <row r="147">
      <c r="A147" s="14" t="n"/>
      <c r="B147" s="15">
        <f>IFERROR(MID($A147,FIND("[",$A147)+1,FIND("]",$A147)-FIND("[",$A147)-1),"")</f>
        <v/>
      </c>
      <c r="C147" s="15">
        <f>IFERROR(INDEX(Personnes!$B$5:$B$153,MATCH($B147,Personnes!$A$5:$A$153,0))&amp;"","")</f>
        <v/>
      </c>
      <c r="D147" s="15">
        <f>IFERROR(INDEX(Personnes!$C$5:$C$153,MATCH($B147,Personnes!$A$5:$A$153,0))&amp;"","")</f>
        <v/>
      </c>
      <c r="E147" s="16" t="n"/>
      <c r="F147" s="16" t="n"/>
      <c r="G147" s="14" t="n"/>
      <c r="H147" s="14" t="n"/>
      <c r="I147" s="18" t="n"/>
    </row>
    <row r="148">
      <c r="A148" s="14" t="n"/>
      <c r="B148" s="15">
        <f>IFERROR(MID($A148,FIND("[",$A148)+1,FIND("]",$A148)-FIND("[",$A148)-1),"")</f>
        <v/>
      </c>
      <c r="C148" s="15">
        <f>IFERROR(INDEX(Personnes!$B$5:$B$153,MATCH($B148,Personnes!$A$5:$A$153,0))&amp;"","")</f>
        <v/>
      </c>
      <c r="D148" s="15">
        <f>IFERROR(INDEX(Personnes!$C$5:$C$153,MATCH($B148,Personnes!$A$5:$A$153,0))&amp;"","")</f>
        <v/>
      </c>
      <c r="E148" s="16" t="n"/>
      <c r="F148" s="16" t="n"/>
      <c r="G148" s="14" t="n"/>
      <c r="H148" s="14" t="n"/>
      <c r="I148" s="18" t="n"/>
    </row>
    <row r="149">
      <c r="A149" s="14" t="n"/>
      <c r="B149" s="15">
        <f>IFERROR(MID($A149,FIND("[",$A149)+1,FIND("]",$A149)-FIND("[",$A149)-1),"")</f>
        <v/>
      </c>
      <c r="C149" s="15">
        <f>IFERROR(INDEX(Personnes!$B$5:$B$153,MATCH($B149,Personnes!$A$5:$A$153,0))&amp;"","")</f>
        <v/>
      </c>
      <c r="D149" s="15">
        <f>IFERROR(INDEX(Personnes!$C$5:$C$153,MATCH($B149,Personnes!$A$5:$A$153,0))&amp;"","")</f>
        <v/>
      </c>
      <c r="E149" s="16" t="n"/>
      <c r="F149" s="16" t="n"/>
      <c r="G149" s="14" t="n"/>
      <c r="H149" s="14" t="n"/>
      <c r="I149" s="18" t="n"/>
    </row>
    <row r="150">
      <c r="A150" s="14" t="n"/>
      <c r="B150" s="15">
        <f>IFERROR(MID($A150,FIND("[",$A150)+1,FIND("]",$A150)-FIND("[",$A150)-1),"")</f>
        <v/>
      </c>
      <c r="C150" s="15">
        <f>IFERROR(INDEX(Personnes!$B$5:$B$153,MATCH($B150,Personnes!$A$5:$A$153,0))&amp;"","")</f>
        <v/>
      </c>
      <c r="D150" s="15">
        <f>IFERROR(INDEX(Personnes!$C$5:$C$153,MATCH($B150,Personnes!$A$5:$A$153,0))&amp;"","")</f>
        <v/>
      </c>
      <c r="E150" s="16" t="n"/>
      <c r="F150" s="16" t="n"/>
      <c r="G150" s="14" t="n"/>
      <c r="H150" s="14" t="n"/>
      <c r="I150" s="18" t="n"/>
    </row>
    <row r="151">
      <c r="A151" s="14" t="n"/>
      <c r="B151" s="15">
        <f>IFERROR(MID($A151,FIND("[",$A151)+1,FIND("]",$A151)-FIND("[",$A151)-1),"")</f>
        <v/>
      </c>
      <c r="C151" s="15">
        <f>IFERROR(INDEX(Personnes!$B$5:$B$153,MATCH($B151,Personnes!$A$5:$A$153,0))&amp;"","")</f>
        <v/>
      </c>
      <c r="D151" s="15">
        <f>IFERROR(INDEX(Personnes!$C$5:$C$153,MATCH($B151,Personnes!$A$5:$A$153,0))&amp;"","")</f>
        <v/>
      </c>
      <c r="E151" s="16" t="n"/>
      <c r="F151" s="16" t="n"/>
      <c r="G151" s="14" t="n"/>
      <c r="H151" s="14" t="n"/>
      <c r="I151" s="18" t="n"/>
    </row>
    <row r="152">
      <c r="A152" s="14" t="n"/>
      <c r="B152" s="15">
        <f>IFERROR(MID($A152,FIND("[",$A152)+1,FIND("]",$A152)-FIND("[",$A152)-1),"")</f>
        <v/>
      </c>
      <c r="C152" s="15">
        <f>IFERROR(INDEX(Personnes!$B$5:$B$153,MATCH($B152,Personnes!$A$5:$A$153,0))&amp;"","")</f>
        <v/>
      </c>
      <c r="D152" s="15">
        <f>IFERROR(INDEX(Personnes!$C$5:$C$153,MATCH($B152,Personnes!$A$5:$A$153,0))&amp;"","")</f>
        <v/>
      </c>
      <c r="E152" s="16" t="n"/>
      <c r="F152" s="16" t="n"/>
      <c r="G152" s="14" t="n"/>
      <c r="H152" s="14" t="n"/>
      <c r="I152" s="18" t="n"/>
    </row>
    <row r="153">
      <c r="A153" s="14" t="n"/>
      <c r="B153" s="15">
        <f>IFERROR(MID($A153,FIND("[",$A153)+1,FIND("]",$A153)-FIND("[",$A153)-1),"")</f>
        <v/>
      </c>
      <c r="C153" s="15">
        <f>IFERROR(INDEX(Personnes!$B$5:$B$153,MATCH($B153,Personnes!$A$5:$A$153,0))&amp;"","")</f>
        <v/>
      </c>
      <c r="D153" s="15">
        <f>IFERROR(INDEX(Personnes!$C$5:$C$153,MATCH($B153,Personnes!$A$5:$A$153,0))&amp;"","")</f>
        <v/>
      </c>
      <c r="E153" s="16" t="n"/>
      <c r="F153" s="16" t="n"/>
      <c r="G153" s="14" t="n"/>
      <c r="H153" s="14" t="n"/>
      <c r="I153" s="18" t="n"/>
    </row>
    <row r="154">
      <c r="A154" s="14" t="n"/>
      <c r="B154" s="15">
        <f>IFERROR(MID($A154,FIND("[",$A154)+1,FIND("]",$A154)-FIND("[",$A154)-1),"")</f>
        <v/>
      </c>
      <c r="C154" s="15">
        <f>IFERROR(INDEX(Personnes!$B$5:$B$153,MATCH($B154,Personnes!$A$5:$A$153,0))&amp;"","")</f>
        <v/>
      </c>
      <c r="D154" s="15">
        <f>IFERROR(INDEX(Personnes!$C$5:$C$153,MATCH($B154,Personnes!$A$5:$A$153,0))&amp;"","")</f>
        <v/>
      </c>
      <c r="E154" s="16" t="n"/>
      <c r="F154" s="16" t="n"/>
      <c r="G154" s="14" t="n"/>
      <c r="H154" s="14" t="n"/>
      <c r="I154" s="18" t="n"/>
    </row>
    <row r="155">
      <c r="A155" s="14" t="n"/>
      <c r="B155" s="15">
        <f>IFERROR(MID($A155,FIND("[",$A155)+1,FIND("]",$A155)-FIND("[",$A155)-1),"")</f>
        <v/>
      </c>
      <c r="C155" s="15">
        <f>IFERROR(INDEX(Personnes!$B$5:$B$153,MATCH($B155,Personnes!$A$5:$A$153,0))&amp;"","")</f>
        <v/>
      </c>
      <c r="D155" s="15">
        <f>IFERROR(INDEX(Personnes!$C$5:$C$153,MATCH($B155,Personnes!$A$5:$A$153,0))&amp;"","")</f>
        <v/>
      </c>
      <c r="E155" s="16" t="n"/>
      <c r="F155" s="16" t="n"/>
      <c r="G155" s="14" t="n"/>
      <c r="H155" s="14" t="n"/>
      <c r="I155" s="18" t="n"/>
    </row>
    <row r="156">
      <c r="A156" s="14" t="n"/>
      <c r="B156" s="15">
        <f>IFERROR(MID($A156,FIND("[",$A156)+1,FIND("]",$A156)-FIND("[",$A156)-1),"")</f>
        <v/>
      </c>
      <c r="C156" s="15">
        <f>IFERROR(INDEX(Personnes!$B$5:$B$153,MATCH($B156,Personnes!$A$5:$A$153,0))&amp;"","")</f>
        <v/>
      </c>
      <c r="D156" s="15">
        <f>IFERROR(INDEX(Personnes!$C$5:$C$153,MATCH($B156,Personnes!$A$5:$A$153,0))&amp;"","")</f>
        <v/>
      </c>
      <c r="E156" s="16" t="n"/>
      <c r="F156" s="16" t="n"/>
      <c r="G156" s="14" t="n"/>
      <c r="H156" s="14" t="n"/>
      <c r="I156" s="18" t="n"/>
    </row>
    <row r="157">
      <c r="A157" s="14" t="n"/>
      <c r="B157" s="15">
        <f>IFERROR(MID($A157,FIND("[",$A157)+1,FIND("]",$A157)-FIND("[",$A157)-1),"")</f>
        <v/>
      </c>
      <c r="C157" s="15">
        <f>IFERROR(INDEX(Personnes!$B$5:$B$153,MATCH($B157,Personnes!$A$5:$A$153,0))&amp;"","")</f>
        <v/>
      </c>
      <c r="D157" s="15">
        <f>IFERROR(INDEX(Personnes!$C$5:$C$153,MATCH($B157,Personnes!$A$5:$A$153,0))&amp;"","")</f>
        <v/>
      </c>
      <c r="E157" s="16" t="n"/>
      <c r="F157" s="16" t="n"/>
      <c r="G157" s="14" t="n"/>
      <c r="H157" s="14" t="n"/>
      <c r="I157" s="18" t="n"/>
    </row>
    <row r="158">
      <c r="A158" s="14" t="n"/>
      <c r="B158" s="15">
        <f>IFERROR(MID($A158,FIND("[",$A158)+1,FIND("]",$A158)-FIND("[",$A158)-1),"")</f>
        <v/>
      </c>
      <c r="C158" s="15">
        <f>IFERROR(INDEX(Personnes!$B$5:$B$153,MATCH($B158,Personnes!$A$5:$A$153,0))&amp;"","")</f>
        <v/>
      </c>
      <c r="D158" s="15">
        <f>IFERROR(INDEX(Personnes!$C$5:$C$153,MATCH($B158,Personnes!$A$5:$A$153,0))&amp;"","")</f>
        <v/>
      </c>
      <c r="E158" s="16" t="n"/>
      <c r="F158" s="16" t="n"/>
      <c r="G158" s="14" t="n"/>
      <c r="H158" s="14" t="n"/>
      <c r="I158" s="18" t="n"/>
    </row>
    <row r="159">
      <c r="A159" s="14" t="n"/>
      <c r="B159" s="15">
        <f>IFERROR(MID($A159,FIND("[",$A159)+1,FIND("]",$A159)-FIND("[",$A159)-1),"")</f>
        <v/>
      </c>
      <c r="C159" s="15">
        <f>IFERROR(INDEX(Personnes!$B$5:$B$153,MATCH($B159,Personnes!$A$5:$A$153,0))&amp;"","")</f>
        <v/>
      </c>
      <c r="D159" s="15">
        <f>IFERROR(INDEX(Personnes!$C$5:$C$153,MATCH($B159,Personnes!$A$5:$A$153,0))&amp;"","")</f>
        <v/>
      </c>
      <c r="E159" s="16" t="n"/>
      <c r="F159" s="16" t="n"/>
      <c r="G159" s="14" t="n"/>
      <c r="H159" s="14" t="n"/>
      <c r="I159" s="18" t="n"/>
    </row>
    <row r="160">
      <c r="A160" s="14" t="n"/>
      <c r="B160" s="15">
        <f>IFERROR(MID($A160,FIND("[",$A160)+1,FIND("]",$A160)-FIND("[",$A160)-1),"")</f>
        <v/>
      </c>
      <c r="C160" s="15">
        <f>IFERROR(INDEX(Personnes!$B$5:$B$153,MATCH($B160,Personnes!$A$5:$A$153,0))&amp;"","")</f>
        <v/>
      </c>
      <c r="D160" s="15">
        <f>IFERROR(INDEX(Personnes!$C$5:$C$153,MATCH($B160,Personnes!$A$5:$A$153,0))&amp;"","")</f>
        <v/>
      </c>
      <c r="E160" s="16" t="n"/>
      <c r="F160" s="16" t="n"/>
      <c r="G160" s="14" t="n"/>
      <c r="H160" s="14" t="n"/>
      <c r="I160" s="18" t="n"/>
    </row>
    <row r="161">
      <c r="A161" s="14" t="n"/>
      <c r="B161" s="15">
        <f>IFERROR(MID($A161,FIND("[",$A161)+1,FIND("]",$A161)-FIND("[",$A161)-1),"")</f>
        <v/>
      </c>
      <c r="C161" s="15">
        <f>IFERROR(INDEX(Personnes!$B$5:$B$153,MATCH($B161,Personnes!$A$5:$A$153,0))&amp;"","")</f>
        <v/>
      </c>
      <c r="D161" s="15">
        <f>IFERROR(INDEX(Personnes!$C$5:$C$153,MATCH($B161,Personnes!$A$5:$A$153,0))&amp;"","")</f>
        <v/>
      </c>
      <c r="E161" s="16" t="n"/>
      <c r="F161" s="16" t="n"/>
      <c r="G161" s="14" t="n"/>
      <c r="H161" s="14" t="n"/>
      <c r="I161" s="18" t="n"/>
    </row>
    <row r="162">
      <c r="A162" s="14" t="n"/>
      <c r="B162" s="15">
        <f>IFERROR(MID($A162,FIND("[",$A162)+1,FIND("]",$A162)-FIND("[",$A162)-1),"")</f>
        <v/>
      </c>
      <c r="C162" s="15">
        <f>IFERROR(INDEX(Personnes!$B$5:$B$153,MATCH($B162,Personnes!$A$5:$A$153,0))&amp;"","")</f>
        <v/>
      </c>
      <c r="D162" s="15">
        <f>IFERROR(INDEX(Personnes!$C$5:$C$153,MATCH($B162,Personnes!$A$5:$A$153,0))&amp;"","")</f>
        <v/>
      </c>
      <c r="E162" s="16" t="n"/>
      <c r="F162" s="16" t="n"/>
      <c r="G162" s="14" t="n"/>
      <c r="H162" s="14" t="n"/>
      <c r="I162" s="18" t="n"/>
    </row>
    <row r="163">
      <c r="A163" s="14" t="n"/>
      <c r="B163" s="15">
        <f>IFERROR(MID($A163,FIND("[",$A163)+1,FIND("]",$A163)-FIND("[",$A163)-1),"")</f>
        <v/>
      </c>
      <c r="C163" s="15">
        <f>IFERROR(INDEX(Personnes!$B$5:$B$153,MATCH($B163,Personnes!$A$5:$A$153,0))&amp;"","")</f>
        <v/>
      </c>
      <c r="D163" s="15">
        <f>IFERROR(INDEX(Personnes!$C$5:$C$153,MATCH($B163,Personnes!$A$5:$A$153,0))&amp;"","")</f>
        <v/>
      </c>
      <c r="E163" s="16" t="n"/>
      <c r="F163" s="16" t="n"/>
      <c r="G163" s="14" t="n"/>
      <c r="H163" s="14" t="n"/>
      <c r="I163" s="18" t="n"/>
    </row>
    <row r="164">
      <c r="A164" s="14" t="n"/>
      <c r="B164" s="15">
        <f>IFERROR(MID($A164,FIND("[",$A164)+1,FIND("]",$A164)-FIND("[",$A164)-1),"")</f>
        <v/>
      </c>
      <c r="C164" s="15">
        <f>IFERROR(INDEX(Personnes!$B$5:$B$153,MATCH($B164,Personnes!$A$5:$A$153,0))&amp;"","")</f>
        <v/>
      </c>
      <c r="D164" s="15">
        <f>IFERROR(INDEX(Personnes!$C$5:$C$153,MATCH($B164,Personnes!$A$5:$A$153,0))&amp;"","")</f>
        <v/>
      </c>
      <c r="E164" s="16" t="n"/>
      <c r="F164" s="16" t="n"/>
      <c r="G164" s="14" t="n"/>
      <c r="H164" s="14" t="n"/>
      <c r="I164" s="18" t="n"/>
    </row>
    <row r="165">
      <c r="A165" s="14" t="n"/>
      <c r="B165" s="15">
        <f>IFERROR(MID($A165,FIND("[",$A165)+1,FIND("]",$A165)-FIND("[",$A165)-1),"")</f>
        <v/>
      </c>
      <c r="C165" s="15">
        <f>IFERROR(INDEX(Personnes!$B$5:$B$153,MATCH($B165,Personnes!$A$5:$A$153,0))&amp;"","")</f>
        <v/>
      </c>
      <c r="D165" s="15">
        <f>IFERROR(INDEX(Personnes!$C$5:$C$153,MATCH($B165,Personnes!$A$5:$A$153,0))&amp;"","")</f>
        <v/>
      </c>
      <c r="E165" s="16" t="n"/>
      <c r="F165" s="16" t="n"/>
      <c r="G165" s="14" t="n"/>
      <c r="H165" s="14" t="n"/>
      <c r="I165" s="18" t="n"/>
    </row>
    <row r="166">
      <c r="A166" s="14" t="n"/>
      <c r="B166" s="15">
        <f>IFERROR(MID($A166,FIND("[",$A166)+1,FIND("]",$A166)-FIND("[",$A166)-1),"")</f>
        <v/>
      </c>
      <c r="C166" s="15">
        <f>IFERROR(INDEX(Personnes!$B$5:$B$153,MATCH($B166,Personnes!$A$5:$A$153,0))&amp;"","")</f>
        <v/>
      </c>
      <c r="D166" s="15">
        <f>IFERROR(INDEX(Personnes!$C$5:$C$153,MATCH($B166,Personnes!$A$5:$A$153,0))&amp;"","")</f>
        <v/>
      </c>
      <c r="E166" s="16" t="n"/>
      <c r="F166" s="16" t="n"/>
      <c r="G166" s="14" t="n"/>
      <c r="H166" s="14" t="n"/>
      <c r="I166" s="18" t="n"/>
    </row>
    <row r="167">
      <c r="A167" s="14" t="n"/>
      <c r="B167" s="15">
        <f>IFERROR(MID($A167,FIND("[",$A167)+1,FIND("]",$A167)-FIND("[",$A167)-1),"")</f>
        <v/>
      </c>
      <c r="C167" s="15">
        <f>IFERROR(INDEX(Personnes!$B$5:$B$153,MATCH($B167,Personnes!$A$5:$A$153,0))&amp;"","")</f>
        <v/>
      </c>
      <c r="D167" s="15">
        <f>IFERROR(INDEX(Personnes!$C$5:$C$153,MATCH($B167,Personnes!$A$5:$A$153,0))&amp;"","")</f>
        <v/>
      </c>
      <c r="E167" s="16" t="n"/>
      <c r="F167" s="16" t="n"/>
      <c r="G167" s="14" t="n"/>
      <c r="H167" s="14" t="n"/>
      <c r="I167" s="18" t="n"/>
    </row>
    <row r="168">
      <c r="A168" s="14" t="n"/>
      <c r="B168" s="15">
        <f>IFERROR(MID($A168,FIND("[",$A168)+1,FIND("]",$A168)-FIND("[",$A168)-1),"")</f>
        <v/>
      </c>
      <c r="C168" s="15">
        <f>IFERROR(INDEX(Personnes!$B$5:$B$153,MATCH($B168,Personnes!$A$5:$A$153,0))&amp;"","")</f>
        <v/>
      </c>
      <c r="D168" s="15">
        <f>IFERROR(INDEX(Personnes!$C$5:$C$153,MATCH($B168,Personnes!$A$5:$A$153,0))&amp;"","")</f>
        <v/>
      </c>
      <c r="E168" s="16" t="n"/>
      <c r="F168" s="16" t="n"/>
      <c r="G168" s="14" t="n"/>
      <c r="H168" s="14" t="n"/>
      <c r="I168" s="18" t="n"/>
    </row>
    <row r="169">
      <c r="A169" s="14" t="n"/>
      <c r="B169" s="15">
        <f>IFERROR(MID($A169,FIND("[",$A169)+1,FIND("]",$A169)-FIND("[",$A169)-1),"")</f>
        <v/>
      </c>
      <c r="C169" s="15">
        <f>IFERROR(INDEX(Personnes!$B$5:$B$153,MATCH($B169,Personnes!$A$5:$A$153,0))&amp;"","")</f>
        <v/>
      </c>
      <c r="D169" s="15">
        <f>IFERROR(INDEX(Personnes!$C$5:$C$153,MATCH($B169,Personnes!$A$5:$A$153,0))&amp;"","")</f>
        <v/>
      </c>
      <c r="E169" s="16" t="n"/>
      <c r="F169" s="16" t="n"/>
      <c r="G169" s="14" t="n"/>
      <c r="H169" s="14" t="n"/>
      <c r="I169" s="18" t="n"/>
    </row>
    <row r="170">
      <c r="A170" s="14" t="n"/>
      <c r="B170" s="15">
        <f>IFERROR(MID($A170,FIND("[",$A170)+1,FIND("]",$A170)-FIND("[",$A170)-1),"")</f>
        <v/>
      </c>
      <c r="C170" s="15">
        <f>IFERROR(INDEX(Personnes!$B$5:$B$153,MATCH($B170,Personnes!$A$5:$A$153,0))&amp;"","")</f>
        <v/>
      </c>
      <c r="D170" s="15">
        <f>IFERROR(INDEX(Personnes!$C$5:$C$153,MATCH($B170,Personnes!$A$5:$A$153,0))&amp;"","")</f>
        <v/>
      </c>
      <c r="E170" s="16" t="n"/>
      <c r="F170" s="16" t="n"/>
      <c r="G170" s="14" t="n"/>
      <c r="H170" s="14" t="n"/>
      <c r="I170" s="18" t="n"/>
    </row>
    <row r="171">
      <c r="A171" s="14" t="n"/>
      <c r="B171" s="15">
        <f>IFERROR(MID($A171,FIND("[",$A171)+1,FIND("]",$A171)-FIND("[",$A171)-1),"")</f>
        <v/>
      </c>
      <c r="C171" s="15">
        <f>IFERROR(INDEX(Personnes!$B$5:$B$153,MATCH($B171,Personnes!$A$5:$A$153,0))&amp;"","")</f>
        <v/>
      </c>
      <c r="D171" s="15">
        <f>IFERROR(INDEX(Personnes!$C$5:$C$153,MATCH($B171,Personnes!$A$5:$A$153,0))&amp;"","")</f>
        <v/>
      </c>
      <c r="E171" s="16" t="n"/>
      <c r="F171" s="16" t="n"/>
      <c r="G171" s="14" t="n"/>
      <c r="H171" s="14" t="n"/>
      <c r="I171" s="18" t="n"/>
    </row>
    <row r="172">
      <c r="A172" s="14" t="n"/>
      <c r="B172" s="15">
        <f>IFERROR(MID($A172,FIND("[",$A172)+1,FIND("]",$A172)-FIND("[",$A172)-1),"")</f>
        <v/>
      </c>
      <c r="C172" s="15">
        <f>IFERROR(INDEX(Personnes!$B$5:$B$153,MATCH($B172,Personnes!$A$5:$A$153,0))&amp;"","")</f>
        <v/>
      </c>
      <c r="D172" s="15">
        <f>IFERROR(INDEX(Personnes!$C$5:$C$153,MATCH($B172,Personnes!$A$5:$A$153,0))&amp;"","")</f>
        <v/>
      </c>
      <c r="E172" s="16" t="n"/>
      <c r="F172" s="16" t="n"/>
      <c r="G172" s="14" t="n"/>
      <c r="H172" s="14" t="n"/>
      <c r="I172" s="18" t="n"/>
    </row>
    <row r="173">
      <c r="A173" s="14" t="n"/>
      <c r="B173" s="15">
        <f>IFERROR(MID($A173,FIND("[",$A173)+1,FIND("]",$A173)-FIND("[",$A173)-1),"")</f>
        <v/>
      </c>
      <c r="C173" s="15">
        <f>IFERROR(INDEX(Personnes!$B$5:$B$153,MATCH($B173,Personnes!$A$5:$A$153,0))&amp;"","")</f>
        <v/>
      </c>
      <c r="D173" s="15">
        <f>IFERROR(INDEX(Personnes!$C$5:$C$153,MATCH($B173,Personnes!$A$5:$A$153,0))&amp;"","")</f>
        <v/>
      </c>
      <c r="E173" s="16" t="n"/>
      <c r="F173" s="16" t="n"/>
      <c r="G173" s="14" t="n"/>
      <c r="H173" s="14" t="n"/>
      <c r="I173" s="18" t="n"/>
    </row>
    <row r="174">
      <c r="A174" s="14" t="n"/>
      <c r="B174" s="15">
        <f>IFERROR(MID($A174,FIND("[",$A174)+1,FIND("]",$A174)-FIND("[",$A174)-1),"")</f>
        <v/>
      </c>
      <c r="C174" s="15">
        <f>IFERROR(INDEX(Personnes!$B$5:$B$153,MATCH($B174,Personnes!$A$5:$A$153,0))&amp;"","")</f>
        <v/>
      </c>
      <c r="D174" s="15">
        <f>IFERROR(INDEX(Personnes!$C$5:$C$153,MATCH($B174,Personnes!$A$5:$A$153,0))&amp;"","")</f>
        <v/>
      </c>
      <c r="E174" s="16" t="n"/>
      <c r="F174" s="16" t="n"/>
      <c r="G174" s="14" t="n"/>
      <c r="H174" s="14" t="n"/>
      <c r="I174" s="18" t="n"/>
    </row>
    <row r="175">
      <c r="A175" s="14" t="n"/>
      <c r="B175" s="15">
        <f>IFERROR(MID($A175,FIND("[",$A175)+1,FIND("]",$A175)-FIND("[",$A175)-1),"")</f>
        <v/>
      </c>
      <c r="C175" s="15">
        <f>IFERROR(INDEX(Personnes!$B$5:$B$153,MATCH($B175,Personnes!$A$5:$A$153,0))&amp;"","")</f>
        <v/>
      </c>
      <c r="D175" s="15">
        <f>IFERROR(INDEX(Personnes!$C$5:$C$153,MATCH($B175,Personnes!$A$5:$A$153,0))&amp;"","")</f>
        <v/>
      </c>
      <c r="E175" s="16" t="n"/>
      <c r="F175" s="16" t="n"/>
      <c r="G175" s="14" t="n"/>
      <c r="H175" s="14" t="n"/>
      <c r="I175" s="18" t="n"/>
    </row>
    <row r="176">
      <c r="A176" s="14" t="n"/>
      <c r="B176" s="15">
        <f>IFERROR(MID($A176,FIND("[",$A176)+1,FIND("]",$A176)-FIND("[",$A176)-1),"")</f>
        <v/>
      </c>
      <c r="C176" s="15">
        <f>IFERROR(INDEX(Personnes!$B$5:$B$153,MATCH($B176,Personnes!$A$5:$A$153,0))&amp;"","")</f>
        <v/>
      </c>
      <c r="D176" s="15">
        <f>IFERROR(INDEX(Personnes!$C$5:$C$153,MATCH($B176,Personnes!$A$5:$A$153,0))&amp;"","")</f>
        <v/>
      </c>
      <c r="E176" s="16" t="n"/>
      <c r="F176" s="16" t="n"/>
      <c r="G176" s="14" t="n"/>
      <c r="H176" s="14" t="n"/>
      <c r="I176" s="18" t="n"/>
    </row>
    <row r="177">
      <c r="A177" s="14" t="n"/>
      <c r="B177" s="15">
        <f>IFERROR(MID($A177,FIND("[",$A177)+1,FIND("]",$A177)-FIND("[",$A177)-1),"")</f>
        <v/>
      </c>
      <c r="C177" s="15">
        <f>IFERROR(INDEX(Personnes!$B$5:$B$153,MATCH($B177,Personnes!$A$5:$A$153,0))&amp;"","")</f>
        <v/>
      </c>
      <c r="D177" s="15">
        <f>IFERROR(INDEX(Personnes!$C$5:$C$153,MATCH($B177,Personnes!$A$5:$A$153,0))&amp;"","")</f>
        <v/>
      </c>
      <c r="E177" s="16" t="n"/>
      <c r="F177" s="16" t="n"/>
      <c r="G177" s="14" t="n"/>
      <c r="H177" s="14" t="n"/>
      <c r="I177" s="18" t="n"/>
    </row>
    <row r="178">
      <c r="A178" s="14" t="n"/>
      <c r="B178" s="15">
        <f>IFERROR(MID($A178,FIND("[",$A178)+1,FIND("]",$A178)-FIND("[",$A178)-1),"")</f>
        <v/>
      </c>
      <c r="C178" s="15">
        <f>IFERROR(INDEX(Personnes!$B$5:$B$153,MATCH($B178,Personnes!$A$5:$A$153,0))&amp;"","")</f>
        <v/>
      </c>
      <c r="D178" s="15">
        <f>IFERROR(INDEX(Personnes!$C$5:$C$153,MATCH($B178,Personnes!$A$5:$A$153,0))&amp;"","")</f>
        <v/>
      </c>
      <c r="E178" s="16" t="n"/>
      <c r="F178" s="16" t="n"/>
      <c r="G178" s="14" t="n"/>
      <c r="H178" s="14" t="n"/>
      <c r="I178" s="18" t="n"/>
    </row>
    <row r="179">
      <c r="A179" s="14" t="n"/>
      <c r="B179" s="15">
        <f>IFERROR(MID($A179,FIND("[",$A179)+1,FIND("]",$A179)-FIND("[",$A179)-1),"")</f>
        <v/>
      </c>
      <c r="C179" s="15">
        <f>IFERROR(INDEX(Personnes!$B$5:$B$153,MATCH($B179,Personnes!$A$5:$A$153,0))&amp;"","")</f>
        <v/>
      </c>
      <c r="D179" s="15">
        <f>IFERROR(INDEX(Personnes!$C$5:$C$153,MATCH($B179,Personnes!$A$5:$A$153,0))&amp;"","")</f>
        <v/>
      </c>
      <c r="E179" s="16" t="n"/>
      <c r="F179" s="16" t="n"/>
      <c r="G179" s="14" t="n"/>
      <c r="H179" s="14" t="n"/>
      <c r="I179" s="18" t="n"/>
    </row>
    <row r="180">
      <c r="A180" s="14" t="n"/>
      <c r="B180" s="15">
        <f>IFERROR(MID($A180,FIND("[",$A180)+1,FIND("]",$A180)-FIND("[",$A180)-1),"")</f>
        <v/>
      </c>
      <c r="C180" s="15">
        <f>IFERROR(INDEX(Personnes!$B$5:$B$153,MATCH($B180,Personnes!$A$5:$A$153,0))&amp;"","")</f>
        <v/>
      </c>
      <c r="D180" s="15">
        <f>IFERROR(INDEX(Personnes!$C$5:$C$153,MATCH($B180,Personnes!$A$5:$A$153,0))&amp;"","")</f>
        <v/>
      </c>
      <c r="E180" s="16" t="n"/>
      <c r="F180" s="16" t="n"/>
      <c r="G180" s="14" t="n"/>
      <c r="H180" s="14" t="n"/>
      <c r="I180" s="18" t="n"/>
    </row>
    <row r="181">
      <c r="A181" s="14" t="n"/>
      <c r="B181" s="15">
        <f>IFERROR(MID($A181,FIND("[",$A181)+1,FIND("]",$A181)-FIND("[",$A181)-1),"")</f>
        <v/>
      </c>
      <c r="C181" s="15">
        <f>IFERROR(INDEX(Personnes!$B$5:$B$153,MATCH($B181,Personnes!$A$5:$A$153,0))&amp;"","")</f>
        <v/>
      </c>
      <c r="D181" s="15">
        <f>IFERROR(INDEX(Personnes!$C$5:$C$153,MATCH($B181,Personnes!$A$5:$A$153,0))&amp;"","")</f>
        <v/>
      </c>
      <c r="E181" s="16" t="n"/>
      <c r="F181" s="16" t="n"/>
      <c r="G181" s="14" t="n"/>
      <c r="H181" s="14" t="n"/>
      <c r="I181" s="18" t="n"/>
    </row>
    <row r="182">
      <c r="A182" s="14" t="n"/>
      <c r="B182" s="15">
        <f>IFERROR(MID($A182,FIND("[",$A182)+1,FIND("]",$A182)-FIND("[",$A182)-1),"")</f>
        <v/>
      </c>
      <c r="C182" s="15">
        <f>IFERROR(INDEX(Personnes!$B$5:$B$153,MATCH($B182,Personnes!$A$5:$A$153,0))&amp;"","")</f>
        <v/>
      </c>
      <c r="D182" s="15">
        <f>IFERROR(INDEX(Personnes!$C$5:$C$153,MATCH($B182,Personnes!$A$5:$A$153,0))&amp;"","")</f>
        <v/>
      </c>
      <c r="E182" s="16" t="n"/>
      <c r="F182" s="16" t="n"/>
      <c r="G182" s="14" t="n"/>
      <c r="H182" s="14" t="n"/>
      <c r="I182" s="18" t="n"/>
    </row>
    <row r="183">
      <c r="A183" s="14" t="n"/>
      <c r="B183" s="15">
        <f>IFERROR(MID($A183,FIND("[",$A183)+1,FIND("]",$A183)-FIND("[",$A183)-1),"")</f>
        <v/>
      </c>
      <c r="C183" s="15">
        <f>IFERROR(INDEX(Personnes!$B$5:$B$153,MATCH($B183,Personnes!$A$5:$A$153,0))&amp;"","")</f>
        <v/>
      </c>
      <c r="D183" s="15">
        <f>IFERROR(INDEX(Personnes!$C$5:$C$153,MATCH($B183,Personnes!$A$5:$A$153,0))&amp;"","")</f>
        <v/>
      </c>
      <c r="E183" s="16" t="n"/>
      <c r="F183" s="16" t="n"/>
      <c r="G183" s="14" t="n"/>
      <c r="H183" s="14" t="n"/>
      <c r="I183" s="18" t="n"/>
    </row>
    <row r="184">
      <c r="A184" s="14" t="n"/>
      <c r="B184" s="15">
        <f>IFERROR(MID($A184,FIND("[",$A184)+1,FIND("]",$A184)-FIND("[",$A184)-1),"")</f>
        <v/>
      </c>
      <c r="C184" s="15">
        <f>IFERROR(INDEX(Personnes!$B$5:$B$153,MATCH($B184,Personnes!$A$5:$A$153,0))&amp;"","")</f>
        <v/>
      </c>
      <c r="D184" s="15">
        <f>IFERROR(INDEX(Personnes!$C$5:$C$153,MATCH($B184,Personnes!$A$5:$A$153,0))&amp;"","")</f>
        <v/>
      </c>
      <c r="E184" s="16" t="n"/>
      <c r="F184" s="16" t="n"/>
      <c r="G184" s="14" t="n"/>
      <c r="H184" s="14" t="n"/>
      <c r="I184" s="18" t="n"/>
    </row>
    <row r="185">
      <c r="A185" s="14" t="n"/>
      <c r="B185" s="15">
        <f>IFERROR(MID($A185,FIND("[",$A185)+1,FIND("]",$A185)-FIND("[",$A185)-1),"")</f>
        <v/>
      </c>
      <c r="C185" s="15">
        <f>IFERROR(INDEX(Personnes!$B$5:$B$153,MATCH($B185,Personnes!$A$5:$A$153,0))&amp;"","")</f>
        <v/>
      </c>
      <c r="D185" s="15">
        <f>IFERROR(INDEX(Personnes!$C$5:$C$153,MATCH($B185,Personnes!$A$5:$A$153,0))&amp;"","")</f>
        <v/>
      </c>
      <c r="E185" s="16" t="n"/>
      <c r="F185" s="16" t="n"/>
      <c r="G185" s="14" t="n"/>
      <c r="H185" s="14" t="n"/>
      <c r="I185" s="18" t="n"/>
    </row>
    <row r="186">
      <c r="A186" s="14" t="n"/>
      <c r="B186" s="15">
        <f>IFERROR(MID($A186,FIND("[",$A186)+1,FIND("]",$A186)-FIND("[",$A186)-1),"")</f>
        <v/>
      </c>
      <c r="C186" s="15">
        <f>IFERROR(INDEX(Personnes!$B$5:$B$153,MATCH($B186,Personnes!$A$5:$A$153,0))&amp;"","")</f>
        <v/>
      </c>
      <c r="D186" s="15">
        <f>IFERROR(INDEX(Personnes!$C$5:$C$153,MATCH($B186,Personnes!$A$5:$A$153,0))&amp;"","")</f>
        <v/>
      </c>
      <c r="E186" s="16" t="n"/>
      <c r="F186" s="16" t="n"/>
      <c r="G186" s="14" t="n"/>
      <c r="H186" s="14" t="n"/>
      <c r="I186" s="18" t="n"/>
    </row>
    <row r="187">
      <c r="A187" s="14" t="n"/>
      <c r="B187" s="15">
        <f>IFERROR(MID($A187,FIND("[",$A187)+1,FIND("]",$A187)-FIND("[",$A187)-1),"")</f>
        <v/>
      </c>
      <c r="C187" s="15">
        <f>IFERROR(INDEX(Personnes!$B$5:$B$153,MATCH($B187,Personnes!$A$5:$A$153,0))&amp;"","")</f>
        <v/>
      </c>
      <c r="D187" s="15">
        <f>IFERROR(INDEX(Personnes!$C$5:$C$153,MATCH($B187,Personnes!$A$5:$A$153,0))&amp;"","")</f>
        <v/>
      </c>
      <c r="E187" s="16" t="n"/>
      <c r="F187" s="16" t="n"/>
      <c r="G187" s="14" t="n"/>
      <c r="H187" s="14" t="n"/>
      <c r="I187" s="18" t="n"/>
    </row>
    <row r="188">
      <c r="A188" s="14" t="n"/>
      <c r="B188" s="15">
        <f>IFERROR(MID($A188,FIND("[",$A188)+1,FIND("]",$A188)-FIND("[",$A188)-1),"")</f>
        <v/>
      </c>
      <c r="C188" s="15">
        <f>IFERROR(INDEX(Personnes!$B$5:$B$153,MATCH($B188,Personnes!$A$5:$A$153,0))&amp;"","")</f>
        <v/>
      </c>
      <c r="D188" s="15">
        <f>IFERROR(INDEX(Personnes!$C$5:$C$153,MATCH($B188,Personnes!$A$5:$A$153,0))&amp;"","")</f>
        <v/>
      </c>
      <c r="E188" s="16" t="n"/>
      <c r="F188" s="16" t="n"/>
      <c r="G188" s="14" t="n"/>
      <c r="H188" s="14" t="n"/>
      <c r="I188" s="18" t="n"/>
    </row>
    <row r="189">
      <c r="A189" s="14" t="n"/>
      <c r="B189" s="15">
        <f>IFERROR(MID($A189,FIND("[",$A189)+1,FIND("]",$A189)-FIND("[",$A189)-1),"")</f>
        <v/>
      </c>
      <c r="C189" s="15">
        <f>IFERROR(INDEX(Personnes!$B$5:$B$153,MATCH($B189,Personnes!$A$5:$A$153,0))&amp;"","")</f>
        <v/>
      </c>
      <c r="D189" s="15">
        <f>IFERROR(INDEX(Personnes!$C$5:$C$153,MATCH($B189,Personnes!$A$5:$A$153,0))&amp;"","")</f>
        <v/>
      </c>
      <c r="E189" s="16" t="n"/>
      <c r="F189" s="16" t="n"/>
      <c r="G189" s="14" t="n"/>
      <c r="H189" s="14" t="n"/>
      <c r="I189" s="18" t="n"/>
    </row>
    <row r="190">
      <c r="A190" s="14" t="n"/>
      <c r="B190" s="15">
        <f>IFERROR(MID($A190,FIND("[",$A190)+1,FIND("]",$A190)-FIND("[",$A190)-1),"")</f>
        <v/>
      </c>
      <c r="C190" s="15">
        <f>IFERROR(INDEX(Personnes!$B$5:$B$153,MATCH($B190,Personnes!$A$5:$A$153,0))&amp;"","")</f>
        <v/>
      </c>
      <c r="D190" s="15">
        <f>IFERROR(INDEX(Personnes!$C$5:$C$153,MATCH($B190,Personnes!$A$5:$A$153,0))&amp;"","")</f>
        <v/>
      </c>
      <c r="E190" s="16" t="n"/>
      <c r="F190" s="16" t="n"/>
      <c r="G190" s="14" t="n"/>
      <c r="H190" s="14" t="n"/>
      <c r="I190" s="18" t="n"/>
    </row>
    <row r="191">
      <c r="A191" s="14" t="n"/>
      <c r="B191" s="15">
        <f>IFERROR(MID($A191,FIND("[",$A191)+1,FIND("]",$A191)-FIND("[",$A191)-1),"")</f>
        <v/>
      </c>
      <c r="C191" s="15">
        <f>IFERROR(INDEX(Personnes!$B$5:$B$153,MATCH($B191,Personnes!$A$5:$A$153,0))&amp;"","")</f>
        <v/>
      </c>
      <c r="D191" s="15">
        <f>IFERROR(INDEX(Personnes!$C$5:$C$153,MATCH($B191,Personnes!$A$5:$A$153,0))&amp;"","")</f>
        <v/>
      </c>
      <c r="E191" s="16" t="n"/>
      <c r="F191" s="16" t="n"/>
      <c r="G191" s="14" t="n"/>
      <c r="H191" s="14" t="n"/>
      <c r="I191" s="18" t="n"/>
    </row>
    <row r="192">
      <c r="A192" s="14" t="n"/>
      <c r="B192" s="15">
        <f>IFERROR(MID($A192,FIND("[",$A192)+1,FIND("]",$A192)-FIND("[",$A192)-1),"")</f>
        <v/>
      </c>
      <c r="C192" s="15">
        <f>IFERROR(INDEX(Personnes!$B$5:$B$153,MATCH($B192,Personnes!$A$5:$A$153,0))&amp;"","")</f>
        <v/>
      </c>
      <c r="D192" s="15">
        <f>IFERROR(INDEX(Personnes!$C$5:$C$153,MATCH($B192,Personnes!$A$5:$A$153,0))&amp;"","")</f>
        <v/>
      </c>
      <c r="E192" s="16" t="n"/>
      <c r="F192" s="16" t="n"/>
      <c r="G192" s="14" t="n"/>
      <c r="H192" s="14" t="n"/>
      <c r="I192" s="18" t="n"/>
    </row>
    <row r="193">
      <c r="A193" s="14" t="n"/>
      <c r="B193" s="15">
        <f>IFERROR(MID($A193,FIND("[",$A193)+1,FIND("]",$A193)-FIND("[",$A193)-1),"")</f>
        <v/>
      </c>
      <c r="C193" s="15">
        <f>IFERROR(INDEX(Personnes!$B$5:$B$153,MATCH($B193,Personnes!$A$5:$A$153,0))&amp;"","")</f>
        <v/>
      </c>
      <c r="D193" s="15">
        <f>IFERROR(INDEX(Personnes!$C$5:$C$153,MATCH($B193,Personnes!$A$5:$A$153,0))&amp;"","")</f>
        <v/>
      </c>
      <c r="E193" s="16" t="n"/>
      <c r="F193" s="16" t="n"/>
      <c r="G193" s="14" t="n"/>
      <c r="H193" s="14" t="n"/>
      <c r="I193" s="18" t="n"/>
    </row>
    <row r="194">
      <c r="A194" s="14" t="n"/>
      <c r="B194" s="15">
        <f>IFERROR(MID($A194,FIND("[",$A194)+1,FIND("]",$A194)-FIND("[",$A194)-1),"")</f>
        <v/>
      </c>
      <c r="C194" s="15">
        <f>IFERROR(INDEX(Personnes!$B$5:$B$153,MATCH($B194,Personnes!$A$5:$A$153,0))&amp;"","")</f>
        <v/>
      </c>
      <c r="D194" s="15">
        <f>IFERROR(INDEX(Personnes!$C$5:$C$153,MATCH($B194,Personnes!$A$5:$A$153,0))&amp;"","")</f>
        <v/>
      </c>
      <c r="E194" s="16" t="n"/>
      <c r="F194" s="16" t="n"/>
      <c r="G194" s="14" t="n"/>
      <c r="H194" s="14" t="n"/>
      <c r="I194" s="18" t="n"/>
    </row>
    <row r="195">
      <c r="A195" s="14" t="n"/>
      <c r="B195" s="15">
        <f>IFERROR(MID($A195,FIND("[",$A195)+1,FIND("]",$A195)-FIND("[",$A195)-1),"")</f>
        <v/>
      </c>
      <c r="C195" s="15">
        <f>IFERROR(INDEX(Personnes!$B$5:$B$153,MATCH($B195,Personnes!$A$5:$A$153,0))&amp;"","")</f>
        <v/>
      </c>
      <c r="D195" s="15">
        <f>IFERROR(INDEX(Personnes!$C$5:$C$153,MATCH($B195,Personnes!$A$5:$A$153,0))&amp;"","")</f>
        <v/>
      </c>
      <c r="E195" s="16" t="n"/>
      <c r="F195" s="16" t="n"/>
      <c r="G195" s="14" t="n"/>
      <c r="H195" s="14" t="n"/>
      <c r="I195" s="18" t="n"/>
    </row>
    <row r="196">
      <c r="A196" s="14" t="n"/>
      <c r="B196" s="15">
        <f>IFERROR(MID($A196,FIND("[",$A196)+1,FIND("]",$A196)-FIND("[",$A196)-1),"")</f>
        <v/>
      </c>
      <c r="C196" s="15">
        <f>IFERROR(INDEX(Personnes!$B$5:$B$153,MATCH($B196,Personnes!$A$5:$A$153,0))&amp;"","")</f>
        <v/>
      </c>
      <c r="D196" s="15">
        <f>IFERROR(INDEX(Personnes!$C$5:$C$153,MATCH($B196,Personnes!$A$5:$A$153,0))&amp;"","")</f>
        <v/>
      </c>
      <c r="E196" s="16" t="n"/>
      <c r="F196" s="16" t="n"/>
      <c r="G196" s="14" t="n"/>
      <c r="H196" s="14" t="n"/>
      <c r="I196" s="18" t="n"/>
    </row>
    <row r="197">
      <c r="A197" s="14" t="n"/>
      <c r="B197" s="15">
        <f>IFERROR(MID($A197,FIND("[",$A197)+1,FIND("]",$A197)-FIND("[",$A197)-1),"")</f>
        <v/>
      </c>
      <c r="C197" s="15">
        <f>IFERROR(INDEX(Personnes!$B$5:$B$153,MATCH($B197,Personnes!$A$5:$A$153,0))&amp;"","")</f>
        <v/>
      </c>
      <c r="D197" s="15">
        <f>IFERROR(INDEX(Personnes!$C$5:$C$153,MATCH($B197,Personnes!$A$5:$A$153,0))&amp;"","")</f>
        <v/>
      </c>
      <c r="E197" s="16" t="n"/>
      <c r="F197" s="16" t="n"/>
      <c r="G197" s="14" t="n"/>
      <c r="H197" s="14" t="n"/>
      <c r="I197" s="18" t="n"/>
    </row>
    <row r="198">
      <c r="A198" s="14" t="n"/>
      <c r="B198" s="15">
        <f>IFERROR(MID($A198,FIND("[",$A198)+1,FIND("]",$A198)-FIND("[",$A198)-1),"")</f>
        <v/>
      </c>
      <c r="C198" s="15">
        <f>IFERROR(INDEX(Personnes!$B$5:$B$153,MATCH($B198,Personnes!$A$5:$A$153,0))&amp;"","")</f>
        <v/>
      </c>
      <c r="D198" s="15">
        <f>IFERROR(INDEX(Personnes!$C$5:$C$153,MATCH($B198,Personnes!$A$5:$A$153,0))&amp;"","")</f>
        <v/>
      </c>
      <c r="E198" s="16" t="n"/>
      <c r="F198" s="16" t="n"/>
      <c r="G198" s="14" t="n"/>
      <c r="H198" s="14" t="n"/>
      <c r="I198" s="18" t="n"/>
    </row>
    <row r="199">
      <c r="A199" s="14" t="n"/>
      <c r="B199" s="15">
        <f>IFERROR(MID($A199,FIND("[",$A199)+1,FIND("]",$A199)-FIND("[",$A199)-1),"")</f>
        <v/>
      </c>
      <c r="C199" s="15">
        <f>IFERROR(INDEX(Personnes!$B$5:$B$153,MATCH($B199,Personnes!$A$5:$A$153,0))&amp;"","")</f>
        <v/>
      </c>
      <c r="D199" s="15">
        <f>IFERROR(INDEX(Personnes!$C$5:$C$153,MATCH($B199,Personnes!$A$5:$A$153,0))&amp;"","")</f>
        <v/>
      </c>
      <c r="E199" s="16" t="n"/>
      <c r="F199" s="16" t="n"/>
      <c r="G199" s="14" t="n"/>
      <c r="H199" s="14" t="n"/>
      <c r="I199" s="18" t="n"/>
    </row>
    <row r="200">
      <c r="A200" s="14" t="n"/>
      <c r="B200" s="15">
        <f>IFERROR(MID($A200,FIND("[",$A200)+1,FIND("]",$A200)-FIND("[",$A200)-1),"")</f>
        <v/>
      </c>
      <c r="C200" s="15">
        <f>IFERROR(INDEX(Personnes!$B$5:$B$153,MATCH($B200,Personnes!$A$5:$A$153,0))&amp;"","")</f>
        <v/>
      </c>
      <c r="D200" s="15">
        <f>IFERROR(INDEX(Personnes!$C$5:$C$153,MATCH($B200,Personnes!$A$5:$A$153,0))&amp;"","")</f>
        <v/>
      </c>
      <c r="E200" s="16" t="n"/>
      <c r="F200" s="16" t="n"/>
      <c r="G200" s="14" t="n"/>
      <c r="H200" s="14" t="n"/>
      <c r="I200" s="18" t="n"/>
    </row>
    <row r="201">
      <c r="A201" s="14" t="n"/>
      <c r="B201" s="15">
        <f>IFERROR(MID($A201,FIND("[",$A201)+1,FIND("]",$A201)-FIND("[",$A201)-1),"")</f>
        <v/>
      </c>
      <c r="C201" s="15">
        <f>IFERROR(INDEX(Personnes!$B$5:$B$153,MATCH($B201,Personnes!$A$5:$A$153,0))&amp;"","")</f>
        <v/>
      </c>
      <c r="D201" s="15">
        <f>IFERROR(INDEX(Personnes!$C$5:$C$153,MATCH($B201,Personnes!$A$5:$A$153,0))&amp;"","")</f>
        <v/>
      </c>
      <c r="E201" s="16" t="n"/>
      <c r="F201" s="16" t="n"/>
      <c r="G201" s="14" t="n"/>
      <c r="H201" s="14" t="n"/>
      <c r="I201" s="18" t="n"/>
    </row>
    <row r="202">
      <c r="A202" s="14" t="n"/>
      <c r="B202" s="15">
        <f>IFERROR(MID($A202,FIND("[",$A202)+1,FIND("]",$A202)-FIND("[",$A202)-1),"")</f>
        <v/>
      </c>
      <c r="C202" s="15">
        <f>IFERROR(INDEX(Personnes!$B$5:$B$153,MATCH($B202,Personnes!$A$5:$A$153,0))&amp;"","")</f>
        <v/>
      </c>
      <c r="D202" s="15">
        <f>IFERROR(INDEX(Personnes!$C$5:$C$153,MATCH($B202,Personnes!$A$5:$A$153,0))&amp;"","")</f>
        <v/>
      </c>
      <c r="E202" s="16" t="n"/>
      <c r="F202" s="16" t="n"/>
      <c r="G202" s="14" t="n"/>
      <c r="H202" s="14" t="n"/>
      <c r="I202" s="18" t="n"/>
    </row>
    <row r="203">
      <c r="A203" s="14" t="n"/>
      <c r="B203" s="15">
        <f>IFERROR(MID($A203,FIND("[",$A203)+1,FIND("]",$A203)-FIND("[",$A203)-1),"")</f>
        <v/>
      </c>
      <c r="C203" s="15">
        <f>IFERROR(INDEX(Personnes!$B$5:$B$153,MATCH($B203,Personnes!$A$5:$A$153,0))&amp;"","")</f>
        <v/>
      </c>
      <c r="D203" s="15">
        <f>IFERROR(INDEX(Personnes!$C$5:$C$153,MATCH($B203,Personnes!$A$5:$A$153,0))&amp;"","")</f>
        <v/>
      </c>
      <c r="E203" s="16" t="n"/>
      <c r="F203" s="16" t="n"/>
      <c r="G203" s="14" t="n"/>
      <c r="H203" s="14" t="n"/>
      <c r="I203" s="18" t="n"/>
    </row>
    <row r="204">
      <c r="A204" s="14" t="n"/>
      <c r="B204" s="15">
        <f>IFERROR(MID($A204,FIND("[",$A204)+1,FIND("]",$A204)-FIND("[",$A204)-1),"")</f>
        <v/>
      </c>
      <c r="C204" s="15">
        <f>IFERROR(INDEX(Personnes!$B$5:$B$153,MATCH($B204,Personnes!$A$5:$A$153,0))&amp;"","")</f>
        <v/>
      </c>
      <c r="D204" s="15">
        <f>IFERROR(INDEX(Personnes!$C$5:$C$153,MATCH($B204,Personnes!$A$5:$A$153,0))&amp;"","")</f>
        <v/>
      </c>
      <c r="E204" s="16" t="n"/>
      <c r="F204" s="16" t="n"/>
      <c r="G204" s="14" t="n"/>
      <c r="H204" s="14" t="n"/>
      <c r="I204" s="18" t="n"/>
    </row>
    <row r="205">
      <c r="A205" s="14" t="n"/>
      <c r="B205" s="15">
        <f>IFERROR(MID($A205,FIND("[",$A205)+1,FIND("]",$A205)-FIND("[",$A205)-1),"")</f>
        <v/>
      </c>
      <c r="C205" s="15">
        <f>IFERROR(INDEX(Personnes!$B$5:$B$153,MATCH($B205,Personnes!$A$5:$A$153,0))&amp;"","")</f>
        <v/>
      </c>
      <c r="D205" s="15">
        <f>IFERROR(INDEX(Personnes!$C$5:$C$153,MATCH($B205,Personnes!$A$5:$A$153,0))&amp;"","")</f>
        <v/>
      </c>
      <c r="E205" s="16" t="n"/>
      <c r="F205" s="16" t="n"/>
      <c r="G205" s="14" t="n"/>
      <c r="H205" s="14" t="n"/>
      <c r="I205" s="18" t="n"/>
    </row>
    <row r="206">
      <c r="A206" s="14" t="n"/>
      <c r="B206" s="15">
        <f>IFERROR(MID($A206,FIND("[",$A206)+1,FIND("]",$A206)-FIND("[",$A206)-1),"")</f>
        <v/>
      </c>
      <c r="C206" s="15">
        <f>IFERROR(INDEX(Personnes!$B$5:$B$153,MATCH($B206,Personnes!$A$5:$A$153,0))&amp;"","")</f>
        <v/>
      </c>
      <c r="D206" s="15">
        <f>IFERROR(INDEX(Personnes!$C$5:$C$153,MATCH($B206,Personnes!$A$5:$A$153,0))&amp;"","")</f>
        <v/>
      </c>
      <c r="E206" s="16" t="n"/>
      <c r="F206" s="16" t="n"/>
      <c r="G206" s="14" t="n"/>
      <c r="H206" s="14" t="n"/>
      <c r="I206" s="18" t="n"/>
    </row>
    <row r="207">
      <c r="A207" s="14" t="n"/>
      <c r="B207" s="15">
        <f>IFERROR(MID($A207,FIND("[",$A207)+1,FIND("]",$A207)-FIND("[",$A207)-1),"")</f>
        <v/>
      </c>
      <c r="C207" s="15">
        <f>IFERROR(INDEX(Personnes!$B$5:$B$153,MATCH($B207,Personnes!$A$5:$A$153,0))&amp;"","")</f>
        <v/>
      </c>
      <c r="D207" s="15">
        <f>IFERROR(INDEX(Personnes!$C$5:$C$153,MATCH($B207,Personnes!$A$5:$A$153,0))&amp;"","")</f>
        <v/>
      </c>
      <c r="E207" s="16" t="n"/>
      <c r="F207" s="16" t="n"/>
      <c r="G207" s="14" t="n"/>
      <c r="H207" s="14" t="n"/>
      <c r="I207" s="18" t="n"/>
    </row>
    <row r="208">
      <c r="A208" s="14" t="n"/>
      <c r="B208" s="15">
        <f>IFERROR(MID($A208,FIND("[",$A208)+1,FIND("]",$A208)-FIND("[",$A208)-1),"")</f>
        <v/>
      </c>
      <c r="C208" s="15">
        <f>IFERROR(INDEX(Personnes!$B$5:$B$153,MATCH($B208,Personnes!$A$5:$A$153,0))&amp;"","")</f>
        <v/>
      </c>
      <c r="D208" s="15">
        <f>IFERROR(INDEX(Personnes!$C$5:$C$153,MATCH($B208,Personnes!$A$5:$A$153,0))&amp;"","")</f>
        <v/>
      </c>
      <c r="E208" s="16" t="n"/>
      <c r="F208" s="16" t="n"/>
      <c r="G208" s="14" t="n"/>
      <c r="H208" s="14" t="n"/>
      <c r="I208" s="18" t="n"/>
    </row>
    <row r="209">
      <c r="A209" s="14" t="n"/>
      <c r="B209" s="15">
        <f>IFERROR(MID($A209,FIND("[",$A209)+1,FIND("]",$A209)-FIND("[",$A209)-1),"")</f>
        <v/>
      </c>
      <c r="C209" s="15">
        <f>IFERROR(INDEX(Personnes!$B$5:$B$153,MATCH($B209,Personnes!$A$5:$A$153,0))&amp;"","")</f>
        <v/>
      </c>
      <c r="D209" s="15">
        <f>IFERROR(INDEX(Personnes!$C$5:$C$153,MATCH($B209,Personnes!$A$5:$A$153,0))&amp;"","")</f>
        <v/>
      </c>
      <c r="E209" s="16" t="n"/>
      <c r="F209" s="16" t="n"/>
      <c r="G209" s="14" t="n"/>
      <c r="H209" s="14" t="n"/>
      <c r="I209" s="18" t="n"/>
    </row>
    <row r="210">
      <c r="A210" s="14" t="n"/>
      <c r="B210" s="15">
        <f>IFERROR(MID($A210,FIND("[",$A210)+1,FIND("]",$A210)-FIND("[",$A210)-1),"")</f>
        <v/>
      </c>
      <c r="C210" s="15">
        <f>IFERROR(INDEX(Personnes!$B$5:$B$153,MATCH($B210,Personnes!$A$5:$A$153,0))&amp;"","")</f>
        <v/>
      </c>
      <c r="D210" s="15">
        <f>IFERROR(INDEX(Personnes!$C$5:$C$153,MATCH($B210,Personnes!$A$5:$A$153,0))&amp;"","")</f>
        <v/>
      </c>
      <c r="E210" s="16" t="n"/>
      <c r="F210" s="16" t="n"/>
      <c r="G210" s="14" t="n"/>
      <c r="H210" s="14" t="n"/>
      <c r="I210" s="18" t="n"/>
    </row>
    <row r="211">
      <c r="A211" s="14" t="n"/>
      <c r="B211" s="15">
        <f>IFERROR(MID($A211,FIND("[",$A211)+1,FIND("]",$A211)-FIND("[",$A211)-1),"")</f>
        <v/>
      </c>
      <c r="C211" s="15">
        <f>IFERROR(INDEX(Personnes!$B$5:$B$153,MATCH($B211,Personnes!$A$5:$A$153,0))&amp;"","")</f>
        <v/>
      </c>
      <c r="D211" s="15">
        <f>IFERROR(INDEX(Personnes!$C$5:$C$153,MATCH($B211,Personnes!$A$5:$A$153,0))&amp;"","")</f>
        <v/>
      </c>
      <c r="E211" s="16" t="n"/>
      <c r="F211" s="16" t="n"/>
      <c r="G211" s="14" t="n"/>
      <c r="H211" s="14" t="n"/>
      <c r="I211" s="18" t="n"/>
    </row>
    <row r="212">
      <c r="A212" s="14" t="n"/>
      <c r="B212" s="15">
        <f>IFERROR(MID($A212,FIND("[",$A212)+1,FIND("]",$A212)-FIND("[",$A212)-1),"")</f>
        <v/>
      </c>
      <c r="C212" s="15">
        <f>IFERROR(INDEX(Personnes!$B$5:$B$153,MATCH($B212,Personnes!$A$5:$A$153,0))&amp;"","")</f>
        <v/>
      </c>
      <c r="D212" s="15">
        <f>IFERROR(INDEX(Personnes!$C$5:$C$153,MATCH($B212,Personnes!$A$5:$A$153,0))&amp;"","")</f>
        <v/>
      </c>
      <c r="E212" s="16" t="n"/>
      <c r="F212" s="16" t="n"/>
      <c r="G212" s="14" t="n"/>
      <c r="H212" s="14" t="n"/>
      <c r="I212" s="18" t="n"/>
    </row>
    <row r="213">
      <c r="A213" s="14" t="n"/>
      <c r="B213" s="15">
        <f>IFERROR(MID($A213,FIND("[",$A213)+1,FIND("]",$A213)-FIND("[",$A213)-1),"")</f>
        <v/>
      </c>
      <c r="C213" s="15">
        <f>IFERROR(INDEX(Personnes!$B$5:$B$153,MATCH($B213,Personnes!$A$5:$A$153,0))&amp;"","")</f>
        <v/>
      </c>
      <c r="D213" s="15">
        <f>IFERROR(INDEX(Personnes!$C$5:$C$153,MATCH($B213,Personnes!$A$5:$A$153,0))&amp;"","")</f>
        <v/>
      </c>
      <c r="E213" s="16" t="n"/>
      <c r="F213" s="16" t="n"/>
      <c r="G213" s="14" t="n"/>
      <c r="H213" s="14" t="n"/>
      <c r="I213" s="18" t="n"/>
    </row>
    <row r="214">
      <c r="A214" s="14" t="n"/>
      <c r="B214" s="15">
        <f>IFERROR(MID($A214,FIND("[",$A214)+1,FIND("]",$A214)-FIND("[",$A214)-1),"")</f>
        <v/>
      </c>
      <c r="C214" s="15">
        <f>IFERROR(INDEX(Personnes!$B$5:$B$153,MATCH($B214,Personnes!$A$5:$A$153,0))&amp;"","")</f>
        <v/>
      </c>
      <c r="D214" s="15">
        <f>IFERROR(INDEX(Personnes!$C$5:$C$153,MATCH($B214,Personnes!$A$5:$A$153,0))&amp;"","")</f>
        <v/>
      </c>
      <c r="E214" s="16" t="n"/>
      <c r="F214" s="16" t="n"/>
      <c r="G214" s="14" t="n"/>
      <c r="H214" s="14" t="n"/>
      <c r="I214" s="18" t="n"/>
    </row>
    <row r="215">
      <c r="A215" s="14" t="n"/>
      <c r="B215" s="15">
        <f>IFERROR(MID($A215,FIND("[",$A215)+1,FIND("]",$A215)-FIND("[",$A215)-1),"")</f>
        <v/>
      </c>
      <c r="C215" s="15">
        <f>IFERROR(INDEX(Personnes!$B$5:$B$153,MATCH($B215,Personnes!$A$5:$A$153,0))&amp;"","")</f>
        <v/>
      </c>
      <c r="D215" s="15">
        <f>IFERROR(INDEX(Personnes!$C$5:$C$153,MATCH($B215,Personnes!$A$5:$A$153,0))&amp;"","")</f>
        <v/>
      </c>
      <c r="E215" s="16" t="n"/>
      <c r="F215" s="16" t="n"/>
      <c r="G215" s="14" t="n"/>
      <c r="H215" s="14" t="n"/>
      <c r="I215" s="18" t="n"/>
    </row>
    <row r="216">
      <c r="A216" s="14" t="n"/>
      <c r="B216" s="15">
        <f>IFERROR(MID($A216,FIND("[",$A216)+1,FIND("]",$A216)-FIND("[",$A216)-1),"")</f>
        <v/>
      </c>
      <c r="C216" s="15">
        <f>IFERROR(INDEX(Personnes!$B$5:$B$153,MATCH($B216,Personnes!$A$5:$A$153,0))&amp;"","")</f>
        <v/>
      </c>
      <c r="D216" s="15">
        <f>IFERROR(INDEX(Personnes!$C$5:$C$153,MATCH($B216,Personnes!$A$5:$A$153,0))&amp;"","")</f>
        <v/>
      </c>
      <c r="E216" s="16" t="n"/>
      <c r="F216" s="16" t="n"/>
      <c r="G216" s="14" t="n"/>
      <c r="H216" s="14" t="n"/>
      <c r="I216" s="18" t="n"/>
    </row>
    <row r="217">
      <c r="A217" s="14" t="n"/>
      <c r="B217" s="15">
        <f>IFERROR(MID($A217,FIND("[",$A217)+1,FIND("]",$A217)-FIND("[",$A217)-1),"")</f>
        <v/>
      </c>
      <c r="C217" s="15">
        <f>IFERROR(INDEX(Personnes!$B$5:$B$153,MATCH($B217,Personnes!$A$5:$A$153,0))&amp;"","")</f>
        <v/>
      </c>
      <c r="D217" s="15">
        <f>IFERROR(INDEX(Personnes!$C$5:$C$153,MATCH($B217,Personnes!$A$5:$A$153,0))&amp;"","")</f>
        <v/>
      </c>
      <c r="E217" s="16" t="n"/>
      <c r="F217" s="16" t="n"/>
      <c r="G217" s="14" t="n"/>
      <c r="H217" s="14" t="n"/>
      <c r="I217" s="18" t="n"/>
    </row>
    <row r="218">
      <c r="A218" s="14" t="n"/>
      <c r="B218" s="15">
        <f>IFERROR(MID($A218,FIND("[",$A218)+1,FIND("]",$A218)-FIND("[",$A218)-1),"")</f>
        <v/>
      </c>
      <c r="C218" s="15">
        <f>IFERROR(INDEX(Personnes!$B$5:$B$153,MATCH($B218,Personnes!$A$5:$A$153,0))&amp;"","")</f>
        <v/>
      </c>
      <c r="D218" s="15">
        <f>IFERROR(INDEX(Personnes!$C$5:$C$153,MATCH($B218,Personnes!$A$5:$A$153,0))&amp;"","")</f>
        <v/>
      </c>
      <c r="E218" s="16" t="n"/>
      <c r="F218" s="16" t="n"/>
      <c r="G218" s="14" t="n"/>
      <c r="H218" s="14" t="n"/>
      <c r="I218" s="18" t="n"/>
    </row>
    <row r="219">
      <c r="A219" s="14" t="n"/>
      <c r="B219" s="15">
        <f>IFERROR(MID($A219,FIND("[",$A219)+1,FIND("]",$A219)-FIND("[",$A219)-1),"")</f>
        <v/>
      </c>
      <c r="C219" s="15">
        <f>IFERROR(INDEX(Personnes!$B$5:$B$153,MATCH($B219,Personnes!$A$5:$A$153,0))&amp;"","")</f>
        <v/>
      </c>
      <c r="D219" s="15">
        <f>IFERROR(INDEX(Personnes!$C$5:$C$153,MATCH($B219,Personnes!$A$5:$A$153,0))&amp;"","")</f>
        <v/>
      </c>
      <c r="E219" s="16" t="n"/>
      <c r="F219" s="16" t="n"/>
      <c r="G219" s="14" t="n"/>
      <c r="H219" s="14" t="n"/>
      <c r="I219" s="18" t="n"/>
    </row>
    <row r="220">
      <c r="A220" s="14" t="n"/>
      <c r="B220" s="15">
        <f>IFERROR(MID($A220,FIND("[",$A220)+1,FIND("]",$A220)-FIND("[",$A220)-1),"")</f>
        <v/>
      </c>
      <c r="C220" s="15">
        <f>IFERROR(INDEX(Personnes!$B$5:$B$153,MATCH($B220,Personnes!$A$5:$A$153,0))&amp;"","")</f>
        <v/>
      </c>
      <c r="D220" s="15">
        <f>IFERROR(INDEX(Personnes!$C$5:$C$153,MATCH($B220,Personnes!$A$5:$A$153,0))&amp;"","")</f>
        <v/>
      </c>
      <c r="E220" s="16" t="n"/>
      <c r="F220" s="16" t="n"/>
      <c r="G220" s="14" t="n"/>
      <c r="H220" s="14" t="n"/>
      <c r="I220" s="18" t="n"/>
    </row>
    <row r="221">
      <c r="A221" s="14" t="n"/>
      <c r="B221" s="15">
        <f>IFERROR(MID($A221,FIND("[",$A221)+1,FIND("]",$A221)-FIND("[",$A221)-1),"")</f>
        <v/>
      </c>
      <c r="C221" s="15">
        <f>IFERROR(INDEX(Personnes!$B$5:$B$153,MATCH($B221,Personnes!$A$5:$A$153,0))&amp;"","")</f>
        <v/>
      </c>
      <c r="D221" s="15">
        <f>IFERROR(INDEX(Personnes!$C$5:$C$153,MATCH($B221,Personnes!$A$5:$A$153,0))&amp;"","")</f>
        <v/>
      </c>
      <c r="E221" s="16" t="n"/>
      <c r="F221" s="16" t="n"/>
      <c r="G221" s="14" t="n"/>
      <c r="H221" s="14" t="n"/>
      <c r="I221" s="18" t="n"/>
    </row>
    <row r="222">
      <c r="A222" s="14" t="n"/>
      <c r="B222" s="15">
        <f>IFERROR(MID($A222,FIND("[",$A222)+1,FIND("]",$A222)-FIND("[",$A222)-1),"")</f>
        <v/>
      </c>
      <c r="C222" s="15">
        <f>IFERROR(INDEX(Personnes!$B$5:$B$153,MATCH($B222,Personnes!$A$5:$A$153,0))&amp;"","")</f>
        <v/>
      </c>
      <c r="D222" s="15">
        <f>IFERROR(INDEX(Personnes!$C$5:$C$153,MATCH($B222,Personnes!$A$5:$A$153,0))&amp;"","")</f>
        <v/>
      </c>
      <c r="E222" s="16" t="n"/>
      <c r="F222" s="16" t="n"/>
      <c r="G222" s="14" t="n"/>
      <c r="H222" s="14" t="n"/>
      <c r="I222" s="18" t="n"/>
    </row>
    <row r="223">
      <c r="A223" s="14" t="n"/>
      <c r="B223" s="15">
        <f>IFERROR(MID($A223,FIND("[",$A223)+1,FIND("]",$A223)-FIND("[",$A223)-1),"")</f>
        <v/>
      </c>
      <c r="C223" s="15">
        <f>IFERROR(INDEX(Personnes!$B$5:$B$153,MATCH($B223,Personnes!$A$5:$A$153,0))&amp;"","")</f>
        <v/>
      </c>
      <c r="D223" s="15">
        <f>IFERROR(INDEX(Personnes!$C$5:$C$153,MATCH($B223,Personnes!$A$5:$A$153,0))&amp;"","")</f>
        <v/>
      </c>
      <c r="E223" s="16" t="n"/>
      <c r="F223" s="16" t="n"/>
      <c r="G223" s="14" t="n"/>
      <c r="H223" s="14" t="n"/>
      <c r="I223" s="18" t="n"/>
    </row>
    <row r="224">
      <c r="A224" s="14" t="n"/>
      <c r="B224" s="15">
        <f>IFERROR(MID($A224,FIND("[",$A224)+1,FIND("]",$A224)-FIND("[",$A224)-1),"")</f>
        <v/>
      </c>
      <c r="C224" s="15">
        <f>IFERROR(INDEX(Personnes!$B$5:$B$153,MATCH($B224,Personnes!$A$5:$A$153,0))&amp;"","")</f>
        <v/>
      </c>
      <c r="D224" s="15">
        <f>IFERROR(INDEX(Personnes!$C$5:$C$153,MATCH($B224,Personnes!$A$5:$A$153,0))&amp;"","")</f>
        <v/>
      </c>
      <c r="E224" s="16" t="n"/>
      <c r="F224" s="16" t="n"/>
      <c r="G224" s="14" t="n"/>
      <c r="H224" s="14" t="n"/>
      <c r="I224" s="18" t="n"/>
    </row>
    <row r="225">
      <c r="A225" s="14" t="n"/>
      <c r="B225" s="15">
        <f>IFERROR(MID($A225,FIND("[",$A225)+1,FIND("]",$A225)-FIND("[",$A225)-1),"")</f>
        <v/>
      </c>
      <c r="C225" s="15">
        <f>IFERROR(INDEX(Personnes!$B$5:$B$153,MATCH($B225,Personnes!$A$5:$A$153,0))&amp;"","")</f>
        <v/>
      </c>
      <c r="D225" s="15">
        <f>IFERROR(INDEX(Personnes!$C$5:$C$153,MATCH($B225,Personnes!$A$5:$A$153,0))&amp;"","")</f>
        <v/>
      </c>
      <c r="E225" s="16" t="n"/>
      <c r="F225" s="16" t="n"/>
      <c r="G225" s="14" t="n"/>
      <c r="H225" s="14" t="n"/>
      <c r="I225" s="18" t="n"/>
    </row>
    <row r="226">
      <c r="A226" s="14" t="n"/>
      <c r="B226" s="15">
        <f>IFERROR(MID($A226,FIND("[",$A226)+1,FIND("]",$A226)-FIND("[",$A226)-1),"")</f>
        <v/>
      </c>
      <c r="C226" s="15">
        <f>IFERROR(INDEX(Personnes!$B$5:$B$153,MATCH($B226,Personnes!$A$5:$A$153,0))&amp;"","")</f>
        <v/>
      </c>
      <c r="D226" s="15">
        <f>IFERROR(INDEX(Personnes!$C$5:$C$153,MATCH($B226,Personnes!$A$5:$A$153,0))&amp;"","")</f>
        <v/>
      </c>
      <c r="E226" s="16" t="n"/>
      <c r="F226" s="16" t="n"/>
      <c r="G226" s="14" t="n"/>
      <c r="H226" s="14" t="n"/>
      <c r="I226" s="18" t="n"/>
    </row>
    <row r="227">
      <c r="A227" s="14" t="n"/>
      <c r="B227" s="15">
        <f>IFERROR(MID($A227,FIND("[",$A227)+1,FIND("]",$A227)-FIND("[",$A227)-1),"")</f>
        <v/>
      </c>
      <c r="C227" s="15">
        <f>IFERROR(INDEX(Personnes!$B$5:$B$153,MATCH($B227,Personnes!$A$5:$A$153,0))&amp;"","")</f>
        <v/>
      </c>
      <c r="D227" s="15">
        <f>IFERROR(INDEX(Personnes!$C$5:$C$153,MATCH($B227,Personnes!$A$5:$A$153,0))&amp;"","")</f>
        <v/>
      </c>
      <c r="E227" s="16" t="n"/>
      <c r="F227" s="16" t="n"/>
      <c r="G227" s="14" t="n"/>
      <c r="H227" s="14" t="n"/>
      <c r="I227" s="18" t="n"/>
    </row>
    <row r="228">
      <c r="A228" s="14" t="n"/>
      <c r="B228" s="15">
        <f>IFERROR(MID($A228,FIND("[",$A228)+1,FIND("]",$A228)-FIND("[",$A228)-1),"")</f>
        <v/>
      </c>
      <c r="C228" s="15">
        <f>IFERROR(INDEX(Personnes!$B$5:$B$153,MATCH($B228,Personnes!$A$5:$A$153,0))&amp;"","")</f>
        <v/>
      </c>
      <c r="D228" s="15">
        <f>IFERROR(INDEX(Personnes!$C$5:$C$153,MATCH($B228,Personnes!$A$5:$A$153,0))&amp;"","")</f>
        <v/>
      </c>
      <c r="E228" s="16" t="n"/>
      <c r="F228" s="16" t="n"/>
      <c r="G228" s="14" t="n"/>
      <c r="H228" s="14" t="n"/>
      <c r="I228" s="18" t="n"/>
    </row>
    <row r="229">
      <c r="A229" s="14" t="n"/>
      <c r="B229" s="15">
        <f>IFERROR(MID($A229,FIND("[",$A229)+1,FIND("]",$A229)-FIND("[",$A229)-1),"")</f>
        <v/>
      </c>
      <c r="C229" s="15">
        <f>IFERROR(INDEX(Personnes!$B$5:$B$153,MATCH($B229,Personnes!$A$5:$A$153,0))&amp;"","")</f>
        <v/>
      </c>
      <c r="D229" s="15">
        <f>IFERROR(INDEX(Personnes!$C$5:$C$153,MATCH($B229,Personnes!$A$5:$A$153,0))&amp;"","")</f>
        <v/>
      </c>
      <c r="E229" s="16" t="n"/>
      <c r="F229" s="16" t="n"/>
      <c r="G229" s="14" t="n"/>
      <c r="H229" s="14" t="n"/>
      <c r="I229" s="18" t="n"/>
    </row>
    <row r="230">
      <c r="A230" s="14" t="n"/>
      <c r="B230" s="15">
        <f>IFERROR(MID($A230,FIND("[",$A230)+1,FIND("]",$A230)-FIND("[",$A230)-1),"")</f>
        <v/>
      </c>
      <c r="C230" s="15">
        <f>IFERROR(INDEX(Personnes!$B$5:$B$153,MATCH($B230,Personnes!$A$5:$A$153,0))&amp;"","")</f>
        <v/>
      </c>
      <c r="D230" s="15">
        <f>IFERROR(INDEX(Personnes!$C$5:$C$153,MATCH($B230,Personnes!$A$5:$A$153,0))&amp;"","")</f>
        <v/>
      </c>
      <c r="E230" s="16" t="n"/>
      <c r="F230" s="16" t="n"/>
      <c r="G230" s="14" t="n"/>
      <c r="H230" s="14" t="n"/>
      <c r="I230" s="18" t="n"/>
    </row>
    <row r="231">
      <c r="A231" s="14" t="n"/>
      <c r="B231" s="15">
        <f>IFERROR(MID($A231,FIND("[",$A231)+1,FIND("]",$A231)-FIND("[",$A231)-1),"")</f>
        <v/>
      </c>
      <c r="C231" s="15">
        <f>IFERROR(INDEX(Personnes!$B$5:$B$153,MATCH($B231,Personnes!$A$5:$A$153,0))&amp;"","")</f>
        <v/>
      </c>
      <c r="D231" s="15">
        <f>IFERROR(INDEX(Personnes!$C$5:$C$153,MATCH($B231,Personnes!$A$5:$A$153,0))&amp;"","")</f>
        <v/>
      </c>
      <c r="E231" s="16" t="n"/>
      <c r="F231" s="16" t="n"/>
      <c r="G231" s="14" t="n"/>
      <c r="H231" s="14" t="n"/>
      <c r="I231" s="18" t="n"/>
    </row>
    <row r="232">
      <c r="A232" s="14" t="n"/>
      <c r="B232" s="15">
        <f>IFERROR(MID($A232,FIND("[",$A232)+1,FIND("]",$A232)-FIND("[",$A232)-1),"")</f>
        <v/>
      </c>
      <c r="C232" s="15">
        <f>IFERROR(INDEX(Personnes!$B$5:$B$153,MATCH($B232,Personnes!$A$5:$A$153,0))&amp;"","")</f>
        <v/>
      </c>
      <c r="D232" s="15">
        <f>IFERROR(INDEX(Personnes!$C$5:$C$153,MATCH($B232,Personnes!$A$5:$A$153,0))&amp;"","")</f>
        <v/>
      </c>
      <c r="E232" s="16" t="n"/>
      <c r="F232" s="16" t="n"/>
      <c r="G232" s="14" t="n"/>
      <c r="H232" s="14" t="n"/>
      <c r="I232" s="18" t="n"/>
    </row>
    <row r="233">
      <c r="A233" s="14" t="n"/>
      <c r="B233" s="15">
        <f>IFERROR(MID($A233,FIND("[",$A233)+1,FIND("]",$A233)-FIND("[",$A233)-1),"")</f>
        <v/>
      </c>
      <c r="C233" s="15">
        <f>IFERROR(INDEX(Personnes!$B$5:$B$153,MATCH($B233,Personnes!$A$5:$A$153,0))&amp;"","")</f>
        <v/>
      </c>
      <c r="D233" s="15">
        <f>IFERROR(INDEX(Personnes!$C$5:$C$153,MATCH($B233,Personnes!$A$5:$A$153,0))&amp;"","")</f>
        <v/>
      </c>
      <c r="E233" s="16" t="n"/>
      <c r="F233" s="16" t="n"/>
      <c r="G233" s="14" t="n"/>
      <c r="H233" s="14" t="n"/>
      <c r="I233" s="18" t="n"/>
    </row>
    <row r="234">
      <c r="A234" s="14" t="n"/>
      <c r="B234" s="15">
        <f>IFERROR(MID($A234,FIND("[",$A234)+1,FIND("]",$A234)-FIND("[",$A234)-1),"")</f>
        <v/>
      </c>
      <c r="C234" s="15">
        <f>IFERROR(INDEX(Personnes!$B$5:$B$153,MATCH($B234,Personnes!$A$5:$A$153,0))&amp;"","")</f>
        <v/>
      </c>
      <c r="D234" s="15">
        <f>IFERROR(INDEX(Personnes!$C$5:$C$153,MATCH($B234,Personnes!$A$5:$A$153,0))&amp;"","")</f>
        <v/>
      </c>
      <c r="E234" s="16" t="n"/>
      <c r="F234" s="16" t="n"/>
      <c r="G234" s="14" t="n"/>
      <c r="H234" s="14" t="n"/>
      <c r="I234" s="18" t="n"/>
    </row>
    <row r="235">
      <c r="A235" s="14" t="n"/>
      <c r="B235" s="15">
        <f>IFERROR(MID($A235,FIND("[",$A235)+1,FIND("]",$A235)-FIND("[",$A235)-1),"")</f>
        <v/>
      </c>
      <c r="C235" s="15">
        <f>IFERROR(INDEX(Personnes!$B$5:$B$153,MATCH($B235,Personnes!$A$5:$A$153,0))&amp;"","")</f>
        <v/>
      </c>
      <c r="D235" s="15">
        <f>IFERROR(INDEX(Personnes!$C$5:$C$153,MATCH($B235,Personnes!$A$5:$A$153,0))&amp;"","")</f>
        <v/>
      </c>
      <c r="E235" s="16" t="n"/>
      <c r="F235" s="16" t="n"/>
      <c r="G235" s="14" t="n"/>
      <c r="H235" s="14" t="n"/>
      <c r="I235" s="18" t="n"/>
    </row>
    <row r="236">
      <c r="A236" s="14" t="n"/>
      <c r="B236" s="15">
        <f>IFERROR(MID($A236,FIND("[",$A236)+1,FIND("]",$A236)-FIND("[",$A236)-1),"")</f>
        <v/>
      </c>
      <c r="C236" s="15">
        <f>IFERROR(INDEX(Personnes!$B$5:$B$153,MATCH($B236,Personnes!$A$5:$A$153,0))&amp;"","")</f>
        <v/>
      </c>
      <c r="D236" s="15">
        <f>IFERROR(INDEX(Personnes!$C$5:$C$153,MATCH($B236,Personnes!$A$5:$A$153,0))&amp;"","")</f>
        <v/>
      </c>
      <c r="E236" s="16" t="n"/>
      <c r="F236" s="16" t="n"/>
      <c r="G236" s="14" t="n"/>
      <c r="H236" s="14" t="n"/>
      <c r="I236" s="18" t="n"/>
    </row>
    <row r="237">
      <c r="A237" s="14" t="n"/>
      <c r="B237" s="15">
        <f>IFERROR(MID($A237,FIND("[",$A237)+1,FIND("]",$A237)-FIND("[",$A237)-1),"")</f>
        <v/>
      </c>
      <c r="C237" s="15">
        <f>IFERROR(INDEX(Personnes!$B$5:$B$153,MATCH($B237,Personnes!$A$5:$A$153,0))&amp;"","")</f>
        <v/>
      </c>
      <c r="D237" s="15">
        <f>IFERROR(INDEX(Personnes!$C$5:$C$153,MATCH($B237,Personnes!$A$5:$A$153,0))&amp;"","")</f>
        <v/>
      </c>
      <c r="E237" s="16" t="n"/>
      <c r="F237" s="16" t="n"/>
      <c r="G237" s="14" t="n"/>
      <c r="H237" s="14" t="n"/>
      <c r="I237" s="18" t="n"/>
    </row>
    <row r="238">
      <c r="A238" s="14" t="n"/>
      <c r="B238" s="15">
        <f>IFERROR(MID($A238,FIND("[",$A238)+1,FIND("]",$A238)-FIND("[",$A238)-1),"")</f>
        <v/>
      </c>
      <c r="C238" s="15">
        <f>IFERROR(INDEX(Personnes!$B$5:$B$153,MATCH($B238,Personnes!$A$5:$A$153,0))&amp;"","")</f>
        <v/>
      </c>
      <c r="D238" s="15">
        <f>IFERROR(INDEX(Personnes!$C$5:$C$153,MATCH($B238,Personnes!$A$5:$A$153,0))&amp;"","")</f>
        <v/>
      </c>
      <c r="E238" s="16" t="n"/>
      <c r="F238" s="16" t="n"/>
      <c r="G238" s="14" t="n"/>
      <c r="H238" s="14" t="n"/>
      <c r="I238" s="18" t="n"/>
    </row>
    <row r="239">
      <c r="A239" s="14" t="n"/>
      <c r="B239" s="15">
        <f>IFERROR(MID($A239,FIND("[",$A239)+1,FIND("]",$A239)-FIND("[",$A239)-1),"")</f>
        <v/>
      </c>
      <c r="C239" s="15">
        <f>IFERROR(INDEX(Personnes!$B$5:$B$153,MATCH($B239,Personnes!$A$5:$A$153,0))&amp;"","")</f>
        <v/>
      </c>
      <c r="D239" s="15">
        <f>IFERROR(INDEX(Personnes!$C$5:$C$153,MATCH($B239,Personnes!$A$5:$A$153,0))&amp;"","")</f>
        <v/>
      </c>
      <c r="E239" s="16" t="n"/>
      <c r="F239" s="16" t="n"/>
      <c r="G239" s="14" t="n"/>
      <c r="H239" s="14" t="n"/>
      <c r="I239" s="18" t="n"/>
    </row>
    <row r="240">
      <c r="A240" s="14" t="n"/>
      <c r="B240" s="15">
        <f>IFERROR(MID($A240,FIND("[",$A240)+1,FIND("]",$A240)-FIND("[",$A240)-1),"")</f>
        <v/>
      </c>
      <c r="C240" s="15">
        <f>IFERROR(INDEX(Personnes!$B$5:$B$153,MATCH($B240,Personnes!$A$5:$A$153,0))&amp;"","")</f>
        <v/>
      </c>
      <c r="D240" s="15">
        <f>IFERROR(INDEX(Personnes!$C$5:$C$153,MATCH($B240,Personnes!$A$5:$A$153,0))&amp;"","")</f>
        <v/>
      </c>
      <c r="E240" s="16" t="n"/>
      <c r="F240" s="16" t="n"/>
      <c r="G240" s="14" t="n"/>
      <c r="H240" s="14" t="n"/>
      <c r="I240" s="18" t="n"/>
    </row>
    <row r="241">
      <c r="A241" s="14" t="n"/>
      <c r="B241" s="15">
        <f>IFERROR(MID($A241,FIND("[",$A241)+1,FIND("]",$A241)-FIND("[",$A241)-1),"")</f>
        <v/>
      </c>
      <c r="C241" s="15">
        <f>IFERROR(INDEX(Personnes!$B$5:$B$153,MATCH($B241,Personnes!$A$5:$A$153,0))&amp;"","")</f>
        <v/>
      </c>
      <c r="D241" s="15">
        <f>IFERROR(INDEX(Personnes!$C$5:$C$153,MATCH($B241,Personnes!$A$5:$A$153,0))&amp;"","")</f>
        <v/>
      </c>
      <c r="E241" s="16" t="n"/>
      <c r="F241" s="16" t="n"/>
      <c r="G241" s="14" t="n"/>
      <c r="H241" s="14" t="n"/>
      <c r="I241" s="18" t="n"/>
    </row>
    <row r="242">
      <c r="A242" s="14" t="n"/>
      <c r="B242" s="15">
        <f>IFERROR(MID($A242,FIND("[",$A242)+1,FIND("]",$A242)-FIND("[",$A242)-1),"")</f>
        <v/>
      </c>
      <c r="C242" s="15">
        <f>IFERROR(INDEX(Personnes!$B$5:$B$153,MATCH($B242,Personnes!$A$5:$A$153,0))&amp;"","")</f>
        <v/>
      </c>
      <c r="D242" s="15">
        <f>IFERROR(INDEX(Personnes!$C$5:$C$153,MATCH($B242,Personnes!$A$5:$A$153,0))&amp;"","")</f>
        <v/>
      </c>
      <c r="E242" s="16" t="n"/>
      <c r="F242" s="16" t="n"/>
      <c r="G242" s="14" t="n"/>
      <c r="H242" s="14" t="n"/>
      <c r="I242" s="18" t="n"/>
    </row>
    <row r="243">
      <c r="A243" s="14" t="n"/>
      <c r="B243" s="15">
        <f>IFERROR(MID($A243,FIND("[",$A243)+1,FIND("]",$A243)-FIND("[",$A243)-1),"")</f>
        <v/>
      </c>
      <c r="C243" s="15">
        <f>IFERROR(INDEX(Personnes!$B$5:$B$153,MATCH($B243,Personnes!$A$5:$A$153,0))&amp;"","")</f>
        <v/>
      </c>
      <c r="D243" s="15">
        <f>IFERROR(INDEX(Personnes!$C$5:$C$153,MATCH($B243,Personnes!$A$5:$A$153,0))&amp;"","")</f>
        <v/>
      </c>
      <c r="E243" s="16" t="n"/>
      <c r="F243" s="16" t="n"/>
      <c r="G243" s="14" t="n"/>
      <c r="H243" s="14" t="n"/>
      <c r="I243" s="18" t="n"/>
    </row>
    <row r="244">
      <c r="A244" s="14" t="n"/>
      <c r="B244" s="15">
        <f>IFERROR(MID($A244,FIND("[",$A244)+1,FIND("]",$A244)-FIND("[",$A244)-1),"")</f>
        <v/>
      </c>
      <c r="C244" s="15">
        <f>IFERROR(INDEX(Personnes!$B$5:$B$153,MATCH($B244,Personnes!$A$5:$A$153,0))&amp;"","")</f>
        <v/>
      </c>
      <c r="D244" s="15">
        <f>IFERROR(INDEX(Personnes!$C$5:$C$153,MATCH($B244,Personnes!$A$5:$A$153,0))&amp;"","")</f>
        <v/>
      </c>
      <c r="E244" s="16" t="n"/>
      <c r="F244" s="16" t="n"/>
      <c r="G244" s="14" t="n"/>
      <c r="H244" s="14" t="n"/>
      <c r="I244" s="18" t="n"/>
    </row>
    <row r="245">
      <c r="A245" s="14" t="n"/>
      <c r="B245" s="15">
        <f>IFERROR(MID($A245,FIND("[",$A245)+1,FIND("]",$A245)-FIND("[",$A245)-1),"")</f>
        <v/>
      </c>
      <c r="C245" s="15">
        <f>IFERROR(INDEX(Personnes!$B$5:$B$153,MATCH($B245,Personnes!$A$5:$A$153,0))&amp;"","")</f>
        <v/>
      </c>
      <c r="D245" s="15">
        <f>IFERROR(INDEX(Personnes!$C$5:$C$153,MATCH($B245,Personnes!$A$5:$A$153,0))&amp;"","")</f>
        <v/>
      </c>
      <c r="E245" s="16" t="n"/>
      <c r="F245" s="16" t="n"/>
      <c r="G245" s="14" t="n"/>
      <c r="H245" s="14" t="n"/>
      <c r="I245" s="18" t="n"/>
    </row>
    <row r="246">
      <c r="A246" s="14" t="n"/>
      <c r="B246" s="15">
        <f>IFERROR(MID($A246,FIND("[",$A246)+1,FIND("]",$A246)-FIND("[",$A246)-1),"")</f>
        <v/>
      </c>
      <c r="C246" s="15">
        <f>IFERROR(INDEX(Personnes!$B$5:$B$153,MATCH($B246,Personnes!$A$5:$A$153,0))&amp;"","")</f>
        <v/>
      </c>
      <c r="D246" s="15">
        <f>IFERROR(INDEX(Personnes!$C$5:$C$153,MATCH($B246,Personnes!$A$5:$A$153,0))&amp;"","")</f>
        <v/>
      </c>
      <c r="E246" s="16" t="n"/>
      <c r="F246" s="16" t="n"/>
      <c r="G246" s="14" t="n"/>
      <c r="H246" s="14" t="n"/>
      <c r="I246" s="18" t="n"/>
    </row>
    <row r="247">
      <c r="A247" s="14" t="n"/>
      <c r="B247" s="15">
        <f>IFERROR(MID($A247,FIND("[",$A247)+1,FIND("]",$A247)-FIND("[",$A247)-1),"")</f>
        <v/>
      </c>
      <c r="C247" s="15">
        <f>IFERROR(INDEX(Personnes!$B$5:$B$153,MATCH($B247,Personnes!$A$5:$A$153,0))&amp;"","")</f>
        <v/>
      </c>
      <c r="D247" s="15">
        <f>IFERROR(INDEX(Personnes!$C$5:$C$153,MATCH($B247,Personnes!$A$5:$A$153,0))&amp;"","")</f>
        <v/>
      </c>
      <c r="E247" s="16" t="n"/>
      <c r="F247" s="16" t="n"/>
      <c r="G247" s="14" t="n"/>
      <c r="H247" s="14" t="n"/>
      <c r="I247" s="18" t="n"/>
    </row>
    <row r="248">
      <c r="A248" s="14" t="n"/>
      <c r="B248" s="15">
        <f>IFERROR(MID($A248,FIND("[",$A248)+1,FIND("]",$A248)-FIND("[",$A248)-1),"")</f>
        <v/>
      </c>
      <c r="C248" s="15">
        <f>IFERROR(INDEX(Personnes!$B$5:$B$153,MATCH($B248,Personnes!$A$5:$A$153,0))&amp;"","")</f>
        <v/>
      </c>
      <c r="D248" s="15">
        <f>IFERROR(INDEX(Personnes!$C$5:$C$153,MATCH($B248,Personnes!$A$5:$A$153,0))&amp;"","")</f>
        <v/>
      </c>
      <c r="E248" s="16" t="n"/>
      <c r="F248" s="16" t="n"/>
      <c r="G248" s="14" t="n"/>
      <c r="H248" s="14" t="n"/>
      <c r="I248" s="18" t="n"/>
    </row>
    <row r="249">
      <c r="A249" s="14" t="n"/>
      <c r="B249" s="15">
        <f>IFERROR(MID($A249,FIND("[",$A249)+1,FIND("]",$A249)-FIND("[",$A249)-1),"")</f>
        <v/>
      </c>
      <c r="C249" s="15">
        <f>IFERROR(INDEX(Personnes!$B$5:$B$153,MATCH($B249,Personnes!$A$5:$A$153,0))&amp;"","")</f>
        <v/>
      </c>
      <c r="D249" s="15">
        <f>IFERROR(INDEX(Personnes!$C$5:$C$153,MATCH($B249,Personnes!$A$5:$A$153,0))&amp;"","")</f>
        <v/>
      </c>
      <c r="E249" s="16" t="n"/>
      <c r="F249" s="16" t="n"/>
      <c r="G249" s="14" t="n"/>
      <c r="H249" s="14" t="n"/>
      <c r="I249" s="18" t="n"/>
    </row>
    <row r="250">
      <c r="A250" s="14" t="n"/>
      <c r="B250" s="15">
        <f>IFERROR(MID($A250,FIND("[",$A250)+1,FIND("]",$A250)-FIND("[",$A250)-1),"")</f>
        <v/>
      </c>
      <c r="C250" s="15">
        <f>IFERROR(INDEX(Personnes!$B$5:$B$153,MATCH($B250,Personnes!$A$5:$A$153,0))&amp;"","")</f>
        <v/>
      </c>
      <c r="D250" s="15">
        <f>IFERROR(INDEX(Personnes!$C$5:$C$153,MATCH($B250,Personnes!$A$5:$A$153,0))&amp;"","")</f>
        <v/>
      </c>
      <c r="E250" s="16" t="n"/>
      <c r="F250" s="16" t="n"/>
      <c r="G250" s="14" t="n"/>
      <c r="H250" s="14" t="n"/>
      <c r="I250" s="18" t="n"/>
    </row>
    <row r="251">
      <c r="A251" s="14" t="n"/>
      <c r="B251" s="15">
        <f>IFERROR(MID($A251,FIND("[",$A251)+1,FIND("]",$A251)-FIND("[",$A251)-1),"")</f>
        <v/>
      </c>
      <c r="C251" s="15">
        <f>IFERROR(INDEX(Personnes!$B$5:$B$153,MATCH($B251,Personnes!$A$5:$A$153,0))&amp;"","")</f>
        <v/>
      </c>
      <c r="D251" s="15">
        <f>IFERROR(INDEX(Personnes!$C$5:$C$153,MATCH($B251,Personnes!$A$5:$A$153,0))&amp;"","")</f>
        <v/>
      </c>
      <c r="E251" s="16" t="n"/>
      <c r="F251" s="16" t="n"/>
      <c r="G251" s="14" t="n"/>
      <c r="H251" s="14" t="n"/>
      <c r="I251" s="18" t="n"/>
    </row>
    <row r="252">
      <c r="A252" s="14" t="n"/>
      <c r="B252" s="15">
        <f>IFERROR(MID($A252,FIND("[",$A252)+1,FIND("]",$A252)-FIND("[",$A252)-1),"")</f>
        <v/>
      </c>
      <c r="C252" s="15">
        <f>IFERROR(INDEX(Personnes!$B$5:$B$153,MATCH($B252,Personnes!$A$5:$A$153,0))&amp;"","")</f>
        <v/>
      </c>
      <c r="D252" s="15">
        <f>IFERROR(INDEX(Personnes!$C$5:$C$153,MATCH($B252,Personnes!$A$5:$A$153,0))&amp;"","")</f>
        <v/>
      </c>
      <c r="E252" s="16" t="n"/>
      <c r="F252" s="16" t="n"/>
      <c r="G252" s="14" t="n"/>
      <c r="H252" s="14" t="n"/>
      <c r="I252" s="18" t="n"/>
    </row>
    <row r="253">
      <c r="A253" s="14" t="n"/>
      <c r="B253" s="15">
        <f>IFERROR(MID($A253,FIND("[",$A253)+1,FIND("]",$A253)-FIND("[",$A253)-1),"")</f>
        <v/>
      </c>
      <c r="C253" s="15">
        <f>IFERROR(INDEX(Personnes!$B$5:$B$153,MATCH($B253,Personnes!$A$5:$A$153,0))&amp;"","")</f>
        <v/>
      </c>
      <c r="D253" s="15">
        <f>IFERROR(INDEX(Personnes!$C$5:$C$153,MATCH($B253,Personnes!$A$5:$A$153,0))&amp;"","")</f>
        <v/>
      </c>
      <c r="E253" s="16" t="n"/>
      <c r="F253" s="16" t="n"/>
      <c r="G253" s="14" t="n"/>
      <c r="H253" s="14" t="n"/>
      <c r="I253" s="18" t="n"/>
    </row>
    <row r="254">
      <c r="A254" s="14" t="n"/>
      <c r="B254" s="15">
        <f>IFERROR(MID($A254,FIND("[",$A254)+1,FIND("]",$A254)-FIND("[",$A254)-1),"")</f>
        <v/>
      </c>
      <c r="C254" s="15">
        <f>IFERROR(INDEX(Personnes!$B$5:$B$153,MATCH($B254,Personnes!$A$5:$A$153,0))&amp;"","")</f>
        <v/>
      </c>
      <c r="D254" s="15">
        <f>IFERROR(INDEX(Personnes!$C$5:$C$153,MATCH($B254,Personnes!$A$5:$A$153,0))&amp;"","")</f>
        <v/>
      </c>
      <c r="E254" s="16" t="n"/>
      <c r="F254" s="16" t="n"/>
      <c r="G254" s="14" t="n"/>
      <c r="H254" s="14" t="n"/>
      <c r="I254" s="18" t="n"/>
    </row>
    <row r="255">
      <c r="A255" s="14" t="n"/>
      <c r="B255" s="15">
        <f>IFERROR(MID($A255,FIND("[",$A255)+1,FIND("]",$A255)-FIND("[",$A255)-1),"")</f>
        <v/>
      </c>
      <c r="C255" s="15">
        <f>IFERROR(INDEX(Personnes!$B$5:$B$153,MATCH($B255,Personnes!$A$5:$A$153,0))&amp;"","")</f>
        <v/>
      </c>
      <c r="D255" s="15">
        <f>IFERROR(INDEX(Personnes!$C$5:$C$153,MATCH($B255,Personnes!$A$5:$A$153,0))&amp;"","")</f>
        <v/>
      </c>
      <c r="E255" s="16" t="n"/>
      <c r="F255" s="16" t="n"/>
      <c r="G255" s="14" t="n"/>
      <c r="H255" s="14" t="n"/>
      <c r="I255" s="18" t="n"/>
    </row>
    <row r="256">
      <c r="A256" s="14" t="n"/>
      <c r="B256" s="15">
        <f>IFERROR(MID($A256,FIND("[",$A256)+1,FIND("]",$A256)-FIND("[",$A256)-1),"")</f>
        <v/>
      </c>
      <c r="C256" s="15">
        <f>IFERROR(INDEX(Personnes!$B$5:$B$153,MATCH($B256,Personnes!$A$5:$A$153,0))&amp;"","")</f>
        <v/>
      </c>
      <c r="D256" s="15">
        <f>IFERROR(INDEX(Personnes!$C$5:$C$153,MATCH($B256,Personnes!$A$5:$A$153,0))&amp;"","")</f>
        <v/>
      </c>
      <c r="E256" s="16" t="n"/>
      <c r="F256" s="16" t="n"/>
      <c r="G256" s="14" t="n"/>
      <c r="H256" s="14" t="n"/>
      <c r="I256" s="18" t="n"/>
    </row>
    <row r="257">
      <c r="A257" s="14" t="n"/>
      <c r="B257" s="15">
        <f>IFERROR(MID($A257,FIND("[",$A257)+1,FIND("]",$A257)-FIND("[",$A257)-1),"")</f>
        <v/>
      </c>
      <c r="C257" s="15">
        <f>IFERROR(INDEX(Personnes!$B$5:$B$153,MATCH($B257,Personnes!$A$5:$A$153,0))&amp;"","")</f>
        <v/>
      </c>
      <c r="D257" s="15">
        <f>IFERROR(INDEX(Personnes!$C$5:$C$153,MATCH($B257,Personnes!$A$5:$A$153,0))&amp;"","")</f>
        <v/>
      </c>
      <c r="E257" s="16" t="n"/>
      <c r="F257" s="16" t="n"/>
      <c r="G257" s="14" t="n"/>
      <c r="H257" s="14" t="n"/>
      <c r="I257" s="18" t="n"/>
    </row>
    <row r="258">
      <c r="A258" s="14" t="n"/>
      <c r="B258" s="15">
        <f>IFERROR(MID($A258,FIND("[",$A258)+1,FIND("]",$A258)-FIND("[",$A258)-1),"")</f>
        <v/>
      </c>
      <c r="C258" s="15">
        <f>IFERROR(INDEX(Personnes!$B$5:$B$153,MATCH($B258,Personnes!$A$5:$A$153,0))&amp;"","")</f>
        <v/>
      </c>
      <c r="D258" s="15">
        <f>IFERROR(INDEX(Personnes!$C$5:$C$153,MATCH($B258,Personnes!$A$5:$A$153,0))&amp;"","")</f>
        <v/>
      </c>
      <c r="E258" s="16" t="n"/>
      <c r="F258" s="16" t="n"/>
      <c r="G258" s="14" t="n"/>
      <c r="H258" s="14" t="n"/>
      <c r="I258" s="18" t="n"/>
    </row>
    <row r="259">
      <c r="A259" s="14" t="n"/>
      <c r="B259" s="15">
        <f>IFERROR(MID($A259,FIND("[",$A259)+1,FIND("]",$A259)-FIND("[",$A259)-1),"")</f>
        <v/>
      </c>
      <c r="C259" s="15">
        <f>IFERROR(INDEX(Personnes!$B$5:$B$153,MATCH($B259,Personnes!$A$5:$A$153,0))&amp;"","")</f>
        <v/>
      </c>
      <c r="D259" s="15">
        <f>IFERROR(INDEX(Personnes!$C$5:$C$153,MATCH($B259,Personnes!$A$5:$A$153,0))&amp;"","")</f>
        <v/>
      </c>
      <c r="E259" s="16" t="n"/>
      <c r="F259" s="16" t="n"/>
      <c r="G259" s="14" t="n"/>
      <c r="H259" s="14" t="n"/>
      <c r="I259" s="18" t="n"/>
    </row>
    <row r="260">
      <c r="A260" s="14" t="n"/>
      <c r="B260" s="15">
        <f>IFERROR(MID($A260,FIND("[",$A260)+1,FIND("]",$A260)-FIND("[",$A260)-1),"")</f>
        <v/>
      </c>
      <c r="C260" s="15">
        <f>IFERROR(INDEX(Personnes!$B$5:$B$153,MATCH($B260,Personnes!$A$5:$A$153,0))&amp;"","")</f>
        <v/>
      </c>
      <c r="D260" s="15">
        <f>IFERROR(INDEX(Personnes!$C$5:$C$153,MATCH($B260,Personnes!$A$5:$A$153,0))&amp;"","")</f>
        <v/>
      </c>
      <c r="E260" s="16" t="n"/>
      <c r="F260" s="16" t="n"/>
      <c r="G260" s="14" t="n"/>
      <c r="H260" s="14" t="n"/>
      <c r="I260" s="18" t="n"/>
    </row>
    <row r="261">
      <c r="A261" s="14" t="n"/>
      <c r="B261" s="15">
        <f>IFERROR(MID($A261,FIND("[",$A261)+1,FIND("]",$A261)-FIND("[",$A261)-1),"")</f>
        <v/>
      </c>
      <c r="C261" s="15">
        <f>IFERROR(INDEX(Personnes!$B$5:$B$153,MATCH($B261,Personnes!$A$5:$A$153,0))&amp;"","")</f>
        <v/>
      </c>
      <c r="D261" s="15">
        <f>IFERROR(INDEX(Personnes!$C$5:$C$153,MATCH($B261,Personnes!$A$5:$A$153,0))&amp;"","")</f>
        <v/>
      </c>
      <c r="E261" s="16" t="n"/>
      <c r="F261" s="16" t="n"/>
      <c r="G261" s="14" t="n"/>
      <c r="H261" s="14" t="n"/>
      <c r="I261" s="18" t="n"/>
    </row>
    <row r="262">
      <c r="A262" s="14" t="n"/>
      <c r="B262" s="15">
        <f>IFERROR(MID($A262,FIND("[",$A262)+1,FIND("]",$A262)-FIND("[",$A262)-1),"")</f>
        <v/>
      </c>
      <c r="C262" s="15">
        <f>IFERROR(INDEX(Personnes!$B$5:$B$153,MATCH($B262,Personnes!$A$5:$A$153,0))&amp;"","")</f>
        <v/>
      </c>
      <c r="D262" s="15">
        <f>IFERROR(INDEX(Personnes!$C$5:$C$153,MATCH($B262,Personnes!$A$5:$A$153,0))&amp;"","")</f>
        <v/>
      </c>
      <c r="E262" s="16" t="n"/>
      <c r="F262" s="16" t="n"/>
      <c r="G262" s="14" t="n"/>
      <c r="H262" s="14" t="n"/>
      <c r="I262" s="18" t="n"/>
    </row>
    <row r="263">
      <c r="A263" s="14" t="n"/>
      <c r="B263" s="15">
        <f>IFERROR(MID($A263,FIND("[",$A263)+1,FIND("]",$A263)-FIND("[",$A263)-1),"")</f>
        <v/>
      </c>
      <c r="C263" s="15">
        <f>IFERROR(INDEX(Personnes!$B$5:$B$153,MATCH($B263,Personnes!$A$5:$A$153,0))&amp;"","")</f>
        <v/>
      </c>
      <c r="D263" s="15">
        <f>IFERROR(INDEX(Personnes!$C$5:$C$153,MATCH($B263,Personnes!$A$5:$A$153,0))&amp;"","")</f>
        <v/>
      </c>
      <c r="E263" s="16" t="n"/>
      <c r="F263" s="16" t="n"/>
      <c r="G263" s="14" t="n"/>
      <c r="H263" s="14" t="n"/>
      <c r="I263" s="18" t="n"/>
    </row>
    <row r="264">
      <c r="A264" s="14" t="n"/>
      <c r="B264" s="15">
        <f>IFERROR(MID($A264,FIND("[",$A264)+1,FIND("]",$A264)-FIND("[",$A264)-1),"")</f>
        <v/>
      </c>
      <c r="C264" s="15">
        <f>IFERROR(INDEX(Personnes!$B$5:$B$153,MATCH($B264,Personnes!$A$5:$A$153,0))&amp;"","")</f>
        <v/>
      </c>
      <c r="D264" s="15">
        <f>IFERROR(INDEX(Personnes!$C$5:$C$153,MATCH($B264,Personnes!$A$5:$A$153,0))&amp;"","")</f>
        <v/>
      </c>
      <c r="E264" s="16" t="n"/>
      <c r="F264" s="16" t="n"/>
      <c r="G264" s="14" t="n"/>
      <c r="H264" s="14" t="n"/>
      <c r="I264" s="18" t="n"/>
    </row>
    <row r="265">
      <c r="A265" s="14" t="n"/>
      <c r="B265" s="15">
        <f>IFERROR(MID($A265,FIND("[",$A265)+1,FIND("]",$A265)-FIND("[",$A265)-1),"")</f>
        <v/>
      </c>
      <c r="C265" s="15">
        <f>IFERROR(INDEX(Personnes!$B$5:$B$153,MATCH($B265,Personnes!$A$5:$A$153,0))&amp;"","")</f>
        <v/>
      </c>
      <c r="D265" s="15">
        <f>IFERROR(INDEX(Personnes!$C$5:$C$153,MATCH($B265,Personnes!$A$5:$A$153,0))&amp;"","")</f>
        <v/>
      </c>
      <c r="E265" s="16" t="n"/>
      <c r="F265" s="16" t="n"/>
      <c r="G265" s="14" t="n"/>
      <c r="H265" s="14" t="n"/>
      <c r="I265" s="18" t="n"/>
    </row>
    <row r="266">
      <c r="A266" s="14" t="n"/>
      <c r="B266" s="15">
        <f>IFERROR(MID($A266,FIND("[",$A266)+1,FIND("]",$A266)-FIND("[",$A266)-1),"")</f>
        <v/>
      </c>
      <c r="C266" s="15">
        <f>IFERROR(INDEX(Personnes!$B$5:$B$153,MATCH($B266,Personnes!$A$5:$A$153,0))&amp;"","")</f>
        <v/>
      </c>
      <c r="D266" s="15">
        <f>IFERROR(INDEX(Personnes!$C$5:$C$153,MATCH($B266,Personnes!$A$5:$A$153,0))&amp;"","")</f>
        <v/>
      </c>
      <c r="E266" s="16" t="n"/>
      <c r="F266" s="16" t="n"/>
      <c r="G266" s="14" t="n"/>
      <c r="H266" s="14" t="n"/>
      <c r="I266" s="18" t="n"/>
    </row>
    <row r="267">
      <c r="A267" s="14" t="n"/>
      <c r="B267" s="15">
        <f>IFERROR(MID($A267,FIND("[",$A267)+1,FIND("]",$A267)-FIND("[",$A267)-1),"")</f>
        <v/>
      </c>
      <c r="C267" s="15">
        <f>IFERROR(INDEX(Personnes!$B$5:$B$153,MATCH($B267,Personnes!$A$5:$A$153,0))&amp;"","")</f>
        <v/>
      </c>
      <c r="D267" s="15">
        <f>IFERROR(INDEX(Personnes!$C$5:$C$153,MATCH($B267,Personnes!$A$5:$A$153,0))&amp;"","")</f>
        <v/>
      </c>
      <c r="E267" s="16" t="n"/>
      <c r="F267" s="16" t="n"/>
      <c r="G267" s="14" t="n"/>
      <c r="H267" s="14" t="n"/>
      <c r="I267" s="18" t="n"/>
    </row>
    <row r="268">
      <c r="A268" s="14" t="n"/>
      <c r="B268" s="15">
        <f>IFERROR(MID($A268,FIND("[",$A268)+1,FIND("]",$A268)-FIND("[",$A268)-1),"")</f>
        <v/>
      </c>
      <c r="C268" s="15">
        <f>IFERROR(INDEX(Personnes!$B$5:$B$153,MATCH($B268,Personnes!$A$5:$A$153,0))&amp;"","")</f>
        <v/>
      </c>
      <c r="D268" s="15">
        <f>IFERROR(INDEX(Personnes!$C$5:$C$153,MATCH($B268,Personnes!$A$5:$A$153,0))&amp;"","")</f>
        <v/>
      </c>
      <c r="E268" s="16" t="n"/>
      <c r="F268" s="16" t="n"/>
      <c r="G268" s="14" t="n"/>
      <c r="H268" s="14" t="n"/>
      <c r="I268" s="18" t="n"/>
    </row>
    <row r="269">
      <c r="A269" s="14" t="n"/>
      <c r="B269" s="15">
        <f>IFERROR(MID($A269,FIND("[",$A269)+1,FIND("]",$A269)-FIND("[",$A269)-1),"")</f>
        <v/>
      </c>
      <c r="C269" s="15">
        <f>IFERROR(INDEX(Personnes!$B$5:$B$153,MATCH($B269,Personnes!$A$5:$A$153,0))&amp;"","")</f>
        <v/>
      </c>
      <c r="D269" s="15">
        <f>IFERROR(INDEX(Personnes!$C$5:$C$153,MATCH($B269,Personnes!$A$5:$A$153,0))&amp;"","")</f>
        <v/>
      </c>
      <c r="E269" s="16" t="n"/>
      <c r="F269" s="16" t="n"/>
      <c r="G269" s="14" t="n"/>
      <c r="H269" s="14" t="n"/>
      <c r="I269" s="18" t="n"/>
    </row>
    <row r="270">
      <c r="A270" s="14" t="n"/>
      <c r="B270" s="15">
        <f>IFERROR(MID($A270,FIND("[",$A270)+1,FIND("]",$A270)-FIND("[",$A270)-1),"")</f>
        <v/>
      </c>
      <c r="C270" s="15">
        <f>IFERROR(INDEX(Personnes!$B$5:$B$153,MATCH($B270,Personnes!$A$5:$A$153,0))&amp;"","")</f>
        <v/>
      </c>
      <c r="D270" s="15">
        <f>IFERROR(INDEX(Personnes!$C$5:$C$153,MATCH($B270,Personnes!$A$5:$A$153,0))&amp;"","")</f>
        <v/>
      </c>
      <c r="E270" s="16" t="n"/>
      <c r="F270" s="16" t="n"/>
      <c r="G270" s="14" t="n"/>
      <c r="H270" s="14" t="n"/>
      <c r="I270" s="18" t="n"/>
    </row>
    <row r="271">
      <c r="A271" s="14" t="n"/>
      <c r="B271" s="15">
        <f>IFERROR(MID($A271,FIND("[",$A271)+1,FIND("]",$A271)-FIND("[",$A271)-1),"")</f>
        <v/>
      </c>
      <c r="C271" s="15">
        <f>IFERROR(INDEX(Personnes!$B$5:$B$153,MATCH($B271,Personnes!$A$5:$A$153,0))&amp;"","")</f>
        <v/>
      </c>
      <c r="D271" s="15">
        <f>IFERROR(INDEX(Personnes!$C$5:$C$153,MATCH($B271,Personnes!$A$5:$A$153,0))&amp;"","")</f>
        <v/>
      </c>
      <c r="E271" s="16" t="n"/>
      <c r="F271" s="16" t="n"/>
      <c r="G271" s="14" t="n"/>
      <c r="H271" s="14" t="n"/>
      <c r="I271" s="18" t="n"/>
    </row>
    <row r="272">
      <c r="A272" s="14" t="n"/>
      <c r="B272" s="15">
        <f>IFERROR(MID($A272,FIND("[",$A272)+1,FIND("]",$A272)-FIND("[",$A272)-1),"")</f>
        <v/>
      </c>
      <c r="C272" s="15">
        <f>IFERROR(INDEX(Personnes!$B$5:$B$153,MATCH($B272,Personnes!$A$5:$A$153,0))&amp;"","")</f>
        <v/>
      </c>
      <c r="D272" s="15">
        <f>IFERROR(INDEX(Personnes!$C$5:$C$153,MATCH($B272,Personnes!$A$5:$A$153,0))&amp;"","")</f>
        <v/>
      </c>
      <c r="E272" s="16" t="n"/>
      <c r="F272" s="16" t="n"/>
      <c r="G272" s="14" t="n"/>
      <c r="H272" s="14" t="n"/>
      <c r="I272" s="18" t="n"/>
    </row>
    <row r="273">
      <c r="A273" s="14" t="n"/>
      <c r="B273" s="15">
        <f>IFERROR(MID($A273,FIND("[",$A273)+1,FIND("]",$A273)-FIND("[",$A273)-1),"")</f>
        <v/>
      </c>
      <c r="C273" s="15">
        <f>IFERROR(INDEX(Personnes!$B$5:$B$153,MATCH($B273,Personnes!$A$5:$A$153,0))&amp;"","")</f>
        <v/>
      </c>
      <c r="D273" s="15">
        <f>IFERROR(INDEX(Personnes!$C$5:$C$153,MATCH($B273,Personnes!$A$5:$A$153,0))&amp;"","")</f>
        <v/>
      </c>
      <c r="E273" s="16" t="n"/>
      <c r="F273" s="16" t="n"/>
      <c r="G273" s="14" t="n"/>
      <c r="H273" s="14" t="n"/>
      <c r="I273" s="18" t="n"/>
    </row>
    <row r="274">
      <c r="A274" s="14" t="n"/>
      <c r="B274" s="15">
        <f>IFERROR(MID($A274,FIND("[",$A274)+1,FIND("]",$A274)-FIND("[",$A274)-1),"")</f>
        <v/>
      </c>
      <c r="C274" s="15">
        <f>IFERROR(INDEX(Personnes!$B$5:$B$153,MATCH($B274,Personnes!$A$5:$A$153,0))&amp;"","")</f>
        <v/>
      </c>
      <c r="D274" s="15">
        <f>IFERROR(INDEX(Personnes!$C$5:$C$153,MATCH($B274,Personnes!$A$5:$A$153,0))&amp;"","")</f>
        <v/>
      </c>
      <c r="E274" s="16" t="n"/>
      <c r="F274" s="16" t="n"/>
      <c r="G274" s="14" t="n"/>
      <c r="H274" s="14" t="n"/>
      <c r="I274" s="18" t="n"/>
    </row>
    <row r="275">
      <c r="A275" s="14" t="n"/>
      <c r="B275" s="15">
        <f>IFERROR(MID($A275,FIND("[",$A275)+1,FIND("]",$A275)-FIND("[",$A275)-1),"")</f>
        <v/>
      </c>
      <c r="C275" s="15">
        <f>IFERROR(INDEX(Personnes!$B$5:$B$153,MATCH($B275,Personnes!$A$5:$A$153,0))&amp;"","")</f>
        <v/>
      </c>
      <c r="D275" s="15">
        <f>IFERROR(INDEX(Personnes!$C$5:$C$153,MATCH($B275,Personnes!$A$5:$A$153,0))&amp;"","")</f>
        <v/>
      </c>
      <c r="E275" s="16" t="n"/>
      <c r="F275" s="16" t="n"/>
      <c r="G275" s="14" t="n"/>
      <c r="H275" s="14" t="n"/>
      <c r="I275" s="18" t="n"/>
    </row>
    <row r="276">
      <c r="A276" s="14" t="n"/>
      <c r="B276" s="15">
        <f>IFERROR(MID($A276,FIND("[",$A276)+1,FIND("]",$A276)-FIND("[",$A276)-1),"")</f>
        <v/>
      </c>
      <c r="C276" s="15">
        <f>IFERROR(INDEX(Personnes!$B$5:$B$153,MATCH($B276,Personnes!$A$5:$A$153,0))&amp;"","")</f>
        <v/>
      </c>
      <c r="D276" s="15">
        <f>IFERROR(INDEX(Personnes!$C$5:$C$153,MATCH($B276,Personnes!$A$5:$A$153,0))&amp;"","")</f>
        <v/>
      </c>
      <c r="E276" s="16" t="n"/>
      <c r="F276" s="16" t="n"/>
      <c r="G276" s="14" t="n"/>
      <c r="H276" s="14" t="n"/>
      <c r="I276" s="18" t="n"/>
    </row>
    <row r="277">
      <c r="A277" s="14" t="n"/>
      <c r="B277" s="15">
        <f>IFERROR(MID($A277,FIND("[",$A277)+1,FIND("]",$A277)-FIND("[",$A277)-1),"")</f>
        <v/>
      </c>
      <c r="C277" s="15">
        <f>IFERROR(INDEX(Personnes!$B$5:$B$153,MATCH($B277,Personnes!$A$5:$A$153,0))&amp;"","")</f>
        <v/>
      </c>
      <c r="D277" s="15">
        <f>IFERROR(INDEX(Personnes!$C$5:$C$153,MATCH($B277,Personnes!$A$5:$A$153,0))&amp;"","")</f>
        <v/>
      </c>
      <c r="E277" s="16" t="n"/>
      <c r="F277" s="16" t="n"/>
      <c r="G277" s="14" t="n"/>
      <c r="H277" s="14" t="n"/>
      <c r="I277" s="18" t="n"/>
    </row>
    <row r="278">
      <c r="A278" s="14" t="n"/>
      <c r="B278" s="15">
        <f>IFERROR(MID($A278,FIND("[",$A278)+1,FIND("]",$A278)-FIND("[",$A278)-1),"")</f>
        <v/>
      </c>
      <c r="C278" s="15">
        <f>IFERROR(INDEX(Personnes!$B$5:$B$153,MATCH($B278,Personnes!$A$5:$A$153,0))&amp;"","")</f>
        <v/>
      </c>
      <c r="D278" s="15">
        <f>IFERROR(INDEX(Personnes!$C$5:$C$153,MATCH($B278,Personnes!$A$5:$A$153,0))&amp;"","")</f>
        <v/>
      </c>
      <c r="E278" s="16" t="n"/>
      <c r="F278" s="16" t="n"/>
      <c r="G278" s="14" t="n"/>
      <c r="H278" s="14" t="n"/>
      <c r="I278" s="18" t="n"/>
    </row>
    <row r="279">
      <c r="A279" s="14" t="n"/>
      <c r="B279" s="15">
        <f>IFERROR(MID($A279,FIND("[",$A279)+1,FIND("]",$A279)-FIND("[",$A279)-1),"")</f>
        <v/>
      </c>
      <c r="C279" s="15">
        <f>IFERROR(INDEX(Personnes!$B$5:$B$153,MATCH($B279,Personnes!$A$5:$A$153,0))&amp;"","")</f>
        <v/>
      </c>
      <c r="D279" s="15">
        <f>IFERROR(INDEX(Personnes!$C$5:$C$153,MATCH($B279,Personnes!$A$5:$A$153,0))&amp;"","")</f>
        <v/>
      </c>
      <c r="E279" s="16" t="n"/>
      <c r="F279" s="16" t="n"/>
      <c r="G279" s="14" t="n"/>
      <c r="H279" s="14" t="n"/>
      <c r="I279" s="18" t="n"/>
    </row>
    <row r="280">
      <c r="A280" s="14" t="n"/>
      <c r="B280" s="15">
        <f>IFERROR(MID($A280,FIND("[",$A280)+1,FIND("]",$A280)-FIND("[",$A280)-1),"")</f>
        <v/>
      </c>
      <c r="C280" s="15">
        <f>IFERROR(INDEX(Personnes!$B$5:$B$153,MATCH($B280,Personnes!$A$5:$A$153,0))&amp;"","")</f>
        <v/>
      </c>
      <c r="D280" s="15">
        <f>IFERROR(INDEX(Personnes!$C$5:$C$153,MATCH($B280,Personnes!$A$5:$A$153,0))&amp;"","")</f>
        <v/>
      </c>
      <c r="E280" s="16" t="n"/>
      <c r="F280" s="16" t="n"/>
      <c r="G280" s="14" t="n"/>
      <c r="H280" s="14" t="n"/>
      <c r="I280" s="18" t="n"/>
    </row>
    <row r="281">
      <c r="A281" s="14" t="n"/>
      <c r="B281" s="15">
        <f>IFERROR(MID($A281,FIND("[",$A281)+1,FIND("]",$A281)-FIND("[",$A281)-1),"")</f>
        <v/>
      </c>
      <c r="C281" s="15">
        <f>IFERROR(INDEX(Personnes!$B$5:$B$153,MATCH($B281,Personnes!$A$5:$A$153,0))&amp;"","")</f>
        <v/>
      </c>
      <c r="D281" s="15">
        <f>IFERROR(INDEX(Personnes!$C$5:$C$153,MATCH($B281,Personnes!$A$5:$A$153,0))&amp;"","")</f>
        <v/>
      </c>
      <c r="E281" s="16" t="n"/>
      <c r="F281" s="16" t="n"/>
      <c r="G281" s="14" t="n"/>
      <c r="H281" s="14" t="n"/>
      <c r="I281" s="18" t="n"/>
    </row>
    <row r="282">
      <c r="A282" s="14" t="n"/>
      <c r="B282" s="15">
        <f>IFERROR(MID($A282,FIND("[",$A282)+1,FIND("]",$A282)-FIND("[",$A282)-1),"")</f>
        <v/>
      </c>
      <c r="C282" s="15">
        <f>IFERROR(INDEX(Personnes!$B$5:$B$153,MATCH($B282,Personnes!$A$5:$A$153,0))&amp;"","")</f>
        <v/>
      </c>
      <c r="D282" s="15">
        <f>IFERROR(INDEX(Personnes!$C$5:$C$153,MATCH($B282,Personnes!$A$5:$A$153,0))&amp;"","")</f>
        <v/>
      </c>
      <c r="E282" s="16" t="n"/>
      <c r="F282" s="16" t="n"/>
      <c r="G282" s="14" t="n"/>
      <c r="H282" s="14" t="n"/>
      <c r="I282" s="18" t="n"/>
    </row>
    <row r="283">
      <c r="A283" s="14" t="n"/>
      <c r="B283" s="15">
        <f>IFERROR(MID($A283,FIND("[",$A283)+1,FIND("]",$A283)-FIND("[",$A283)-1),"")</f>
        <v/>
      </c>
      <c r="C283" s="15">
        <f>IFERROR(INDEX(Personnes!$B$5:$B$153,MATCH($B283,Personnes!$A$5:$A$153,0))&amp;"","")</f>
        <v/>
      </c>
      <c r="D283" s="15">
        <f>IFERROR(INDEX(Personnes!$C$5:$C$153,MATCH($B283,Personnes!$A$5:$A$153,0))&amp;"","")</f>
        <v/>
      </c>
      <c r="E283" s="16" t="n"/>
      <c r="F283" s="16" t="n"/>
      <c r="G283" s="14" t="n"/>
      <c r="H283" s="14" t="n"/>
      <c r="I283" s="18" t="n"/>
    </row>
    <row r="284">
      <c r="A284" s="14" t="n"/>
      <c r="B284" s="15">
        <f>IFERROR(MID($A284,FIND("[",$A284)+1,FIND("]",$A284)-FIND("[",$A284)-1),"")</f>
        <v/>
      </c>
      <c r="C284" s="15">
        <f>IFERROR(INDEX(Personnes!$B$5:$B$153,MATCH($B284,Personnes!$A$5:$A$153,0))&amp;"","")</f>
        <v/>
      </c>
      <c r="D284" s="15">
        <f>IFERROR(INDEX(Personnes!$C$5:$C$153,MATCH($B284,Personnes!$A$5:$A$153,0))&amp;"","")</f>
        <v/>
      </c>
      <c r="E284" s="16" t="n"/>
      <c r="F284" s="16" t="n"/>
      <c r="G284" s="14" t="n"/>
      <c r="H284" s="14" t="n"/>
      <c r="I284" s="18" t="n"/>
    </row>
    <row r="285">
      <c r="A285" s="14" t="n"/>
      <c r="B285" s="15">
        <f>IFERROR(MID($A285,FIND("[",$A285)+1,FIND("]",$A285)-FIND("[",$A285)-1),"")</f>
        <v/>
      </c>
      <c r="C285" s="15">
        <f>IFERROR(INDEX(Personnes!$B$5:$B$153,MATCH($B285,Personnes!$A$5:$A$153,0))&amp;"","")</f>
        <v/>
      </c>
      <c r="D285" s="15">
        <f>IFERROR(INDEX(Personnes!$C$5:$C$153,MATCH($B285,Personnes!$A$5:$A$153,0))&amp;"","")</f>
        <v/>
      </c>
      <c r="E285" s="16" t="n"/>
      <c r="F285" s="16" t="n"/>
      <c r="G285" s="14" t="n"/>
      <c r="H285" s="14" t="n"/>
      <c r="I285" s="18" t="n"/>
    </row>
    <row r="286">
      <c r="A286" s="14" t="n"/>
      <c r="B286" s="15">
        <f>IFERROR(MID($A286,FIND("[",$A286)+1,FIND("]",$A286)-FIND("[",$A286)-1),"")</f>
        <v/>
      </c>
      <c r="C286" s="15">
        <f>IFERROR(INDEX(Personnes!$B$5:$B$153,MATCH($B286,Personnes!$A$5:$A$153,0))&amp;"","")</f>
        <v/>
      </c>
      <c r="D286" s="15">
        <f>IFERROR(INDEX(Personnes!$C$5:$C$153,MATCH($B286,Personnes!$A$5:$A$153,0))&amp;"","")</f>
        <v/>
      </c>
      <c r="E286" s="16" t="n"/>
      <c r="F286" s="16" t="n"/>
      <c r="G286" s="14" t="n"/>
      <c r="H286" s="14" t="n"/>
      <c r="I286" s="18" t="n"/>
    </row>
    <row r="287">
      <c r="A287" s="14" t="n"/>
      <c r="B287" s="15">
        <f>IFERROR(MID($A287,FIND("[",$A287)+1,FIND("]",$A287)-FIND("[",$A287)-1),"")</f>
        <v/>
      </c>
      <c r="C287" s="15">
        <f>IFERROR(INDEX(Personnes!$B$5:$B$153,MATCH($B287,Personnes!$A$5:$A$153,0))&amp;"","")</f>
        <v/>
      </c>
      <c r="D287" s="15">
        <f>IFERROR(INDEX(Personnes!$C$5:$C$153,MATCH($B287,Personnes!$A$5:$A$153,0))&amp;"","")</f>
        <v/>
      </c>
      <c r="E287" s="16" t="n"/>
      <c r="F287" s="16" t="n"/>
      <c r="G287" s="14" t="n"/>
      <c r="H287" s="14" t="n"/>
      <c r="I287" s="18" t="n"/>
    </row>
    <row r="288">
      <c r="A288" s="14" t="n"/>
      <c r="B288" s="15">
        <f>IFERROR(MID($A288,FIND("[",$A288)+1,FIND("]",$A288)-FIND("[",$A288)-1),"")</f>
        <v/>
      </c>
      <c r="C288" s="15">
        <f>IFERROR(INDEX(Personnes!$B$5:$B$153,MATCH($B288,Personnes!$A$5:$A$153,0))&amp;"","")</f>
        <v/>
      </c>
      <c r="D288" s="15">
        <f>IFERROR(INDEX(Personnes!$C$5:$C$153,MATCH($B288,Personnes!$A$5:$A$153,0))&amp;"","")</f>
        <v/>
      </c>
      <c r="E288" s="16" t="n"/>
      <c r="F288" s="16" t="n"/>
      <c r="G288" s="14" t="n"/>
      <c r="H288" s="14" t="n"/>
      <c r="I288" s="18" t="n"/>
    </row>
    <row r="289">
      <c r="A289" s="14" t="n"/>
      <c r="B289" s="15">
        <f>IFERROR(MID($A289,FIND("[",$A289)+1,FIND("]",$A289)-FIND("[",$A289)-1),"")</f>
        <v/>
      </c>
      <c r="C289" s="15">
        <f>IFERROR(INDEX(Personnes!$B$5:$B$153,MATCH($B289,Personnes!$A$5:$A$153,0))&amp;"","")</f>
        <v/>
      </c>
      <c r="D289" s="15">
        <f>IFERROR(INDEX(Personnes!$C$5:$C$153,MATCH($B289,Personnes!$A$5:$A$153,0))&amp;"","")</f>
        <v/>
      </c>
      <c r="E289" s="16" t="n"/>
      <c r="F289" s="16" t="n"/>
      <c r="G289" s="14" t="n"/>
      <c r="H289" s="14" t="n"/>
      <c r="I289" s="18" t="n"/>
    </row>
    <row r="290">
      <c r="A290" s="14" t="n"/>
      <c r="B290" s="15">
        <f>IFERROR(MID($A290,FIND("[",$A290)+1,FIND("]",$A290)-FIND("[",$A290)-1),"")</f>
        <v/>
      </c>
      <c r="C290" s="15">
        <f>IFERROR(INDEX(Personnes!$B$5:$B$153,MATCH($B290,Personnes!$A$5:$A$153,0))&amp;"","")</f>
        <v/>
      </c>
      <c r="D290" s="15">
        <f>IFERROR(INDEX(Personnes!$C$5:$C$153,MATCH($B290,Personnes!$A$5:$A$153,0))&amp;"","")</f>
        <v/>
      </c>
      <c r="E290" s="16" t="n"/>
      <c r="F290" s="16" t="n"/>
      <c r="G290" s="14" t="n"/>
      <c r="H290" s="14" t="n"/>
      <c r="I290" s="18" t="n"/>
    </row>
    <row r="291">
      <c r="A291" s="14" t="n"/>
      <c r="B291" s="15">
        <f>IFERROR(MID($A291,FIND("[",$A291)+1,FIND("]",$A291)-FIND("[",$A291)-1),"")</f>
        <v/>
      </c>
      <c r="C291" s="15">
        <f>IFERROR(INDEX(Personnes!$B$5:$B$153,MATCH($B291,Personnes!$A$5:$A$153,0))&amp;"","")</f>
        <v/>
      </c>
      <c r="D291" s="15">
        <f>IFERROR(INDEX(Personnes!$C$5:$C$153,MATCH($B291,Personnes!$A$5:$A$153,0))&amp;"","")</f>
        <v/>
      </c>
      <c r="E291" s="16" t="n"/>
      <c r="F291" s="16" t="n"/>
      <c r="G291" s="14" t="n"/>
      <c r="H291" s="14" t="n"/>
      <c r="I291" s="18" t="n"/>
    </row>
    <row r="292">
      <c r="A292" s="14" t="n"/>
      <c r="B292" s="15">
        <f>IFERROR(MID($A292,FIND("[",$A292)+1,FIND("]",$A292)-FIND("[",$A292)-1),"")</f>
        <v/>
      </c>
      <c r="C292" s="15">
        <f>IFERROR(INDEX(Personnes!$B$5:$B$153,MATCH($B292,Personnes!$A$5:$A$153,0))&amp;"","")</f>
        <v/>
      </c>
      <c r="D292" s="15">
        <f>IFERROR(INDEX(Personnes!$C$5:$C$153,MATCH($B292,Personnes!$A$5:$A$153,0))&amp;"","")</f>
        <v/>
      </c>
      <c r="E292" s="16" t="n"/>
      <c r="F292" s="16" t="n"/>
      <c r="G292" s="14" t="n"/>
      <c r="H292" s="14" t="n"/>
      <c r="I292" s="18" t="n"/>
    </row>
    <row r="293">
      <c r="A293" s="14" t="n"/>
      <c r="B293" s="15">
        <f>IFERROR(MID($A293,FIND("[",$A293)+1,FIND("]",$A293)-FIND("[",$A293)-1),"")</f>
        <v/>
      </c>
      <c r="C293" s="15">
        <f>IFERROR(INDEX(Personnes!$B$5:$B$153,MATCH($B293,Personnes!$A$5:$A$153,0))&amp;"","")</f>
        <v/>
      </c>
      <c r="D293" s="15">
        <f>IFERROR(INDEX(Personnes!$C$5:$C$153,MATCH($B293,Personnes!$A$5:$A$153,0))&amp;"","")</f>
        <v/>
      </c>
      <c r="E293" s="16" t="n"/>
      <c r="F293" s="16" t="n"/>
      <c r="G293" s="14" t="n"/>
      <c r="H293" s="14" t="n"/>
      <c r="I293" s="18" t="n"/>
    </row>
    <row r="294">
      <c r="A294" s="14" t="n"/>
      <c r="B294" s="15">
        <f>IFERROR(MID($A294,FIND("[",$A294)+1,FIND("]",$A294)-FIND("[",$A294)-1),"")</f>
        <v/>
      </c>
      <c r="C294" s="15">
        <f>IFERROR(INDEX(Personnes!$B$5:$B$153,MATCH($B294,Personnes!$A$5:$A$153,0))&amp;"","")</f>
        <v/>
      </c>
      <c r="D294" s="15">
        <f>IFERROR(INDEX(Personnes!$C$5:$C$153,MATCH($B294,Personnes!$A$5:$A$153,0))&amp;"","")</f>
        <v/>
      </c>
      <c r="E294" s="16" t="n"/>
      <c r="F294" s="16" t="n"/>
      <c r="G294" s="14" t="n"/>
      <c r="H294" s="14" t="n"/>
      <c r="I294" s="18" t="n"/>
    </row>
    <row r="295">
      <c r="A295" s="14" t="n"/>
      <c r="B295" s="15">
        <f>IFERROR(MID($A295,FIND("[",$A295)+1,FIND("]",$A295)-FIND("[",$A295)-1),"")</f>
        <v/>
      </c>
      <c r="C295" s="15">
        <f>IFERROR(INDEX(Personnes!$B$5:$B$153,MATCH($B295,Personnes!$A$5:$A$153,0))&amp;"","")</f>
        <v/>
      </c>
      <c r="D295" s="15">
        <f>IFERROR(INDEX(Personnes!$C$5:$C$153,MATCH($B295,Personnes!$A$5:$A$153,0))&amp;"","")</f>
        <v/>
      </c>
      <c r="E295" s="16" t="n"/>
      <c r="F295" s="16" t="n"/>
      <c r="G295" s="14" t="n"/>
      <c r="H295" s="14" t="n"/>
      <c r="I295" s="18" t="n"/>
    </row>
    <row r="296">
      <c r="A296" s="14" t="n"/>
      <c r="B296" s="15">
        <f>IFERROR(MID($A296,FIND("[",$A296)+1,FIND("]",$A296)-FIND("[",$A296)-1),"")</f>
        <v/>
      </c>
      <c r="C296" s="15">
        <f>IFERROR(INDEX(Personnes!$B$5:$B$153,MATCH($B296,Personnes!$A$5:$A$153,0))&amp;"","")</f>
        <v/>
      </c>
      <c r="D296" s="15">
        <f>IFERROR(INDEX(Personnes!$C$5:$C$153,MATCH($B296,Personnes!$A$5:$A$153,0))&amp;"","")</f>
        <v/>
      </c>
      <c r="E296" s="16" t="n"/>
      <c r="F296" s="16" t="n"/>
      <c r="G296" s="14" t="n"/>
      <c r="H296" s="14" t="n"/>
      <c r="I296" s="18" t="n"/>
    </row>
    <row r="297">
      <c r="A297" s="14" t="n"/>
      <c r="B297" s="15">
        <f>IFERROR(MID($A297,FIND("[",$A297)+1,FIND("]",$A297)-FIND("[",$A297)-1),"")</f>
        <v/>
      </c>
      <c r="C297" s="15">
        <f>IFERROR(INDEX(Personnes!$B$5:$B$153,MATCH($B297,Personnes!$A$5:$A$153,0))&amp;"","")</f>
        <v/>
      </c>
      <c r="D297" s="15">
        <f>IFERROR(INDEX(Personnes!$C$5:$C$153,MATCH($B297,Personnes!$A$5:$A$153,0))&amp;"","")</f>
        <v/>
      </c>
      <c r="E297" s="16" t="n"/>
      <c r="F297" s="16" t="n"/>
      <c r="G297" s="14" t="n"/>
      <c r="H297" s="14" t="n"/>
      <c r="I297" s="18" t="n"/>
    </row>
    <row r="298">
      <c r="A298" s="14" t="n"/>
      <c r="B298" s="15">
        <f>IFERROR(MID($A298,FIND("[",$A298)+1,FIND("]",$A298)-FIND("[",$A298)-1),"")</f>
        <v/>
      </c>
      <c r="C298" s="15">
        <f>IFERROR(INDEX(Personnes!$B$5:$B$153,MATCH($B298,Personnes!$A$5:$A$153,0))&amp;"","")</f>
        <v/>
      </c>
      <c r="D298" s="15">
        <f>IFERROR(INDEX(Personnes!$C$5:$C$153,MATCH($B298,Personnes!$A$5:$A$153,0))&amp;"","")</f>
        <v/>
      </c>
      <c r="E298" s="16" t="n"/>
      <c r="F298" s="16" t="n"/>
      <c r="G298" s="14" t="n"/>
      <c r="H298" s="14" t="n"/>
      <c r="I298" s="18" t="n"/>
    </row>
    <row r="299">
      <c r="A299" s="14" t="n"/>
      <c r="B299" s="15">
        <f>IFERROR(MID($A299,FIND("[",$A299)+1,FIND("]",$A299)-FIND("[",$A299)-1),"")</f>
        <v/>
      </c>
      <c r="C299" s="15">
        <f>IFERROR(INDEX(Personnes!$B$5:$B$153,MATCH($B299,Personnes!$A$5:$A$153,0))&amp;"","")</f>
        <v/>
      </c>
      <c r="D299" s="15">
        <f>IFERROR(INDEX(Personnes!$C$5:$C$153,MATCH($B299,Personnes!$A$5:$A$153,0))&amp;"","")</f>
        <v/>
      </c>
      <c r="E299" s="16" t="n"/>
      <c r="F299" s="16" t="n"/>
      <c r="G299" s="14" t="n"/>
      <c r="H299" s="14" t="n"/>
      <c r="I299" s="18" t="n"/>
    </row>
    <row r="300">
      <c r="A300" s="14" t="n"/>
      <c r="B300" s="15">
        <f>IFERROR(MID($A300,FIND("[",$A300)+1,FIND("]",$A300)-FIND("[",$A300)-1),"")</f>
        <v/>
      </c>
      <c r="C300" s="15">
        <f>IFERROR(INDEX(Personnes!$B$5:$B$153,MATCH($B300,Personnes!$A$5:$A$153,0))&amp;"","")</f>
        <v/>
      </c>
      <c r="D300" s="15">
        <f>IFERROR(INDEX(Personnes!$C$5:$C$153,MATCH($B300,Personnes!$A$5:$A$153,0))&amp;"","")</f>
        <v/>
      </c>
      <c r="E300" s="16" t="n"/>
      <c r="F300" s="16" t="n"/>
      <c r="G300" s="14" t="n"/>
      <c r="H300" s="14" t="n"/>
      <c r="I300" s="18" t="n"/>
    </row>
  </sheetData>
  <dataValidations count="1">
    <dataValidation sqref="G5:G300" showDropDown="0" showInputMessage="0" showErrorMessage="0" allowBlank="1" type="list">
      <formula1>"congé,professionnel,blessure,maladie,formation,compétition,autre"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1F4E5F"/>
    <outlinePr summaryBelow="1" summaryRight="1"/>
    <pageSetUpPr/>
  </sheetPr>
  <dimension ref="A1:C29"/>
  <sheetViews>
    <sheetView workbookViewId="0">
      <selection activeCell="A1" sqref="A1"/>
    </sheetView>
  </sheetViews>
  <sheetFormatPr baseColWidth="10" defaultColWidth="8.83203125" defaultRowHeight="15"/>
  <cols>
    <col width="58" customWidth="1" min="1" max="1"/>
    <col width="12" customWidth="1" min="2" max="2"/>
    <col width="62" customWidth="1" min="3" max="3"/>
  </cols>
  <sheetData>
    <row r="1" ht="18" customHeight="1">
      <c r="A1" s="4" t="inlineStr">
        <is>
          <t>Contrôles de cohérence</t>
        </is>
      </c>
    </row>
    <row r="2">
      <c r="A2" s="5" t="inlineStr">
        <is>
          <t>Tout est calculé. Une valeur non nulle sur une ligne « dont … » demande une action avant la reprise du 7 septembre 2026.</t>
        </is>
      </c>
    </row>
    <row r="4" ht="32" customHeight="1">
      <c r="A4" s="7" t="inlineStr">
        <is>
          <t>Contrôle</t>
        </is>
      </c>
      <c r="B4" s="7" t="inlineStr">
        <is>
          <t>Valeur</t>
        </is>
      </c>
      <c r="C4" s="7" t="inlineStr">
        <is>
          <t>Signification</t>
        </is>
      </c>
    </row>
    <row r="5">
      <c r="A5" s="10" t="inlineStr">
        <is>
          <t>Personnes enregistrées</t>
        </is>
      </c>
      <c r="B5" s="12">
        <f>COUNTIF(Personnes!$A$5:$A$104,"&lt;&gt;")</f>
        <v/>
      </c>
      <c r="C5" s="10" t="inlineStr">
        <is>
          <t>Référentiel unique du club.</t>
        </is>
      </c>
    </row>
    <row r="6">
      <c r="A6" s="10" t="inlineStr">
        <is>
          <t>dont sans nom de famille</t>
        </is>
      </c>
      <c r="B6" s="12">
        <f>COUNTIFS(Personnes!$A$5:$A$104,"&lt;&gt;",Personnes!$B$5:$B$104,"")</f>
        <v/>
      </c>
      <c r="C6" s="10" t="inlineStr">
        <is>
          <t>Issues du planning, où seul le prénom figure.</t>
        </is>
      </c>
    </row>
    <row r="7">
      <c r="A7" s="10" t="inlineStr">
        <is>
          <t>dont sans courriel</t>
        </is>
      </c>
      <c r="B7" s="12">
        <f>COUNTIFS(Personnes!$A$5:$A$104,"&lt;&gt;",Personnes!$F$5:$F$104,"")</f>
        <v/>
      </c>
      <c r="C7" s="10" t="inlineStr">
        <is>
          <t>Nécessaire pour l'auto-inscription de l'application.</t>
        </is>
      </c>
    </row>
    <row r="8">
      <c r="A8" s="10" t="inlineStr">
        <is>
          <t>Inscriptions saisies</t>
        </is>
      </c>
      <c r="B8" s="12">
        <f>SUMPRODUCT(--(Inscriptions!$C$5:$C$5&lt;&gt;""))</f>
        <v/>
      </c>
      <c r="C8" s="10" t="inlineStr">
        <is>
          <t>Une ligne par personne et par groupe de niveau.</t>
        </is>
      </c>
    </row>
    <row r="9">
      <c r="A9" s="10" t="inlineStr">
        <is>
          <t>dont en anomalie</t>
        </is>
      </c>
      <c r="B9" s="12">
        <f>SUMPRODUCT((Inscriptions!$C$5:$C$5&lt;&gt;"")*(Inscriptions!$M$5:$M$5&lt;&gt;"ok"))</f>
        <v/>
      </c>
      <c r="C9" s="10" t="inlineStr">
        <is>
          <t>Voir la colonne Contrôle de l'onglet Inscriptions.</t>
        </is>
      </c>
    </row>
    <row r="10">
      <c r="A10" s="10" t="inlineStr">
        <is>
          <t>Créneaux de piscine actifs</t>
        </is>
      </c>
      <c r="B10" s="12">
        <f>COUNTIFS('Creneaux'!$A$5:$A$11,"&lt;&gt;",'Creneaux'!$H$5:$H$11,"oui")</f>
        <v/>
      </c>
      <c r="C10" s="10" t="inlineStr">
        <is>
          <t>Structure hebdomadaire récurrente.</t>
        </is>
      </c>
    </row>
    <row r="11">
      <c r="A11" s="10" t="inlineStr">
        <is>
          <t>dont sans horaire</t>
        </is>
      </c>
      <c r="B11" s="12">
        <f>COUNTIFS('Creneaux'!$A$5:$A$11,"&lt;&gt;",'Creneaux'!$C$5:$C$11,"")</f>
        <v/>
      </c>
      <c r="C11" s="10" t="inlineStr">
        <is>
          <t>À saisir avant la reprise.</t>
        </is>
      </c>
    </row>
    <row r="12">
      <c r="A12" s="10" t="inlineStr">
        <is>
          <t>Associations créneau / groupe</t>
        </is>
      </c>
      <c r="B12" s="12">
        <f>SUMPRODUCT(--('Creneaux_Groupes'!$B$5:$B$10&lt;&gt;""))</f>
        <v/>
      </c>
      <c r="C12" s="10" t="inlineStr">
        <is>
          <t>Un créneau peut accueillir plusieurs groupes.</t>
        </is>
      </c>
    </row>
    <row r="13">
      <c r="A13" s="10" t="inlineStr">
        <is>
          <t>dont en anomalie</t>
        </is>
      </c>
      <c r="B13" s="12">
        <f>SUMPRODUCT(('Creneaux_Groupes'!$A$5:$A$10&lt;&gt;"")*('Creneaux_Groupes'!$K$5:$K$10&lt;&gt;"ok")*('Creneaux_Groupes'!$K$5:$K$10&lt;&gt;"encadrant à désigner"))</f>
        <v/>
      </c>
      <c r="C13" s="10" t="inlineStr">
        <is>
          <t>Date d'effet ou groupe manquant, créneau non reconnu, doublon.</t>
        </is>
      </c>
    </row>
    <row r="14">
      <c r="A14" s="10" t="inlineStr">
        <is>
          <t>Créneaux actifs sans aucun groupe</t>
        </is>
      </c>
      <c r="B14" s="12">
        <f>SUMPRODUCT(('Creneaux'!$A$5:$A$11&lt;&gt;"")*('Creneaux'!$H$5:$H$11="oui")*(COUNTIF('Creneaux_Groupes'!$B$5:$B$10,'Creneaux'!$A$5:$A$11)=0))</f>
        <v/>
      </c>
      <c r="C14" s="10" t="inlineStr">
        <is>
          <t>Un créneau ouvert doit accueillir au moins un groupe.</t>
        </is>
      </c>
    </row>
    <row r="15" ht="28" customHeight="1">
      <c r="A15" s="10" t="inlineStr">
        <is>
          <t>dont sans encadrant désigné</t>
        </is>
      </c>
      <c r="B15" s="12">
        <f>COUNTIF('Creneaux_Groupes'!$K$5:$K$10,"encadrant à désigner")</f>
        <v/>
      </c>
      <c r="C15" s="10" t="inlineStr">
        <is>
          <t>Une ligne par encadrant : plusieurs encadrants sur un même couple créneau / groupe sont attendus.</t>
        </is>
      </c>
    </row>
    <row r="16">
      <c r="A16" s="10" t="inlineStr">
        <is>
          <t>Responsables de ligne déclarés</t>
        </is>
      </c>
      <c r="B16" s="12">
        <f>SUMPRODUCT(--('Responsables_Ligne'!$D$5:$D$5&lt;&gt;""))</f>
        <v/>
      </c>
      <c r="C16" s="10" t="inlineStr">
        <is>
          <t>Une ligne par groupe et par changement en cours de saison.</t>
        </is>
      </c>
    </row>
    <row r="17">
      <c r="A17" s="10" t="inlineStr">
        <is>
          <t>Groupes du MVP sans responsable déclaré</t>
        </is>
      </c>
      <c r="B17" s="12">
        <f>SUMPRODUCT((Referentiels!$F$26:$F$35="oui")*(COUNTIF('Responsables_Ligne'!$A$5:$A$5,Referentiels!$A$26:$A$35)=0))</f>
        <v/>
      </c>
      <c r="C17" s="10" t="inlineStr">
        <is>
          <t>Sans responsable, la couverture des séances reste incomplète.</t>
        </is>
      </c>
    </row>
    <row r="18">
      <c r="A18" s="10" t="inlineStr">
        <is>
          <t>Qualifications déclarées</t>
        </is>
      </c>
      <c r="B18" s="12">
        <f>SUMPRODUCT(--(Qualifications_Personnes!$B$5:$B$5&lt;&gt;""))</f>
        <v/>
      </c>
      <c r="C18" s="10" t="inlineStr">
        <is>
          <t>Conditionne le contrôle de validité des affectations.</t>
        </is>
      </c>
    </row>
    <row r="19">
      <c r="A19" s="10" t="inlineStr">
        <is>
          <t>dont d'encadrement</t>
        </is>
      </c>
      <c r="B19" s="12">
        <f>COUNTIF(Qualifications_Personnes!$F$5:$F$5,"Encadrement")</f>
        <v/>
      </c>
      <c r="C19" s="10" t="inlineStr">
        <is>
          <t>AEL, ACEL, AEEL, IE, MEF1, MEF2.</t>
        </is>
      </c>
    </row>
    <row r="20">
      <c r="A20" s="10" t="inlineStr">
        <is>
          <t>dont de sécurité</t>
        </is>
      </c>
      <c r="B20" s="12">
        <f>COUNTIF(Qualifications_Personnes!$F$5:$F$5,"Sécurité")</f>
        <v/>
      </c>
      <c r="C20" s="10" t="inlineStr">
        <is>
          <t>RIFAA, PSM.</t>
        </is>
      </c>
    </row>
    <row r="21">
      <c r="A21" s="10" t="inlineStr">
        <is>
          <t>Qualifications sans prérogatives renseignées</t>
        </is>
      </c>
      <c r="B21" s="12">
        <f>COUNTIFS(Referentiels!$A$66:$A$76,"&lt;&gt;",Referentiels!$E$66:$E$76,"")</f>
        <v/>
      </c>
      <c r="C21" s="10" t="inlineStr">
        <is>
          <t>À renseigner d'après les textes fédéraux.</t>
        </is>
      </c>
    </row>
    <row r="22">
      <c r="A22" s="10" t="inlineStr">
        <is>
          <t>Périodes dérogatoires sans dates</t>
        </is>
      </c>
      <c r="B22" s="12">
        <f>COUNTIFS(Referentiels!$A$98:$A$104,"&lt;&gt;",Referentiels!$B$98:$B$104,"")</f>
        <v/>
      </c>
      <c r="C22" s="10" t="inlineStr">
        <is>
          <t>Calendrier scolaire et jours fériés à saisir.</t>
        </is>
      </c>
    </row>
    <row r="23">
      <c r="A23" s="10" t="inlineStr">
        <is>
          <t>Objectifs au référentiel</t>
        </is>
      </c>
      <c r="B23" s="12">
        <f>COUNTIF(Objectifs_Niveaux!$A$5:$A$51,"&lt;&gt;")</f>
        <v/>
      </c>
      <c r="C23" s="10" t="inlineStr">
        <is>
          <t>46 attendus pour L1 à L4.</t>
        </is>
      </c>
    </row>
    <row r="24">
      <c r="A24" s="10" t="inlineStr">
        <is>
          <t>Objectifs sans critère de validation chiffré</t>
        </is>
      </c>
      <c r="B24" s="12">
        <f>COUNTIFS(Objectifs_Niveaux!$A$5:$A$51,"&lt;&gt;",Objectifs_Niveaux!$L$5:$L$51,"")</f>
        <v/>
      </c>
      <c r="C24" s="10" t="inlineStr">
        <is>
          <t>Les 5 objectifs de maîtrise du L4 : critère qualitatif à trancher.</t>
        </is>
      </c>
    </row>
    <row r="25">
      <c r="A25" s="10" t="inlineStr">
        <is>
          <t>Compétences sans critère observable</t>
        </is>
      </c>
      <c r="B25" s="12">
        <f>COUNTIFS(Referentiels!$A$53:$A$61,"&lt;&gt;",Referentiels!$C$53:$C$61,"")</f>
        <v/>
      </c>
      <c r="C25" s="10" t="inlineStr">
        <is>
          <t>Les critères proposés restent à valider collégialement.</t>
        </is>
      </c>
    </row>
    <row r="27" ht="16" customHeight="1">
      <c r="A27" s="2" t="inlineStr">
        <is>
          <t>Synchronisation des classeurs de ligne</t>
        </is>
      </c>
    </row>
    <row r="28" ht="42" customHeight="1">
      <c r="A28" s="3" t="inlineStr">
        <is>
          <t>Les classeurs de ligne ne sont pas liés à celui-ci par des formules externes : ce type de lien casse dès qu'un fichier est déplacé, renommé ou synchronisé par OneDrive.</t>
        </is>
      </c>
    </row>
    <row r="29" ht="56" customHeight="1">
      <c r="A29" s="3" t="inlineStr">
        <is>
          <t>Ils reçoivent une copie du paramétrage, rafraîchie par le script « sync_referentiel.py ». Chaque classeur de ligne affiche dans son onglet Synchro la version et la date du paramétrage dont il est issu.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A6A6A6"/>
    <outlinePr summaryBelow="1" summaryRight="1"/>
    <pageSetUpPr/>
  </sheetPr>
  <dimension ref="A1:A1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0" customWidth="1" min="1" max="1"/>
  </cols>
  <sheetData>
    <row r="1">
      <c r="A1" s="13" t="inlineStr">
        <is>
          <t>Personnes triées par prénom</t>
        </is>
      </c>
    </row>
    <row r="2">
      <c r="A2" s="12">
        <f>IFERROR(INDEX(Personnes!$J$5:$J$104,MATCH(1,Personnes!$K$5:$K$104,0)),"")</f>
        <v/>
      </c>
    </row>
    <row r="3">
      <c r="A3" s="12">
        <f>IFERROR(INDEX(Personnes!$J$5:$J$104,MATCH(2,Personnes!$K$5:$K$104,0)),"")</f>
        <v/>
      </c>
    </row>
    <row r="4">
      <c r="A4" s="12">
        <f>IFERROR(INDEX(Personnes!$J$5:$J$104,MATCH(3,Personnes!$K$5:$K$104,0)),"")</f>
        <v/>
      </c>
    </row>
    <row r="5">
      <c r="A5" s="12">
        <f>IFERROR(INDEX(Personnes!$J$5:$J$104,MATCH(4,Personnes!$K$5:$K$104,0)),"")</f>
        <v/>
      </c>
    </row>
    <row r="6">
      <c r="A6" s="12">
        <f>IFERROR(INDEX(Personnes!$J$5:$J$104,MATCH(5,Personnes!$K$5:$K$104,0)),"")</f>
        <v/>
      </c>
    </row>
    <row r="7">
      <c r="A7" s="12">
        <f>IFERROR(INDEX(Personnes!$J$5:$J$104,MATCH(6,Personnes!$K$5:$K$104,0)),"")</f>
        <v/>
      </c>
    </row>
    <row r="8">
      <c r="A8" s="12">
        <f>IFERROR(INDEX(Personnes!$J$5:$J$104,MATCH(7,Personnes!$K$5:$K$104,0)),"")</f>
        <v/>
      </c>
    </row>
    <row r="9">
      <c r="A9" s="12">
        <f>IFERROR(INDEX(Personnes!$J$5:$J$104,MATCH(8,Personnes!$K$5:$K$104,0)),"")</f>
        <v/>
      </c>
    </row>
    <row r="10">
      <c r="A10" s="12">
        <f>IFERROR(INDEX(Personnes!$J$5:$J$104,MATCH(9,Personnes!$K$5:$K$104,0)),"")</f>
        <v/>
      </c>
    </row>
    <row r="11">
      <c r="A11" s="12">
        <f>IFERROR(INDEX(Personnes!$J$5:$J$104,MATCH(10,Personnes!$K$5:$K$104,0)),"")</f>
        <v/>
      </c>
    </row>
    <row r="12">
      <c r="A12" s="12">
        <f>IFERROR(INDEX(Personnes!$J$5:$J$104,MATCH(11,Personnes!$K$5:$K$104,0)),"")</f>
        <v/>
      </c>
    </row>
    <row r="13">
      <c r="A13" s="12">
        <f>IFERROR(INDEX(Personnes!$J$5:$J$104,MATCH(12,Personnes!$K$5:$K$104,0)),"")</f>
        <v/>
      </c>
    </row>
    <row r="14">
      <c r="A14" s="12">
        <f>IFERROR(INDEX(Personnes!$J$5:$J$104,MATCH(13,Personnes!$K$5:$K$104,0)),"")</f>
        <v/>
      </c>
    </row>
    <row r="15">
      <c r="A15" s="12">
        <f>IFERROR(INDEX(Personnes!$J$5:$J$104,MATCH(14,Personnes!$K$5:$K$104,0)),"")</f>
        <v/>
      </c>
    </row>
    <row r="16">
      <c r="A16" s="12">
        <f>IFERROR(INDEX(Personnes!$J$5:$J$104,MATCH(15,Personnes!$K$5:$K$104,0)),"")</f>
        <v/>
      </c>
    </row>
    <row r="17">
      <c r="A17" s="12">
        <f>IFERROR(INDEX(Personnes!$J$5:$J$104,MATCH(16,Personnes!$K$5:$K$104,0)),"")</f>
        <v/>
      </c>
    </row>
    <row r="18">
      <c r="A18" s="12">
        <f>IFERROR(INDEX(Personnes!$J$5:$J$104,MATCH(17,Personnes!$K$5:$K$104,0)),"")</f>
        <v/>
      </c>
    </row>
    <row r="19">
      <c r="A19" s="12">
        <f>IFERROR(INDEX(Personnes!$J$5:$J$104,MATCH(18,Personnes!$K$5:$K$104,0)),"")</f>
        <v/>
      </c>
    </row>
    <row r="20">
      <c r="A20" s="12">
        <f>IFERROR(INDEX(Personnes!$J$5:$J$104,MATCH(19,Personnes!$K$5:$K$104,0)),"")</f>
        <v/>
      </c>
    </row>
    <row r="21">
      <c r="A21" s="12">
        <f>IFERROR(INDEX(Personnes!$J$5:$J$104,MATCH(20,Personnes!$K$5:$K$104,0)),"")</f>
        <v/>
      </c>
    </row>
    <row r="22">
      <c r="A22" s="12">
        <f>IFERROR(INDEX(Personnes!$J$5:$J$104,MATCH(21,Personnes!$K$5:$K$104,0)),"")</f>
        <v/>
      </c>
    </row>
    <row r="23">
      <c r="A23" s="12">
        <f>IFERROR(INDEX(Personnes!$J$5:$J$104,MATCH(22,Personnes!$K$5:$K$104,0)),"")</f>
        <v/>
      </c>
    </row>
    <row r="24">
      <c r="A24" s="12">
        <f>IFERROR(INDEX(Personnes!$J$5:$J$104,MATCH(23,Personnes!$K$5:$K$104,0)),"")</f>
        <v/>
      </c>
    </row>
    <row r="25">
      <c r="A25" s="12">
        <f>IFERROR(INDEX(Personnes!$J$5:$J$104,MATCH(24,Personnes!$K$5:$K$104,0)),"")</f>
        <v/>
      </c>
    </row>
    <row r="26">
      <c r="A26" s="12">
        <f>IFERROR(INDEX(Personnes!$J$5:$J$104,MATCH(25,Personnes!$K$5:$K$104,0)),"")</f>
        <v/>
      </c>
    </row>
    <row r="27">
      <c r="A27" s="12">
        <f>IFERROR(INDEX(Personnes!$J$5:$J$104,MATCH(26,Personnes!$K$5:$K$104,0)),"")</f>
        <v/>
      </c>
    </row>
    <row r="28">
      <c r="A28" s="12">
        <f>IFERROR(INDEX(Personnes!$J$5:$J$104,MATCH(27,Personnes!$K$5:$K$104,0)),"")</f>
        <v/>
      </c>
    </row>
    <row r="29">
      <c r="A29" s="12">
        <f>IFERROR(INDEX(Personnes!$J$5:$J$104,MATCH(28,Personnes!$K$5:$K$104,0)),"")</f>
        <v/>
      </c>
    </row>
    <row r="30">
      <c r="A30" s="12">
        <f>IFERROR(INDEX(Personnes!$J$5:$J$104,MATCH(29,Personnes!$K$5:$K$104,0)),"")</f>
        <v/>
      </c>
    </row>
    <row r="31">
      <c r="A31" s="12">
        <f>IFERROR(INDEX(Personnes!$J$5:$J$104,MATCH(30,Personnes!$K$5:$K$104,0)),"")</f>
        <v/>
      </c>
    </row>
    <row r="32">
      <c r="A32" s="12">
        <f>IFERROR(INDEX(Personnes!$J$5:$J$104,MATCH(31,Personnes!$K$5:$K$104,0)),"")</f>
        <v/>
      </c>
    </row>
    <row r="33">
      <c r="A33" s="12">
        <f>IFERROR(INDEX(Personnes!$J$5:$J$104,MATCH(32,Personnes!$K$5:$K$104,0)),"")</f>
        <v/>
      </c>
    </row>
    <row r="34">
      <c r="A34" s="12">
        <f>IFERROR(INDEX(Personnes!$J$5:$J$104,MATCH(33,Personnes!$K$5:$K$104,0)),"")</f>
        <v/>
      </c>
    </row>
    <row r="35">
      <c r="A35" s="12">
        <f>IFERROR(INDEX(Personnes!$J$5:$J$104,MATCH(34,Personnes!$K$5:$K$104,0)),"")</f>
        <v/>
      </c>
    </row>
    <row r="36">
      <c r="A36" s="12">
        <f>IFERROR(INDEX(Personnes!$J$5:$J$104,MATCH(35,Personnes!$K$5:$K$104,0)),"")</f>
        <v/>
      </c>
    </row>
    <row r="37">
      <c r="A37" s="12">
        <f>IFERROR(INDEX(Personnes!$J$5:$J$104,MATCH(36,Personnes!$K$5:$K$104,0)),"")</f>
        <v/>
      </c>
    </row>
    <row r="38">
      <c r="A38" s="12">
        <f>IFERROR(INDEX(Personnes!$J$5:$J$104,MATCH(37,Personnes!$K$5:$K$104,0)),"")</f>
        <v/>
      </c>
    </row>
    <row r="39">
      <c r="A39" s="12">
        <f>IFERROR(INDEX(Personnes!$J$5:$J$104,MATCH(38,Personnes!$K$5:$K$104,0)),"")</f>
        <v/>
      </c>
    </row>
    <row r="40">
      <c r="A40" s="12">
        <f>IFERROR(INDEX(Personnes!$J$5:$J$104,MATCH(39,Personnes!$K$5:$K$104,0)),"")</f>
        <v/>
      </c>
    </row>
    <row r="41">
      <c r="A41" s="12">
        <f>IFERROR(INDEX(Personnes!$J$5:$J$104,MATCH(40,Personnes!$K$5:$K$104,0)),"")</f>
        <v/>
      </c>
    </row>
    <row r="42">
      <c r="A42" s="12">
        <f>IFERROR(INDEX(Personnes!$J$5:$J$104,MATCH(41,Personnes!$K$5:$K$104,0)),"")</f>
        <v/>
      </c>
    </row>
    <row r="43">
      <c r="A43" s="12">
        <f>IFERROR(INDEX(Personnes!$J$5:$J$104,MATCH(42,Personnes!$K$5:$K$104,0)),"")</f>
        <v/>
      </c>
    </row>
    <row r="44">
      <c r="A44" s="12">
        <f>IFERROR(INDEX(Personnes!$J$5:$J$104,MATCH(43,Personnes!$K$5:$K$104,0)),"")</f>
        <v/>
      </c>
    </row>
    <row r="45">
      <c r="A45" s="12">
        <f>IFERROR(INDEX(Personnes!$J$5:$J$104,MATCH(44,Personnes!$K$5:$K$104,0)),"")</f>
        <v/>
      </c>
    </row>
    <row r="46">
      <c r="A46" s="12">
        <f>IFERROR(INDEX(Personnes!$J$5:$J$104,MATCH(45,Personnes!$K$5:$K$104,0)),"")</f>
        <v/>
      </c>
    </row>
    <row r="47">
      <c r="A47" s="12">
        <f>IFERROR(INDEX(Personnes!$J$5:$J$104,MATCH(46,Personnes!$K$5:$K$104,0)),"")</f>
        <v/>
      </c>
    </row>
    <row r="48">
      <c r="A48" s="12">
        <f>IFERROR(INDEX(Personnes!$J$5:$J$104,MATCH(47,Personnes!$K$5:$K$104,0)),"")</f>
        <v/>
      </c>
    </row>
    <row r="49">
      <c r="A49" s="12">
        <f>IFERROR(INDEX(Personnes!$J$5:$J$104,MATCH(48,Personnes!$K$5:$K$104,0)),"")</f>
        <v/>
      </c>
    </row>
    <row r="50">
      <c r="A50" s="12">
        <f>IFERROR(INDEX(Personnes!$J$5:$J$104,MATCH(49,Personnes!$K$5:$K$104,0)),"")</f>
        <v/>
      </c>
    </row>
    <row r="51">
      <c r="A51" s="12">
        <f>IFERROR(INDEX(Personnes!$J$5:$J$104,MATCH(50,Personnes!$K$5:$K$104,0)),"")</f>
        <v/>
      </c>
    </row>
    <row r="52">
      <c r="A52" s="12">
        <f>IFERROR(INDEX(Personnes!$J$5:$J$104,MATCH(51,Personnes!$K$5:$K$104,0)),"")</f>
        <v/>
      </c>
    </row>
    <row r="53">
      <c r="A53" s="12">
        <f>IFERROR(INDEX(Personnes!$J$5:$J$104,MATCH(52,Personnes!$K$5:$K$104,0)),"")</f>
        <v/>
      </c>
    </row>
    <row r="54">
      <c r="A54" s="12">
        <f>IFERROR(INDEX(Personnes!$J$5:$J$104,MATCH(53,Personnes!$K$5:$K$104,0)),"")</f>
        <v/>
      </c>
    </row>
    <row r="55">
      <c r="A55" s="12">
        <f>IFERROR(INDEX(Personnes!$J$5:$J$104,MATCH(54,Personnes!$K$5:$K$104,0)),"")</f>
        <v/>
      </c>
    </row>
    <row r="56">
      <c r="A56" s="12">
        <f>IFERROR(INDEX(Personnes!$J$5:$J$104,MATCH(55,Personnes!$K$5:$K$104,0)),"")</f>
        <v/>
      </c>
    </row>
    <row r="57">
      <c r="A57" s="12">
        <f>IFERROR(INDEX(Personnes!$J$5:$J$104,MATCH(56,Personnes!$K$5:$K$104,0)),"")</f>
        <v/>
      </c>
    </row>
    <row r="58">
      <c r="A58" s="12">
        <f>IFERROR(INDEX(Personnes!$J$5:$J$104,MATCH(57,Personnes!$K$5:$K$104,0)),"")</f>
        <v/>
      </c>
    </row>
    <row r="59">
      <c r="A59" s="12">
        <f>IFERROR(INDEX(Personnes!$J$5:$J$104,MATCH(58,Personnes!$K$5:$K$104,0)),"")</f>
        <v/>
      </c>
    </row>
    <row r="60">
      <c r="A60" s="12">
        <f>IFERROR(INDEX(Personnes!$J$5:$J$104,MATCH(59,Personnes!$K$5:$K$104,0)),"")</f>
        <v/>
      </c>
    </row>
    <row r="61">
      <c r="A61" s="12">
        <f>IFERROR(INDEX(Personnes!$J$5:$J$104,MATCH(60,Personnes!$K$5:$K$104,0)),"")</f>
        <v/>
      </c>
    </row>
    <row r="62">
      <c r="A62" s="12">
        <f>IFERROR(INDEX(Personnes!$J$5:$J$104,MATCH(61,Personnes!$K$5:$K$104,0)),"")</f>
        <v/>
      </c>
    </row>
    <row r="63">
      <c r="A63" s="12">
        <f>IFERROR(INDEX(Personnes!$J$5:$J$104,MATCH(62,Personnes!$K$5:$K$104,0)),"")</f>
        <v/>
      </c>
    </row>
    <row r="64">
      <c r="A64" s="12">
        <f>IFERROR(INDEX(Personnes!$J$5:$J$104,MATCH(63,Personnes!$K$5:$K$104,0)),"")</f>
        <v/>
      </c>
    </row>
    <row r="65">
      <c r="A65" s="12">
        <f>IFERROR(INDEX(Personnes!$J$5:$J$104,MATCH(64,Personnes!$K$5:$K$104,0)),"")</f>
        <v/>
      </c>
    </row>
    <row r="66">
      <c r="A66" s="12">
        <f>IFERROR(INDEX(Personnes!$J$5:$J$104,MATCH(65,Personnes!$K$5:$K$104,0)),"")</f>
        <v/>
      </c>
    </row>
    <row r="67">
      <c r="A67" s="12">
        <f>IFERROR(INDEX(Personnes!$J$5:$J$104,MATCH(66,Personnes!$K$5:$K$104,0)),"")</f>
        <v/>
      </c>
    </row>
    <row r="68">
      <c r="A68" s="12">
        <f>IFERROR(INDEX(Personnes!$J$5:$J$104,MATCH(67,Personnes!$K$5:$K$104,0)),"")</f>
        <v/>
      </c>
    </row>
    <row r="69">
      <c r="A69" s="12">
        <f>IFERROR(INDEX(Personnes!$J$5:$J$104,MATCH(68,Personnes!$K$5:$K$104,0)),"")</f>
        <v/>
      </c>
    </row>
    <row r="70">
      <c r="A70" s="12">
        <f>IFERROR(INDEX(Personnes!$J$5:$J$104,MATCH(69,Personnes!$K$5:$K$104,0)),"")</f>
        <v/>
      </c>
    </row>
    <row r="71">
      <c r="A71" s="12">
        <f>IFERROR(INDEX(Personnes!$J$5:$J$104,MATCH(70,Personnes!$K$5:$K$104,0)),"")</f>
        <v/>
      </c>
    </row>
    <row r="72">
      <c r="A72" s="12">
        <f>IFERROR(INDEX(Personnes!$J$5:$J$104,MATCH(71,Personnes!$K$5:$K$104,0)),"")</f>
        <v/>
      </c>
    </row>
    <row r="73">
      <c r="A73" s="12">
        <f>IFERROR(INDEX(Personnes!$J$5:$J$104,MATCH(72,Personnes!$K$5:$K$104,0)),"")</f>
        <v/>
      </c>
    </row>
    <row r="74">
      <c r="A74" s="12">
        <f>IFERROR(INDEX(Personnes!$J$5:$J$104,MATCH(73,Personnes!$K$5:$K$104,0)),"")</f>
        <v/>
      </c>
    </row>
    <row r="75">
      <c r="A75" s="12">
        <f>IFERROR(INDEX(Personnes!$J$5:$J$104,MATCH(74,Personnes!$K$5:$K$104,0)),"")</f>
        <v/>
      </c>
    </row>
    <row r="76">
      <c r="A76" s="12">
        <f>IFERROR(INDEX(Personnes!$J$5:$J$104,MATCH(75,Personnes!$K$5:$K$104,0)),"")</f>
        <v/>
      </c>
    </row>
    <row r="77">
      <c r="A77" s="12">
        <f>IFERROR(INDEX(Personnes!$J$5:$J$104,MATCH(76,Personnes!$K$5:$K$104,0)),"")</f>
        <v/>
      </c>
    </row>
    <row r="78">
      <c r="A78" s="12">
        <f>IFERROR(INDEX(Personnes!$J$5:$J$104,MATCH(77,Personnes!$K$5:$K$104,0)),"")</f>
        <v/>
      </c>
    </row>
    <row r="79">
      <c r="A79" s="12">
        <f>IFERROR(INDEX(Personnes!$J$5:$J$104,MATCH(78,Personnes!$K$5:$K$104,0)),"")</f>
        <v/>
      </c>
    </row>
    <row r="80">
      <c r="A80" s="12">
        <f>IFERROR(INDEX(Personnes!$J$5:$J$104,MATCH(79,Personnes!$K$5:$K$104,0)),"")</f>
        <v/>
      </c>
    </row>
    <row r="81">
      <c r="A81" s="12">
        <f>IFERROR(INDEX(Personnes!$J$5:$J$104,MATCH(80,Personnes!$K$5:$K$104,0)),"")</f>
        <v/>
      </c>
    </row>
    <row r="82">
      <c r="A82" s="12">
        <f>IFERROR(INDEX(Personnes!$J$5:$J$104,MATCH(81,Personnes!$K$5:$K$104,0)),"")</f>
        <v/>
      </c>
    </row>
    <row r="83">
      <c r="A83" s="12">
        <f>IFERROR(INDEX(Personnes!$J$5:$J$104,MATCH(82,Personnes!$K$5:$K$104,0)),"")</f>
        <v/>
      </c>
    </row>
    <row r="84">
      <c r="A84" s="12">
        <f>IFERROR(INDEX(Personnes!$J$5:$J$104,MATCH(83,Personnes!$K$5:$K$104,0)),"")</f>
        <v/>
      </c>
    </row>
    <row r="85">
      <c r="A85" s="12">
        <f>IFERROR(INDEX(Personnes!$J$5:$J$104,MATCH(84,Personnes!$K$5:$K$104,0)),"")</f>
        <v/>
      </c>
    </row>
    <row r="86">
      <c r="A86" s="12">
        <f>IFERROR(INDEX(Personnes!$J$5:$J$104,MATCH(85,Personnes!$K$5:$K$104,0)),"")</f>
        <v/>
      </c>
    </row>
    <row r="87">
      <c r="A87" s="12">
        <f>IFERROR(INDEX(Personnes!$J$5:$J$104,MATCH(86,Personnes!$K$5:$K$104,0)),"")</f>
        <v/>
      </c>
    </row>
    <row r="88">
      <c r="A88" s="12">
        <f>IFERROR(INDEX(Personnes!$J$5:$J$104,MATCH(87,Personnes!$K$5:$K$104,0)),"")</f>
        <v/>
      </c>
    </row>
    <row r="89">
      <c r="A89" s="12">
        <f>IFERROR(INDEX(Personnes!$J$5:$J$104,MATCH(88,Personnes!$K$5:$K$104,0)),"")</f>
        <v/>
      </c>
    </row>
    <row r="90">
      <c r="A90" s="12">
        <f>IFERROR(INDEX(Personnes!$J$5:$J$104,MATCH(89,Personnes!$K$5:$K$104,0)),"")</f>
        <v/>
      </c>
    </row>
    <row r="91">
      <c r="A91" s="12">
        <f>IFERROR(INDEX(Personnes!$J$5:$J$104,MATCH(90,Personnes!$K$5:$K$104,0)),"")</f>
        <v/>
      </c>
    </row>
    <row r="92">
      <c r="A92" s="12">
        <f>IFERROR(INDEX(Personnes!$J$5:$J$104,MATCH(91,Personnes!$K$5:$K$104,0)),"")</f>
        <v/>
      </c>
    </row>
    <row r="93">
      <c r="A93" s="12">
        <f>IFERROR(INDEX(Personnes!$J$5:$J$104,MATCH(92,Personnes!$K$5:$K$104,0)),"")</f>
        <v/>
      </c>
    </row>
    <row r="94">
      <c r="A94" s="12">
        <f>IFERROR(INDEX(Personnes!$J$5:$J$104,MATCH(93,Personnes!$K$5:$K$104,0)),"")</f>
        <v/>
      </c>
    </row>
    <row r="95">
      <c r="A95" s="12">
        <f>IFERROR(INDEX(Personnes!$J$5:$J$104,MATCH(94,Personnes!$K$5:$K$104,0)),"")</f>
        <v/>
      </c>
    </row>
    <row r="96">
      <c r="A96" s="12">
        <f>IFERROR(INDEX(Personnes!$J$5:$J$104,MATCH(95,Personnes!$K$5:$K$104,0)),"")</f>
        <v/>
      </c>
    </row>
    <row r="97">
      <c r="A97" s="12">
        <f>IFERROR(INDEX(Personnes!$J$5:$J$104,MATCH(96,Personnes!$K$5:$K$104,0)),"")</f>
        <v/>
      </c>
    </row>
    <row r="98">
      <c r="A98" s="12">
        <f>IFERROR(INDEX(Personnes!$J$5:$J$104,MATCH(97,Personnes!$K$5:$K$104,0)),"")</f>
        <v/>
      </c>
    </row>
    <row r="99">
      <c r="A99" s="12">
        <f>IFERROR(INDEX(Personnes!$J$5:$J$104,MATCH(98,Personnes!$K$5:$K$104,0)),"")</f>
        <v/>
      </c>
    </row>
    <row r="100">
      <c r="A100" s="12">
        <f>IFERROR(INDEX(Personnes!$J$5:$J$104,MATCH(99,Personnes!$K$5:$K$104,0)),"")</f>
        <v/>
      </c>
    </row>
    <row r="101">
      <c r="A101" s="12">
        <f>IFERROR(INDEX(Personnes!$J$5:$J$104,MATCH(100,Personnes!$K$5:$K$104,0)),"")</f>
        <v/>
      </c>
    </row>
    <row r="102">
      <c r="A102" s="12">
        <f>IFERROR(INDEX(Personnes!$J$5:$J$104,MATCH(101,Personnes!$K$5:$K$104,0)),"")</f>
        <v/>
      </c>
    </row>
    <row r="103">
      <c r="A103" s="12">
        <f>IFERROR(INDEX(Personnes!$J$5:$J$104,MATCH(102,Personnes!$K$5:$K$104,0)),"")</f>
        <v/>
      </c>
    </row>
    <row r="104">
      <c r="A104" s="12">
        <f>IFERROR(INDEX(Personnes!$J$5:$J$104,MATCH(103,Personnes!$K$5:$K$104,0)),"")</f>
        <v/>
      </c>
    </row>
    <row r="105">
      <c r="A105" s="12">
        <f>IFERROR(INDEX(Personnes!$J$5:$J$104,MATCH(104,Personnes!$K$5:$K$104,0)),"")</f>
        <v/>
      </c>
    </row>
    <row r="106">
      <c r="A106" s="12">
        <f>IFERROR(INDEX(Personnes!$J$5:$J$104,MATCH(105,Personnes!$K$5:$K$104,0)),"")</f>
        <v/>
      </c>
    </row>
    <row r="107">
      <c r="A107" s="12">
        <f>IFERROR(INDEX(Personnes!$J$5:$J$104,MATCH(106,Personnes!$K$5:$K$104,0)),"")</f>
        <v/>
      </c>
    </row>
    <row r="108">
      <c r="A108" s="12">
        <f>IFERROR(INDEX(Personnes!$J$5:$J$104,MATCH(107,Personnes!$K$5:$K$104,0)),"")</f>
        <v/>
      </c>
    </row>
    <row r="109">
      <c r="A109" s="12">
        <f>IFERROR(INDEX(Personnes!$J$5:$J$104,MATCH(108,Personnes!$K$5:$K$104,0)),"")</f>
        <v/>
      </c>
    </row>
    <row r="110">
      <c r="A110" s="12">
        <f>IFERROR(INDEX(Personnes!$J$5:$J$104,MATCH(109,Personnes!$K$5:$K$104,0)),"")</f>
        <v/>
      </c>
    </row>
    <row r="111">
      <c r="A111" s="12">
        <f>IFERROR(INDEX(Personnes!$J$5:$J$104,MATCH(110,Personnes!$K$5:$K$104,0)),"")</f>
        <v/>
      </c>
    </row>
    <row r="112">
      <c r="A112" s="12">
        <f>IFERROR(INDEX(Personnes!$J$5:$J$104,MATCH(111,Personnes!$K$5:$K$104,0)),"")</f>
        <v/>
      </c>
    </row>
    <row r="113">
      <c r="A113" s="12">
        <f>IFERROR(INDEX(Personnes!$J$5:$J$104,MATCH(112,Personnes!$K$5:$K$104,0)),"")</f>
        <v/>
      </c>
    </row>
    <row r="114">
      <c r="A114" s="12">
        <f>IFERROR(INDEX(Personnes!$J$5:$J$104,MATCH(113,Personnes!$K$5:$K$104,0)),"")</f>
        <v/>
      </c>
    </row>
    <row r="115">
      <c r="A115" s="12">
        <f>IFERROR(INDEX(Personnes!$J$5:$J$104,MATCH(114,Personnes!$K$5:$K$104,0)),"")</f>
        <v/>
      </c>
    </row>
    <row r="116">
      <c r="A116" s="12">
        <f>IFERROR(INDEX(Personnes!$J$5:$J$104,MATCH(115,Personnes!$K$5:$K$104,0)),"")</f>
        <v/>
      </c>
    </row>
    <row r="117">
      <c r="A117" s="12">
        <f>IFERROR(INDEX(Personnes!$J$5:$J$104,MATCH(116,Personnes!$K$5:$K$104,0)),"")</f>
        <v/>
      </c>
    </row>
    <row r="118">
      <c r="A118" s="12">
        <f>IFERROR(INDEX(Personnes!$J$5:$J$104,MATCH(117,Personnes!$K$5:$K$104,0)),"")</f>
        <v/>
      </c>
    </row>
    <row r="119">
      <c r="A119" s="12">
        <f>IFERROR(INDEX(Personnes!$J$5:$J$104,MATCH(118,Personnes!$K$5:$K$104,0)),"")</f>
        <v/>
      </c>
    </row>
    <row r="120">
      <c r="A120" s="12">
        <f>IFERROR(INDEX(Personnes!$J$5:$J$104,MATCH(119,Personnes!$K$5:$K$104,0)),"")</f>
        <v/>
      </c>
    </row>
    <row r="121">
      <c r="A121" s="12">
        <f>IFERROR(INDEX(Personnes!$J$5:$J$104,MATCH(120,Personnes!$K$5:$K$104,0)),"")</f>
        <v/>
      </c>
    </row>
    <row r="122">
      <c r="A122" s="12">
        <f>IFERROR(INDEX(Personnes!$J$5:$J$104,MATCH(121,Personnes!$K$5:$K$104,0)),"")</f>
        <v/>
      </c>
    </row>
    <row r="123">
      <c r="A123" s="12">
        <f>IFERROR(INDEX(Personnes!$J$5:$J$104,MATCH(122,Personnes!$K$5:$K$104,0)),"")</f>
        <v/>
      </c>
    </row>
    <row r="124">
      <c r="A124" s="12">
        <f>IFERROR(INDEX(Personnes!$J$5:$J$104,MATCH(123,Personnes!$K$5:$K$104,0)),"")</f>
        <v/>
      </c>
    </row>
    <row r="125">
      <c r="A125" s="12">
        <f>IFERROR(INDEX(Personnes!$J$5:$J$104,MATCH(124,Personnes!$K$5:$K$104,0)),"")</f>
        <v/>
      </c>
    </row>
    <row r="126">
      <c r="A126" s="12">
        <f>IFERROR(INDEX(Personnes!$J$5:$J$104,MATCH(125,Personnes!$K$5:$K$104,0)),"")</f>
        <v/>
      </c>
    </row>
    <row r="127">
      <c r="A127" s="12">
        <f>IFERROR(INDEX(Personnes!$J$5:$J$104,MATCH(126,Personnes!$K$5:$K$104,0)),"")</f>
        <v/>
      </c>
    </row>
    <row r="128">
      <c r="A128" s="12">
        <f>IFERROR(INDEX(Personnes!$J$5:$J$104,MATCH(127,Personnes!$K$5:$K$104,0)),"")</f>
        <v/>
      </c>
    </row>
    <row r="129">
      <c r="A129" s="12">
        <f>IFERROR(INDEX(Personnes!$J$5:$J$104,MATCH(128,Personnes!$K$5:$K$104,0)),"")</f>
        <v/>
      </c>
    </row>
    <row r="130">
      <c r="A130" s="12">
        <f>IFERROR(INDEX(Personnes!$J$5:$J$104,MATCH(129,Personnes!$K$5:$K$104,0)),"")</f>
        <v/>
      </c>
    </row>
    <row r="131">
      <c r="A131" s="12">
        <f>IFERROR(INDEX(Personnes!$J$5:$J$104,MATCH(130,Personnes!$K$5:$K$104,0)),"")</f>
        <v/>
      </c>
    </row>
    <row r="132">
      <c r="A132" s="12">
        <f>IFERROR(INDEX(Personnes!$J$5:$J$104,MATCH(131,Personnes!$K$5:$K$104,0)),"")</f>
        <v/>
      </c>
    </row>
    <row r="133">
      <c r="A133" s="12">
        <f>IFERROR(INDEX(Personnes!$J$5:$J$104,MATCH(132,Personnes!$K$5:$K$104,0)),"")</f>
        <v/>
      </c>
    </row>
    <row r="134">
      <c r="A134" s="12">
        <f>IFERROR(INDEX(Personnes!$J$5:$J$104,MATCH(133,Personnes!$K$5:$K$104,0)),"")</f>
        <v/>
      </c>
    </row>
    <row r="135">
      <c r="A135" s="12">
        <f>IFERROR(INDEX(Personnes!$J$5:$J$104,MATCH(134,Personnes!$K$5:$K$104,0)),"")</f>
        <v/>
      </c>
    </row>
    <row r="136">
      <c r="A136" s="12">
        <f>IFERROR(INDEX(Personnes!$J$5:$J$104,MATCH(135,Personnes!$K$5:$K$104,0)),"")</f>
        <v/>
      </c>
    </row>
    <row r="137">
      <c r="A137" s="12">
        <f>IFERROR(INDEX(Personnes!$J$5:$J$104,MATCH(136,Personnes!$K$5:$K$104,0)),"")</f>
        <v/>
      </c>
    </row>
    <row r="138">
      <c r="A138" s="12">
        <f>IFERROR(INDEX(Personnes!$J$5:$J$104,MATCH(137,Personnes!$K$5:$K$104,0)),"")</f>
        <v/>
      </c>
    </row>
    <row r="139">
      <c r="A139" s="12">
        <f>IFERROR(INDEX(Personnes!$J$5:$J$104,MATCH(138,Personnes!$K$5:$K$104,0)),"")</f>
        <v/>
      </c>
    </row>
    <row r="140">
      <c r="A140" s="12">
        <f>IFERROR(INDEX(Personnes!$J$5:$J$104,MATCH(139,Personnes!$K$5:$K$104,0)),"")</f>
        <v/>
      </c>
    </row>
    <row r="141">
      <c r="A141" s="12">
        <f>IFERROR(INDEX(Personnes!$J$5:$J$104,MATCH(140,Personnes!$K$5:$K$104,0)),"")</f>
        <v/>
      </c>
    </row>
    <row r="142">
      <c r="A142" s="12">
        <f>IFERROR(INDEX(Personnes!$J$5:$J$104,MATCH(141,Personnes!$K$5:$K$104,0)),"")</f>
        <v/>
      </c>
    </row>
    <row r="143">
      <c r="A143" s="12">
        <f>IFERROR(INDEX(Personnes!$J$5:$J$104,MATCH(142,Personnes!$K$5:$K$104,0)),"")</f>
        <v/>
      </c>
    </row>
    <row r="144">
      <c r="A144" s="12">
        <f>IFERROR(INDEX(Personnes!$J$5:$J$104,MATCH(143,Personnes!$K$5:$K$104,0)),"")</f>
        <v/>
      </c>
    </row>
    <row r="145">
      <c r="A145" s="12">
        <f>IFERROR(INDEX(Personnes!$J$5:$J$104,MATCH(144,Personnes!$K$5:$K$104,0)),"")</f>
        <v/>
      </c>
    </row>
    <row r="146">
      <c r="A146" s="12">
        <f>IFERROR(INDEX(Personnes!$J$5:$J$104,MATCH(145,Personnes!$K$5:$K$104,0)),"")</f>
        <v/>
      </c>
    </row>
    <row r="147">
      <c r="A147" s="12">
        <f>IFERROR(INDEX(Personnes!$J$5:$J$104,MATCH(146,Personnes!$K$5:$K$104,0)),"")</f>
        <v/>
      </c>
    </row>
    <row r="148">
      <c r="A148" s="12">
        <f>IFERROR(INDEX(Personnes!$J$5:$J$104,MATCH(147,Personnes!$K$5:$K$104,0)),"")</f>
        <v/>
      </c>
    </row>
    <row r="149">
      <c r="A149" s="12">
        <f>IFERROR(INDEX(Personnes!$J$5:$J$104,MATCH(148,Personnes!$K$5:$K$104,0)),"")</f>
        <v/>
      </c>
    </row>
    <row r="150">
      <c r="A150" s="12">
        <f>IFERROR(INDEX(Personnes!$J$5:$J$104,MATCH(149,Personnes!$K$5:$K$104,0)),"")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A6A6A6"/>
    <outlinePr summaryBelow="1" summaryRight="1"/>
    <pageSetUpPr/>
  </sheetPr>
  <dimension ref="A1:S16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22" customWidth="1" min="2" max="2"/>
    <col width="24" customWidth="1" min="3" max="3"/>
    <col width="21" customWidth="1" min="4" max="4"/>
    <col width="19" customWidth="1" min="5" max="5"/>
    <col width="20" customWidth="1" min="6" max="6"/>
    <col width="16" customWidth="1" min="7" max="7"/>
    <col width="26" customWidth="1" min="8" max="8"/>
    <col width="18" customWidth="1" min="9" max="9"/>
    <col width="16" customWidth="1" min="10" max="11"/>
    <col width="21" customWidth="1" min="12" max="12"/>
    <col width="18" customWidth="1" min="13" max="13"/>
    <col width="27" customWidth="1" min="14" max="14"/>
    <col width="19" customWidth="1" min="15" max="16"/>
    <col width="18" customWidth="1" min="17" max="17"/>
    <col width="19" customWidth="1" min="18" max="18"/>
    <col width="16" customWidth="1" min="19" max="19"/>
  </cols>
  <sheetData>
    <row r="1" ht="18" customHeight="1">
      <c r="A1" s="4" t="inlineStr">
        <is>
          <t>Listes de valeurs</t>
        </is>
      </c>
    </row>
    <row r="2">
      <c r="A2" s="5" t="inlineStr">
        <is>
          <t>Onglet technique : valeurs autorisées, reprises par l'application. Ne pas modifier sans revoir les listes déroulantes.</t>
        </is>
      </c>
    </row>
    <row r="4" ht="32" customHeight="1">
      <c r="A4" s="7" t="inlineStr">
        <is>
          <t>Niveaux de compétence</t>
        </is>
      </c>
      <c r="B4" s="7" t="inlineStr">
        <is>
          <t>Statut d'acquisition</t>
        </is>
      </c>
      <c r="C4" s="7" t="inlineStr">
        <is>
          <t>Qualité de réalisation</t>
        </is>
      </c>
      <c r="D4" s="7" t="inlineStr">
        <is>
          <t>Rôles d'encadrement</t>
        </is>
      </c>
      <c r="E4" s="7" t="inlineStr">
        <is>
          <t>Rôles de personne</t>
        </is>
      </c>
      <c r="F4" s="7" t="inlineStr">
        <is>
          <t>Supports de saisie</t>
        </is>
      </c>
      <c r="G4" s="7" t="inlineStr">
        <is>
          <t>Périodicités</t>
        </is>
      </c>
      <c r="H4" s="7" t="inlineStr">
        <is>
          <t>Motifs d'indisponibilité</t>
        </is>
      </c>
      <c r="I4" s="7" t="inlineStr">
        <is>
          <t>Motifs d'absence</t>
        </is>
      </c>
      <c r="J4" s="7" t="inlineStr">
        <is>
          <t>Jours</t>
        </is>
      </c>
      <c r="K4" s="7" t="inlineStr">
        <is>
          <t>Genres</t>
        </is>
      </c>
      <c r="L4" s="7" t="inlineStr">
        <is>
          <t>Statuts de personne</t>
        </is>
      </c>
      <c r="M4" s="7" t="inlineStr">
        <is>
          <t>Types d'objectif</t>
        </is>
      </c>
      <c r="N4" s="7" t="inlineStr">
        <is>
          <t>Contraintes de validation</t>
        </is>
      </c>
      <c r="O4" s="7" t="inlineStr">
        <is>
          <t>Natures de séance</t>
        </is>
      </c>
      <c r="P4" s="7" t="inlineStr">
        <is>
          <t>Statuts de séance</t>
        </is>
      </c>
      <c r="Q4" s="7" t="inlineStr">
        <is>
          <t>Avis d'encadrant</t>
        </is>
      </c>
      <c r="R4" s="7" t="inlineStr">
        <is>
          <t>Types d'événement</t>
        </is>
      </c>
      <c r="S4" s="7" t="inlineStr">
        <is>
          <t>Gravités</t>
        </is>
      </c>
    </row>
    <row r="5">
      <c r="A5" s="8" t="inlineStr">
        <is>
          <t>non acquis</t>
        </is>
      </c>
      <c r="B5" s="8" t="inlineStr">
        <is>
          <t>non tenté</t>
        </is>
      </c>
      <c r="C5" s="8" t="inlineStr">
        <is>
          <t>en difficulté</t>
        </is>
      </c>
      <c r="D5" s="8" t="inlineStr">
        <is>
          <t>directeur de bassin</t>
        </is>
      </c>
      <c r="E5" s="8" t="inlineStr">
        <is>
          <t>élève</t>
        </is>
      </c>
      <c r="F5" s="8" t="inlineStr">
        <is>
          <t>classeur</t>
        </is>
      </c>
      <c r="G5" s="8" t="inlineStr">
        <is>
          <t>toutes les semaines</t>
        </is>
      </c>
      <c r="H5" s="8" t="inlineStr">
        <is>
          <t>congé</t>
        </is>
      </c>
      <c r="I5" s="8" t="inlineStr">
        <is>
          <t>non renseigné</t>
        </is>
      </c>
      <c r="J5" s="8" t="inlineStr">
        <is>
          <t>lundi</t>
        </is>
      </c>
      <c r="K5" s="8" t="inlineStr">
        <is>
          <t>F</t>
        </is>
      </c>
      <c r="L5" s="8" t="inlineStr">
        <is>
          <t>actif</t>
        </is>
      </c>
      <c r="M5" s="8" t="inlineStr">
        <is>
          <t>maîtrise</t>
        </is>
      </c>
      <c r="N5" s="8" t="inlineStr">
        <is>
          <t>hypercapnique et/ou hypoxique</t>
        </is>
      </c>
      <c r="O5" s="8" t="inlineStr">
        <is>
          <t>ordinaire</t>
        </is>
      </c>
      <c r="P5" s="8" t="inlineStr">
        <is>
          <t>planifiée</t>
        </is>
      </c>
      <c r="Q5" s="8" t="inlineStr">
        <is>
          <t>absentéiste</t>
        </is>
      </c>
      <c r="R5" s="8" t="inlineStr">
        <is>
          <t>perte de contrôle moteur (PCM)</t>
        </is>
      </c>
      <c r="S5" s="8" t="inlineStr">
        <is>
          <t>mineur</t>
        </is>
      </c>
    </row>
    <row r="6">
      <c r="A6" s="8" t="inlineStr">
        <is>
          <t>en cours</t>
        </is>
      </c>
      <c r="B6" s="8" t="inlineStr">
        <is>
          <t>non réussi</t>
        </is>
      </c>
      <c r="C6" s="8" t="inlineStr">
        <is>
          <t>conforme</t>
        </is>
      </c>
      <c r="D6" s="8" t="inlineStr">
        <is>
          <t>responsable de ligne</t>
        </is>
      </c>
      <c r="E6" s="8" t="inlineStr">
        <is>
          <t>encadrant</t>
        </is>
      </c>
      <c r="F6" s="8" t="inlineStr">
        <is>
          <t>application</t>
        </is>
      </c>
      <c r="G6" s="8" t="inlineStr">
        <is>
          <t>semaines paires</t>
        </is>
      </c>
      <c r="H6" s="8" t="inlineStr">
        <is>
          <t>professionnel</t>
        </is>
      </c>
      <c r="I6" s="8" t="inlineStr">
        <is>
          <t>congé</t>
        </is>
      </c>
      <c r="J6" s="8" t="inlineStr">
        <is>
          <t>mardi</t>
        </is>
      </c>
      <c r="K6" s="8" t="inlineStr">
        <is>
          <t>H</t>
        </is>
      </c>
      <c r="L6" s="8" t="inlineStr">
        <is>
          <t>inactif</t>
        </is>
      </c>
      <c r="M6" s="8" t="inlineStr">
        <is>
          <t>acquisition</t>
        </is>
      </c>
      <c r="N6" s="8" t="inlineStr">
        <is>
          <t>meilleures conditions</t>
        </is>
      </c>
      <c r="O6" s="8" t="inlineStr">
        <is>
          <t>technique</t>
        </is>
      </c>
      <c r="P6" s="8" t="inlineStr">
        <is>
          <t>tenue</t>
        </is>
      </c>
      <c r="Q6" s="8" t="inlineStr">
        <is>
          <t>dernier tiers</t>
        </is>
      </c>
      <c r="R6" s="8" t="inlineStr">
        <is>
          <t>samba</t>
        </is>
      </c>
      <c r="S6" s="8" t="inlineStr">
        <is>
          <t>significatif</t>
        </is>
      </c>
    </row>
    <row r="7">
      <c r="A7" s="8" t="inlineStr">
        <is>
          <t>acquis</t>
        </is>
      </c>
      <c r="B7" s="8" t="inlineStr">
        <is>
          <t>réussi</t>
        </is>
      </c>
      <c r="C7" s="8" t="inlineStr">
        <is>
          <t>à l'aise</t>
        </is>
      </c>
      <c r="D7" s="8" t="inlineStr">
        <is>
          <t>co-encadrant</t>
        </is>
      </c>
      <c r="E7" s="8" t="inlineStr">
        <is>
          <t>élève et encadrant</t>
        </is>
      </c>
      <c r="G7" s="8" t="inlineStr">
        <is>
          <t>semaines impaires</t>
        </is>
      </c>
      <c r="H7" s="8" t="inlineStr">
        <is>
          <t>blessure</t>
        </is>
      </c>
      <c r="I7" s="8" t="inlineStr">
        <is>
          <t>professionnel</t>
        </is>
      </c>
      <c r="J7" s="8" t="inlineStr">
        <is>
          <t>mercredi</t>
        </is>
      </c>
      <c r="K7" s="8" t="inlineStr">
        <is>
          <t>non renseigné</t>
        </is>
      </c>
      <c r="L7" s="8" t="inlineStr">
        <is>
          <t>invité</t>
        </is>
      </c>
      <c r="N7" s="8" t="inlineStr">
        <is>
          <t>aucune contrainte particulière</t>
        </is>
      </c>
      <c r="O7" s="8" t="inlineStr">
        <is>
          <t>hypercapnique</t>
        </is>
      </c>
      <c r="P7" s="8" t="inlineStr">
        <is>
          <t>annulée</t>
        </is>
      </c>
      <c r="Q7" s="8" t="inlineStr">
        <is>
          <t>dans la moyenne</t>
        </is>
      </c>
      <c r="R7" s="8" t="inlineStr">
        <is>
          <t>syncope</t>
        </is>
      </c>
      <c r="S7" s="8" t="inlineStr">
        <is>
          <t>grave</t>
        </is>
      </c>
    </row>
    <row r="8">
      <c r="A8" s="8" t="inlineStr">
        <is>
          <t>expert</t>
        </is>
      </c>
      <c r="D8" s="8" t="inlineStr">
        <is>
          <t>tuteur</t>
        </is>
      </c>
      <c r="G8" s="8" t="inlineStr">
        <is>
          <t>ponctuel</t>
        </is>
      </c>
      <c r="H8" s="8" t="inlineStr">
        <is>
          <t>maladie</t>
        </is>
      </c>
      <c r="I8" s="8" t="inlineStr">
        <is>
          <t>blessure</t>
        </is>
      </c>
      <c r="J8" s="8" t="inlineStr">
        <is>
          <t>jeudi</t>
        </is>
      </c>
      <c r="L8" s="8" t="inlineStr">
        <is>
          <t>en attente de validation</t>
        </is>
      </c>
      <c r="O8" s="8" t="inlineStr">
        <is>
          <t>mixte</t>
        </is>
      </c>
      <c r="P8" s="8" t="inlineStr">
        <is>
          <t>fermée</t>
        </is>
      </c>
      <c r="Q8" s="8" t="inlineStr">
        <is>
          <t>premier tiers</t>
        </is>
      </c>
      <c r="R8" s="8" t="inlineStr">
        <is>
          <t>arrêt de séance</t>
        </is>
      </c>
    </row>
    <row r="9">
      <c r="D9" s="8" t="inlineStr">
        <is>
          <t>stagiaire encadré</t>
        </is>
      </c>
      <c r="H9" s="8" t="inlineStr">
        <is>
          <t>formation</t>
        </is>
      </c>
      <c r="I9" s="8" t="inlineStr">
        <is>
          <t>maladie</t>
        </is>
      </c>
      <c r="J9" s="8" t="inlineStr">
        <is>
          <t>vendredi</t>
        </is>
      </c>
      <c r="O9" s="8" t="inlineStr">
        <is>
          <t>hypoxique</t>
        </is>
      </c>
      <c r="Q9" s="8" t="inlineStr">
        <is>
          <t>prêt pour le niveau supérieur</t>
        </is>
      </c>
      <c r="R9" s="8" t="inlineStr">
        <is>
          <t>malaise</t>
        </is>
      </c>
    </row>
    <row r="10">
      <c r="H10" s="8" t="inlineStr">
        <is>
          <t>compétition</t>
        </is>
      </c>
      <c r="I10" s="8" t="inlineStr">
        <is>
          <t>autre entraînement</t>
        </is>
      </c>
      <c r="J10" s="8" t="inlineStr">
        <is>
          <t>samedi</t>
        </is>
      </c>
      <c r="O10" s="8" t="inlineStr">
        <is>
          <t>test maximal</t>
        </is>
      </c>
      <c r="R10" s="8" t="inlineStr">
        <is>
          <t>barotraumatisme</t>
        </is>
      </c>
    </row>
    <row r="11">
      <c r="H11" s="8" t="inlineStr">
        <is>
          <t>autre</t>
        </is>
      </c>
      <c r="I11" s="8" t="inlineStr">
        <is>
          <t>compétition</t>
        </is>
      </c>
      <c r="J11" s="8" t="inlineStr">
        <is>
          <t>dimanche</t>
        </is>
      </c>
      <c r="O11" s="8" t="inlineStr">
        <is>
          <t>RIFAA</t>
        </is>
      </c>
      <c r="R11" s="8" t="inlineStr">
        <is>
          <t>autre</t>
        </is>
      </c>
    </row>
    <row r="12">
      <c r="I12" s="8" t="inlineStr">
        <is>
          <t>autre</t>
        </is>
      </c>
      <c r="O12" s="8" t="inlineStr">
        <is>
          <t>PSM</t>
        </is>
      </c>
    </row>
    <row r="13">
      <c r="O13" s="8" t="inlineStr">
        <is>
          <t>examen</t>
        </is>
      </c>
    </row>
    <row r="14">
      <c r="O14" s="8" t="inlineStr">
        <is>
          <t>formation</t>
        </is>
      </c>
    </row>
    <row r="15">
      <c r="O15" s="8" t="inlineStr">
        <is>
          <t>tutorat</t>
        </is>
      </c>
    </row>
    <row r="16">
      <c r="O16" s="8" t="inlineStr">
        <is>
          <t>multi-lignes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2026-08-30T18:31:25Z</dcterms:created>
  <dcterms:modified xmlns:dcterms="http://purl.org/dc/terms/" xmlns:xsi="http://www.w3.org/2001/XMLSchema-instance" xsi:type="dcterms:W3CDTF">2026-09-05T11:21:43Z</dcterms:modified>
  <cp:lastModifiedBy>Frédéric Le Brigand</cp:lastModifiedBy>
</cp:coreProperties>
</file>